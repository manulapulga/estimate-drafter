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4.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23.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49.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24.xml"/>
  <Override ContentType="application/vnd.openxmlformats-officedocument.spreadsheetml.worksheet+xml" PartName="/xl/worksheets/sheet33.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7.xml"/>
  <Override ContentType="application/vnd.openxmlformats-officedocument.spreadsheetml.worksheet+xml" PartName="/xl/worksheets/sheet28.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45.xml"/>
  <Override ContentType="application/vnd.openxmlformats-officedocument.spreadsheetml.worksheet+xml" PartName="/xl/worksheets/sheet36.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9.xml"/>
  <Override ContentType="application/vnd.openxmlformats-officedocument.spreadsheetml.worksheet+xml" PartName="/xl/worksheets/sheet4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22.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30.xml"/>
  <Override ContentType="application/vnd.openxmlformats-officedocument.drawing+xml" PartName="/xl/drawings/drawing47.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48.xml"/>
  <Override ContentType="application/vnd.openxmlformats-officedocument.drawing+xml" PartName="/xl/drawings/drawing2.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40.xml"/>
  <Override ContentType="application/vnd.openxmlformats-officedocument.drawing+xml" PartName="/xl/drawings/drawing36.xml"/>
  <Override ContentType="application/vnd.openxmlformats-officedocument.drawing+xml" PartName="/xl/drawings/drawing23.xml"/>
  <Override ContentType="application/vnd.openxmlformats-officedocument.drawing+xml" PartName="/xl/drawings/drawing49.xml"/>
  <Override ContentType="application/vnd.openxmlformats-officedocument.drawing+xml" PartName="/xl/drawings/drawing38.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37.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4.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35.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46.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29.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WD DR Abstract" sheetId="1" r:id="rId5"/>
    <sheet state="visible" name="GWD MR Abstract" sheetId="2" r:id="rId6"/>
    <sheet state="visible" name="ARS Filter Media" sheetId="3" r:id="rId7"/>
    <sheet state="visible" name="BW Casing Pipes" sheetId="4" r:id="rId8"/>
    <sheet state="visible" name="BW Casing Pipe Erection Charge" sheetId="5" r:id="rId9"/>
    <sheet state="visible" name="Electrical Essentials" sheetId="6" r:id="rId10"/>
    <sheet state="visible" name="GI on Wall PRICE" sheetId="7" r:id="rId11"/>
    <sheet state="visible" name="GI wo Trench" sheetId="8" r:id="rId12"/>
    <sheet state="visible" name="GI With Trench PRICE" sheetId="9" r:id="rId13"/>
    <sheet state="visible" name="GI Works" sheetId="10" r:id="rId14"/>
    <sheet state="visible" name="Gravel for TWC" sheetId="11" r:id="rId15"/>
    <sheet state="visible" name="Gutter&amp;Clamp" sheetId="12" r:id="rId16"/>
    <sheet state="visible" name="HP Erection and Pullout" sheetId="13" r:id="rId17"/>
    <sheet state="visible" name="HP Repair Labour" sheetId="14" r:id="rId18"/>
    <sheet state="visible" name="HP Repair Spares" sheetId="15" r:id="rId19"/>
    <sheet state="visible" name="Hydrants" sheetId="16" r:id="rId20"/>
    <sheet state="visible" name="Iron Structure" sheetId="17" r:id="rId21"/>
    <sheet state="visible" name="Lock" sheetId="18" r:id="rId22"/>
    <sheet state="visible" name="Metallic PH" sheetId="19" r:id="rId23"/>
    <sheet state="visible" name="Motor Starter GWD" sheetId="20" r:id="rId24"/>
    <sheet state="visible" name="Motor Starter Monoblock" sheetId="21" r:id="rId25"/>
    <sheet state="visible" name="Motor Starter PRICE" sheetId="22" r:id="rId26"/>
    <sheet state="visible" name="Other Fittings PRICE" sheetId="23" r:id="rId27"/>
    <sheet state="visible" name="Panel Board" sheetId="24" r:id="rId28"/>
    <sheet state="visible" name="Pump Cover" sheetId="25" r:id="rId29"/>
    <sheet state="visible" name="Pump Erection " sheetId="26" r:id="rId30"/>
    <sheet state="visible" name="Pump Pullout" sheetId="27" r:id="rId31"/>
    <sheet state="visible" name="PVC Fittings" sheetId="28" r:id="rId32"/>
    <sheet state="visible" name="PVC Fittings PRICE" sheetId="29" r:id="rId33"/>
    <sheet state="visible" name="PVC on Wall (Concealed) PRICE" sheetId="30" r:id="rId34"/>
    <sheet state="visible" name="PVC on Wall PRICE" sheetId="31" r:id="rId35"/>
    <sheet state="visible" name="PVC on Wall" sheetId="32" r:id="rId36"/>
    <sheet state="visible" name="PVC wo Trench PRICE" sheetId="33" r:id="rId37"/>
    <sheet state="visible" name="PVC wo Trench" sheetId="34" r:id="rId38"/>
    <sheet state="visible" name="PVC With Trench PRICE" sheetId="35" r:id="rId39"/>
    <sheet state="visible" name="PVC With Trench" sheetId="36" r:id="rId40"/>
    <sheet state="visible" name="Scaffolding" sheetId="37" r:id="rId41"/>
    <sheet state="visible" name="Services" sheetId="38" r:id="rId42"/>
    <sheet state="visible" name="Three Core Cable PRICE" sheetId="39" r:id="rId43"/>
    <sheet state="visible" name="TW Casing Pipes" sheetId="40" r:id="rId44"/>
    <sheet state="visible" name="UG Cable PRICE" sheetId="41" r:id="rId45"/>
    <sheet state="visible" name="Water Meter" sheetId="42" r:id="rId46"/>
    <sheet state="visible" name="Water Tank" sheetId="43" r:id="rId47"/>
    <sheet state="visible" name="Well Protection" sheetId="44" r:id="rId48"/>
    <sheet state="visible" name="WTP" sheetId="45" r:id="rId49"/>
    <sheet state="visible" name="zCost Index" sheetId="46" r:id="rId50"/>
    <sheet state="visible" name="zDerived" sheetId="47" r:id="rId51"/>
    <sheet state="visible" name="zLMR" sheetId="48" r:id="rId52"/>
    <sheet state="visible" name="zPAMR Gen ID 40" sheetId="49" r:id="rId53"/>
  </sheets>
  <definedNames>
    <definedName name="MRCodes">'zPAMR Gen ID 40'!$D:$D</definedName>
    <definedName name="LMRCodes">zLMR!$A:$A</definedName>
    <definedName name="MRRates">'zPAMR Gen ID 40'!$F:$F</definedName>
    <definedName name="DerivedCodes">zDerived!$A:$A</definedName>
    <definedName name="CostIndex">'zCost Index'!$B$2:$B$16</definedName>
    <definedName name="District">'zCost Index'!$A$2:$A$16</definedName>
    <definedName name="DerivedRates">zDerived!$D:$D</definedName>
    <definedName name="LMRRates">zLMR!$C:$C</definedName>
  </definedNames>
  <calcPr/>
</workbook>
</file>

<file path=xl/sharedStrings.xml><?xml version="1.0" encoding="utf-8"?>
<sst xmlns="http://schemas.openxmlformats.org/spreadsheetml/2006/main" count="26735" uniqueCount="5622">
  <si>
    <t>Filter Media for ARS</t>
  </si>
  <si>
    <t>Casing Pipe For Borewell , Tube Well And Filterpoint Well</t>
  </si>
  <si>
    <t>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t>
  </si>
  <si>
    <t>GWD Revised Market Rates Based on DSR 21/PRICE (Gen ID 40)</t>
  </si>
  <si>
    <t>Code</t>
  </si>
  <si>
    <t>GWD Revised Derived Rates Based on DSR 21/PRICE (Gen ID 40)</t>
  </si>
  <si>
    <t>Description</t>
  </si>
  <si>
    <t>Supply and filling of 40mm metal as filter medium</t>
  </si>
  <si>
    <t>Unit</t>
  </si>
  <si>
    <t>Quantity</t>
  </si>
  <si>
    <t>Rate</t>
  </si>
  <si>
    <t>Amount</t>
  </si>
  <si>
    <t>Select Distrct</t>
  </si>
  <si>
    <t>Index</t>
  </si>
  <si>
    <t>Details of cost for 100 metre</t>
  </si>
  <si>
    <t>Details of cost for 1 cum</t>
  </si>
  <si>
    <t>ADMIN</t>
  </si>
  <si>
    <t>MATERIAL:</t>
  </si>
  <si>
    <t>MR10215</t>
  </si>
  <si>
    <t>PVC Pipe, 6kg/cm2, 140mm Dia</t>
  </si>
  <si>
    <t>Stone Aggregate (Single size) : 40 mm nominal size</t>
  </si>
  <si>
    <t>m3</t>
  </si>
  <si>
    <t>metre</t>
  </si>
  <si>
    <t>LABOUR:</t>
  </si>
  <si>
    <t>Carriage of Stone aggregate 40 mm nominal size and above</t>
  </si>
  <si>
    <t>Sl No</t>
  </si>
  <si>
    <t>Coolie</t>
  </si>
  <si>
    <t>Day</t>
  </si>
  <si>
    <t>Item Name</t>
  </si>
  <si>
    <t>Item Name With Code</t>
  </si>
  <si>
    <t>Main Category</t>
  </si>
  <si>
    <t>TOTAL  </t>
  </si>
  <si>
    <t>Sub Category 1</t>
  </si>
  <si>
    <t>Sub Category 2</t>
  </si>
  <si>
    <t>C1</t>
  </si>
  <si>
    <t>C2</t>
  </si>
  <si>
    <t>Indexed</t>
  </si>
  <si>
    <t>Total</t>
  </si>
  <si>
    <t>GWDMR001</t>
  </si>
  <si>
    <t>S&amp;F PVC Bend 90 mm (DG)</t>
  </si>
  <si>
    <t>Add Water Charges @ 1%</t>
  </si>
  <si>
    <t>GWDDR001</t>
  </si>
  <si>
    <t>TOTAL</t>
  </si>
  <si>
    <t>each</t>
  </si>
  <si>
    <t>GWD MR</t>
  </si>
  <si>
    <t>PVC Fittings</t>
  </si>
  <si>
    <t>PVC Bend</t>
  </si>
  <si>
    <t>Add CPOH @ 15%</t>
  </si>
  <si>
    <t>GWD DR</t>
  </si>
  <si>
    <t>MWSS</t>
  </si>
  <si>
    <t>MWSS Accessories</t>
  </si>
  <si>
    <t>Cost per 1 cum</t>
  </si>
  <si>
    <t>GWDMR002</t>
  </si>
  <si>
    <t>S&amp;F PVC Bend 140 mm (DG)</t>
  </si>
  <si>
    <t>Say</t>
  </si>
  <si>
    <t>GWDMR003</t>
  </si>
  <si>
    <t>PVC End cap 140 mm (DG)</t>
  </si>
  <si>
    <t>PVC End Cap</t>
  </si>
  <si>
    <t>GWDMR004</t>
  </si>
  <si>
    <t>PVC End cap 150 mm (DG)</t>
  </si>
  <si>
    <t>GWDMR005</t>
  </si>
  <si>
    <t>PVC End Cap 180 mm (DG)</t>
  </si>
  <si>
    <t>GWDDR002</t>
  </si>
  <si>
    <t>GWDMR006</t>
  </si>
  <si>
    <t>PVC End Cap 200 mm (DG)</t>
  </si>
  <si>
    <t>Iron Structure</t>
  </si>
  <si>
    <t>GWDMR007</t>
  </si>
  <si>
    <t>PVC Square End Cap 140 mm</t>
  </si>
  <si>
    <t>ARS</t>
  </si>
  <si>
    <t>ARS Fittings</t>
  </si>
  <si>
    <t>Supply and filling of 25mm metal as filter medium</t>
  </si>
  <si>
    <t>GWDMR008</t>
  </si>
  <si>
    <t>PVC Square End Cap 160 mm</t>
  </si>
  <si>
    <t>Cost of 100 metre</t>
  </si>
  <si>
    <t>GWDMR009</t>
  </si>
  <si>
    <t>PVC Half  End Cap 140 mm</t>
  </si>
  <si>
    <t>Cost per metre</t>
  </si>
  <si>
    <t>GWDMR010</t>
  </si>
  <si>
    <t>PVC Half  End Cap 160 mm</t>
  </si>
  <si>
    <t>GWDDR003</t>
  </si>
  <si>
    <t>GWDMR011</t>
  </si>
  <si>
    <t>PVC Half Square End Cap 140 mm</t>
  </si>
  <si>
    <t>GWDMR012</t>
  </si>
  <si>
    <t>PVC Half Square End Cap 160 mm</t>
  </si>
  <si>
    <t>Stone Aggregate (Single size) : 25 mm nominal size</t>
  </si>
  <si>
    <t>GWDMR013</t>
  </si>
  <si>
    <t>S&amp;F PVC Tee 90 mm (DG)</t>
  </si>
  <si>
    <t>PVC Tee</t>
  </si>
  <si>
    <t>GWDDR004</t>
  </si>
  <si>
    <t>Carriage of Spun iron S &amp; S pipes 150 mm dia</t>
  </si>
  <si>
    <t>GWDMR014</t>
  </si>
  <si>
    <t>100 meter</t>
  </si>
  <si>
    <t>S&amp;F PVC Tee 140 mm (DG)</t>
  </si>
  <si>
    <t>GWDMR015</t>
  </si>
  <si>
    <t>S&amp;F PVC Tee 160 mm (DG)</t>
  </si>
  <si>
    <t>Carriage of Stone aggregate below 40 mm nominal size</t>
  </si>
  <si>
    <t>GWDMR016</t>
  </si>
  <si>
    <t>Beldar</t>
  </si>
  <si>
    <t>GWDDR005</t>
  </si>
  <si>
    <t>PVC Reducer 90X75 mm</t>
  </si>
  <si>
    <t>PVC Reducer</t>
  </si>
  <si>
    <t>GWDMR017</t>
  </si>
  <si>
    <t>PVC Reducer 110X90 mm</t>
  </si>
  <si>
    <t>GWDDR006</t>
  </si>
  <si>
    <t>GWDMR018</t>
  </si>
  <si>
    <t>PVC Reducer 140X90 mm</t>
  </si>
  <si>
    <t>Sundries-(Adhesive etc.)</t>
  </si>
  <si>
    <t>L.S</t>
  </si>
  <si>
    <t>GWDMR019</t>
  </si>
  <si>
    <t>PVC Reducer 160X140 mm</t>
  </si>
  <si>
    <t>GWDMR020</t>
  </si>
  <si>
    <t>PVC Reducer 160X110 mm</t>
  </si>
  <si>
    <t>GWDDR007</t>
  </si>
  <si>
    <t>20A</t>
  </si>
  <si>
    <t>GWDMR020A</t>
  </si>
  <si>
    <t>PVC Reducer 140X110 mm</t>
  </si>
  <si>
    <t>GWDMR021</t>
  </si>
  <si>
    <t>PVC Runner Drop 140 mm</t>
  </si>
  <si>
    <t>Borewell</t>
  </si>
  <si>
    <t>PVC Casing Pipe (BW/FPW)</t>
  </si>
  <si>
    <t>GWDMR022</t>
  </si>
  <si>
    <t>PVC Runner Drop 160 mm</t>
  </si>
  <si>
    <t>GWDMR023</t>
  </si>
  <si>
    <t>PVC  End Drop 140 mm</t>
  </si>
  <si>
    <t>GWDDR008</t>
  </si>
  <si>
    <t>GWDMR024</t>
  </si>
  <si>
    <t>PVC End Drop 160 mm</t>
  </si>
  <si>
    <t>GWDMR025</t>
  </si>
  <si>
    <t>PVC Half End Drop 140 mm</t>
  </si>
  <si>
    <t>Supply and filling of 20mm/6mm metal as filter medium</t>
  </si>
  <si>
    <t>GWDMR026</t>
  </si>
  <si>
    <t>PVC Half End Drop 160 mm</t>
  </si>
  <si>
    <t>GWDMR027</t>
  </si>
  <si>
    <t>PVC Square End Drop 140 mm</t>
  </si>
  <si>
    <t>Cost of 100.0 metre</t>
  </si>
  <si>
    <t>GWDDR009</t>
  </si>
  <si>
    <t>GWDMR028</t>
  </si>
  <si>
    <t>PVC Square End Drop 160 mm</t>
  </si>
  <si>
    <t>GWDMR029</t>
  </si>
  <si>
    <t>PVC Square Half End Drop 140 mm</t>
  </si>
  <si>
    <t>0295/0298</t>
  </si>
  <si>
    <t>Stone Aggregate (Single size) : 20 mm / 6 mm nominal size</t>
  </si>
  <si>
    <t>GWDMR030</t>
  </si>
  <si>
    <t>PVC Square Half End Drop 160 mm</t>
  </si>
  <si>
    <t>GWDMR031</t>
  </si>
  <si>
    <t>GWDDR010</t>
  </si>
  <si>
    <t>S&amp;F PVC 45o Elbow 90 mm (DG)</t>
  </si>
  <si>
    <t>PVC Elbow</t>
  </si>
  <si>
    <t>GWDMR032</t>
  </si>
  <si>
    <t>S&amp;F PVC 45o Elbow 140 mm (DG)</t>
  </si>
  <si>
    <t>GWDMR033</t>
  </si>
  <si>
    <t>S&amp;F PVC 45o Elbow 160 mm (DG)</t>
  </si>
  <si>
    <t>GWDMR034</t>
  </si>
  <si>
    <t>PVC Tank connector 32 mm</t>
  </si>
  <si>
    <t>Tank Connector</t>
  </si>
  <si>
    <t>GWDMR035</t>
  </si>
  <si>
    <t>GWDDR011</t>
  </si>
  <si>
    <t>PVC Tank connector 40 mm</t>
  </si>
  <si>
    <t>GWDMR036</t>
  </si>
  <si>
    <t>PVC Tank connector 50 mm</t>
  </si>
  <si>
    <t>GWDMR037</t>
  </si>
  <si>
    <t>PVC Tank connector 63 mm</t>
  </si>
  <si>
    <t>Supplying, assembling, lowering and fixing in vertical position in Borewell, PVC 140 mm 8 Kg/cm2 well casing pipe of required dia, conforming to IS : 4985:2000, including required hire and labour charges, fittings &amp; accessories etc. all complete, for all depths, as per direction of Engineer- in- Charge.</t>
  </si>
  <si>
    <t>GWDMR038</t>
  </si>
  <si>
    <t>PVC Tank connector 75 mm</t>
  </si>
  <si>
    <t>GWDDR012</t>
  </si>
  <si>
    <t>GWDMR039</t>
  </si>
  <si>
    <t>PVC Tank connector 90 mm</t>
  </si>
  <si>
    <t>GWDMR040</t>
  </si>
  <si>
    <t>PVC Ball valve 25 mm</t>
  </si>
  <si>
    <t>PVC Ball Valve</t>
  </si>
  <si>
    <t>GWDMR041</t>
  </si>
  <si>
    <t>PVC Ball valve 32 mm</t>
  </si>
  <si>
    <t>GWDMR042</t>
  </si>
  <si>
    <t>PVC Ball valve 40 mm</t>
  </si>
  <si>
    <t>GWDDR013</t>
  </si>
  <si>
    <t>Supply and filling of Coarse Sand as filter medium</t>
  </si>
  <si>
    <t>GWDMR043</t>
  </si>
  <si>
    <t>PVC Ball valve 50 mm</t>
  </si>
  <si>
    <t>GWDMR044</t>
  </si>
  <si>
    <t>PVC Ball valve 63 mm</t>
  </si>
  <si>
    <t>GWDMR045</t>
  </si>
  <si>
    <t>PVC Ball valve 75 mm</t>
  </si>
  <si>
    <t>MR10225</t>
  </si>
  <si>
    <t>GWDMR046</t>
  </si>
  <si>
    <t>GWDDR014</t>
  </si>
  <si>
    <t>PVC Ball valve 90 mm</t>
  </si>
  <si>
    <t>Coarse sand (zone III)</t>
  </si>
  <si>
    <t>PVC Pipe, 8kg/cm2, 140mm Dia.</t>
  </si>
  <si>
    <t>GWDMR047</t>
  </si>
  <si>
    <t>PVC Ball valve 110 mm</t>
  </si>
  <si>
    <t>Carriage of Coarse sand</t>
  </si>
  <si>
    <t>GWDMR048</t>
  </si>
  <si>
    <t>S&amp;F PVC Coupling 32 mm (DG)</t>
  </si>
  <si>
    <t>PVC Coupling</t>
  </si>
  <si>
    <t>GWDDR015</t>
  </si>
  <si>
    <t>GWDMR049</t>
  </si>
  <si>
    <t>S&amp;F PVC Coupling 40 mm (DG)</t>
  </si>
  <si>
    <t>GWDMR050</t>
  </si>
  <si>
    <t>S&amp;F PVC Coupling 50 mm (DG)</t>
  </si>
  <si>
    <t>GWDMR052</t>
  </si>
  <si>
    <t>GI Bend 32 mm</t>
  </si>
  <si>
    <t>GI Fittings</t>
  </si>
  <si>
    <t>GWDMR053</t>
  </si>
  <si>
    <t>GI Bend 40 mm</t>
  </si>
  <si>
    <t>GWDMR054</t>
  </si>
  <si>
    <t>GI Bend 50 mm</t>
  </si>
  <si>
    <t>GWDDR016</t>
  </si>
  <si>
    <t>GWDMR055</t>
  </si>
  <si>
    <t>GI Bend 65 mm</t>
  </si>
  <si>
    <t>GWDMR056</t>
  </si>
  <si>
    <t>GI Socket 32 mm</t>
  </si>
  <si>
    <t>GWDMR057</t>
  </si>
  <si>
    <t>GI Socket 40 mm</t>
  </si>
  <si>
    <t>GWDMR058</t>
  </si>
  <si>
    <t>GI Socket 50 mm</t>
  </si>
  <si>
    <t>GWDMR059</t>
  </si>
  <si>
    <t>GI Socket 65 mm</t>
  </si>
  <si>
    <t>GWDDR017</t>
  </si>
  <si>
    <t>GWDMR060</t>
  </si>
  <si>
    <t>GI Tee 32 mm</t>
  </si>
  <si>
    <t>GWDMR061</t>
  </si>
  <si>
    <t>GI Tee 40 mm</t>
  </si>
  <si>
    <t>Supply and filling of Charcoal as filter medium</t>
  </si>
  <si>
    <t>GWDMR062</t>
  </si>
  <si>
    <t>GI Tee 50 mm</t>
  </si>
  <si>
    <t>GWDMR063</t>
  </si>
  <si>
    <t>Details of cost for 1 quintal</t>
  </si>
  <si>
    <t>GI Tee 65 mm</t>
  </si>
  <si>
    <t>GWDDR018</t>
  </si>
  <si>
    <t>GWDMR064</t>
  </si>
  <si>
    <t>Compressor pump 1.5 HP single phase</t>
  </si>
  <si>
    <t>Compressor Pump</t>
  </si>
  <si>
    <t>GWDMR065</t>
  </si>
  <si>
    <t>Compressor pump 2 HP single phase</t>
  </si>
  <si>
    <t>Tubewell</t>
  </si>
  <si>
    <t>UPVC Casing Pipe (TW)</t>
  </si>
  <si>
    <t>GWDMR066</t>
  </si>
  <si>
    <t>Compressor pump 5 HP three phase</t>
  </si>
  <si>
    <t>MR1266</t>
  </si>
  <si>
    <t>Charcoal</t>
  </si>
  <si>
    <t>GWDMR067</t>
  </si>
  <si>
    <t>quintal</t>
  </si>
  <si>
    <t>Compressor pump 7.5 HP three phase</t>
  </si>
  <si>
    <t>GWDDR019</t>
  </si>
  <si>
    <t>GWDMR068</t>
  </si>
  <si>
    <t>12 mm thick nylon rope</t>
  </si>
  <si>
    <t>Pump Accessories</t>
  </si>
  <si>
    <t>Carriage of Steam coal</t>
  </si>
  <si>
    <t>tonne</t>
  </si>
  <si>
    <t>GWDMR069</t>
  </si>
  <si>
    <t>14 mm thick nylon rope</t>
  </si>
  <si>
    <t>GWDMR070</t>
  </si>
  <si>
    <t>GWDDR020</t>
  </si>
  <si>
    <t>16 mm thick nylon rope</t>
  </si>
  <si>
    <t>GWDMR071</t>
  </si>
  <si>
    <t>Steel rope</t>
  </si>
  <si>
    <t>Tubewell Fittings</t>
  </si>
  <si>
    <t>GWDMR072</t>
  </si>
  <si>
    <t>32 mm dia UPVC pipe</t>
  </si>
  <si>
    <t>GWDDR021</t>
  </si>
  <si>
    <t>GWDMR073</t>
  </si>
  <si>
    <t>40 mm dia UPVC pipe</t>
  </si>
  <si>
    <t>GWDMR074</t>
  </si>
  <si>
    <t>50 mm dia UPVC pipe</t>
  </si>
  <si>
    <t>GWDMR075</t>
  </si>
  <si>
    <t>63 mm dia UPVC pipe</t>
  </si>
  <si>
    <t>GWDDR022</t>
  </si>
  <si>
    <t>GWDMR076</t>
  </si>
  <si>
    <t>20 mm dia HDPE pipe (DG) (8kg)</t>
  </si>
  <si>
    <t>Cost per 100 kg</t>
  </si>
  <si>
    <t>Cost per 1 kg</t>
  </si>
  <si>
    <t>GWDDR023</t>
  </si>
  <si>
    <t>Cost per 1 cum (200 kg)</t>
  </si>
  <si>
    <t>GWDMR077</t>
  </si>
  <si>
    <t>32 mm dia HDPE pipe (DG) (8kg)</t>
  </si>
  <si>
    <t>GWDDR024</t>
  </si>
  <si>
    <t>GWDMR078</t>
  </si>
  <si>
    <t>40 mm dia HDPE pipe (DG) (8kg)</t>
  </si>
  <si>
    <t>GWDDR025</t>
  </si>
  <si>
    <t>GWDMR079</t>
  </si>
  <si>
    <t>32 mm SS Adapter</t>
  </si>
  <si>
    <t>GWDMR080</t>
  </si>
  <si>
    <t>40 mm SS Adapter</t>
  </si>
  <si>
    <t>GWDMR081</t>
  </si>
  <si>
    <t>50 mm SS Adapter</t>
  </si>
  <si>
    <t>GWDDR026</t>
  </si>
  <si>
    <t>GWDMR082</t>
  </si>
  <si>
    <t>50 mm UPVC Union</t>
  </si>
  <si>
    <t>GWDMR083</t>
  </si>
  <si>
    <t>63 mm UPVC Union</t>
  </si>
  <si>
    <t>GWDMR084</t>
  </si>
  <si>
    <t>75 mm UPVC Union</t>
  </si>
  <si>
    <t>GWDDR027</t>
  </si>
  <si>
    <t>GWDMR085</t>
  </si>
  <si>
    <t>Sodium Bentonite (ordinary)</t>
  </si>
  <si>
    <t>Tubewell Consumables</t>
  </si>
  <si>
    <t>GWDMR086</t>
  </si>
  <si>
    <t>Sodium Bentonite (Super)</t>
  </si>
  <si>
    <t>GWDMR087</t>
  </si>
  <si>
    <t>MS Casing pipe 450 mm dia, 6 mm thickness</t>
  </si>
  <si>
    <t>GWDDR028</t>
  </si>
  <si>
    <t>Supplying, assembling, lowering and fixing in vertical position in Borewell, PVC 160mm 6 Kg/cm2 well casing pipe of required dia, conforming to IS : 4985:2000, including required hire and labour charges, fittings &amp; accessories etc. all complete, for all depths, as per direction of Engineer- in- Charge.</t>
  </si>
  <si>
    <t>GWDMR088</t>
  </si>
  <si>
    <t>Fibre mesh for placing inside filter tank (for recharge schemes)</t>
  </si>
  <si>
    <t>sqm</t>
  </si>
  <si>
    <t>GWDMR089</t>
  </si>
  <si>
    <t>Coated mesh for placing inside filter tank (for recharge schemes)</t>
  </si>
  <si>
    <t>GWDDR029</t>
  </si>
  <si>
    <t>GWDMR090</t>
  </si>
  <si>
    <t>Sieve mesh 110 mm (inside inspection chamber) (for recharge schemes)</t>
  </si>
  <si>
    <t>GWDMR091</t>
  </si>
  <si>
    <t>Sieve mesh 140 mm (inside inspection chamber) (for recharge schemes)</t>
  </si>
  <si>
    <t>GWDMR092</t>
  </si>
  <si>
    <t>Plastic net for covering pipe (for recharge schemes)</t>
  </si>
  <si>
    <t>GWDDR030</t>
  </si>
  <si>
    <t>GWDMR093</t>
  </si>
  <si>
    <t>PVC Wiring Pipe</t>
  </si>
  <si>
    <t>GI Pipes Without Trenching</t>
  </si>
  <si>
    <t>GWDMR094</t>
  </si>
  <si>
    <t>MR10216</t>
  </si>
  <si>
    <t>PVC Pipe, 6kg/cm2, 160mm Dia</t>
  </si>
  <si>
    <t>GWDDR031</t>
  </si>
  <si>
    <t>Hand Pump</t>
  </si>
  <si>
    <t>Spares</t>
  </si>
  <si>
    <t>GWDMR095</t>
  </si>
  <si>
    <t>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(Excluding Material)</t>
  </si>
  <si>
    <t>GWDDR032</t>
  </si>
  <si>
    <t>GWDMR096</t>
  </si>
  <si>
    <t>GWDDR033</t>
  </si>
  <si>
    <t>GWDMR097</t>
  </si>
  <si>
    <t>GWDDR034</t>
  </si>
  <si>
    <t>GWDMR098</t>
  </si>
  <si>
    <t>GWDDR035</t>
  </si>
  <si>
    <t>GWDMR099</t>
  </si>
  <si>
    <t>GWDDR036</t>
  </si>
  <si>
    <t>GWDMR100</t>
  </si>
  <si>
    <t>PVC Pipes Without Trenching</t>
  </si>
  <si>
    <t>GWDMR101</t>
  </si>
  <si>
    <t>GWDDR037</t>
  </si>
  <si>
    <t>GWDMR102</t>
  </si>
  <si>
    <t>GWDDR038</t>
  </si>
  <si>
    <t>GWDMR103</t>
  </si>
  <si>
    <t>GWDMR104</t>
  </si>
  <si>
    <t>GWDDR039</t>
  </si>
  <si>
    <t>GWDMR105</t>
  </si>
  <si>
    <t>GWDDR040</t>
  </si>
  <si>
    <t>GWDMR106</t>
  </si>
  <si>
    <t>GWDMR107</t>
  </si>
  <si>
    <t>GWDDR041</t>
  </si>
  <si>
    <t>GWDMR108</t>
  </si>
  <si>
    <t>GWDMR109</t>
  </si>
  <si>
    <t>GWDDR042</t>
  </si>
  <si>
    <t>Supplying, assembling, lowering and fixing in vertical position in Borewell, PVC 180mm 6 Kg/cm2 well casing pipe of required dia, conforming to IS : 4985:2000, including required hire and labour charges, fittings &amp; accessories etc. all complete, for all depths, as per direction of Engineer- in- Charge.</t>
  </si>
  <si>
    <t>Spec Code</t>
  </si>
  <si>
    <t>GWDMR110</t>
  </si>
  <si>
    <t>GWDDR043</t>
  </si>
  <si>
    <t>Specification</t>
  </si>
  <si>
    <t>Rate (₹)</t>
  </si>
  <si>
    <t>2.10.1</t>
  </si>
  <si>
    <t>GWDMR111</t>
  </si>
  <si>
    <t>Supplying and fixing 5 amps to 32 amps rating, 240/415 volts, "C" curve, miniature circuit breaker suitable for inductive load of following poles in the existing MCB DB complete with connections, testing and commissioning etc. as required. Single pole (2.10.1)</t>
  </si>
  <si>
    <t>2.10.2</t>
  </si>
  <si>
    <t>Supplying and fixing 5 amps to 32 amps rating, 240/415 volts, "C" curve, miniature circuit breaker suitable for inductive load of following poles in the existing MCB DB complete with connections, testing and commissioning etc. as required. Single pole and netural (2.10.2)</t>
  </si>
  <si>
    <t>DL1</t>
  </si>
  <si>
    <t>2.10.3</t>
  </si>
  <si>
    <t>PVC Pipe, 6kg/cm2, 180mm Dia.</t>
  </si>
  <si>
    <t>Supplying and fixing 5 amps to 32 amps rating, 240/415 volts, "C" curve, miniature circuit breaker suitable for inductive load of following poles in the existing MCB DB complete with connections, testing and commissioning etc. as required. Double pole (2.10.3)</t>
  </si>
  <si>
    <t>GWDDR044</t>
  </si>
  <si>
    <t>2.10.4</t>
  </si>
  <si>
    <t>GWDMR112</t>
  </si>
  <si>
    <t>Supplying and fixing 5 amps to 32 amps rating, 240/415 volts, "C" curve, miniature circuit breaker suitable for inductive load of following poles in the existing MCB DB complete with connections, testing and commissioning etc. as required. Triple pole (2.10.4)</t>
  </si>
  <si>
    <t>2.10.5</t>
  </si>
  <si>
    <t>Supplying and fixing 5 amps to 32 amps rating, 240/415 volts, "C" curve, miniature circuit breaker suitable for inductive load of following poles in the existing MCB DB complete with connections, testing and commissioning etc. as required. Triple pole and neutral (2.10.5)</t>
  </si>
  <si>
    <t>2.3.1</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</si>
  <si>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6 way, Double door (2.3.1)</t>
  </si>
  <si>
    <t>2.3.2</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</si>
  <si>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8 way, Double door (2.3.2)</t>
  </si>
  <si>
    <t>2.3.3</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</si>
  <si>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12 way, Double door (2.3.3)</t>
  </si>
  <si>
    <t>2.3.4</t>
  </si>
  <si>
    <t>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16 way, Double door (2.3.4)</t>
  </si>
  <si>
    <t>2.14.1</t>
  </si>
  <si>
    <t>Supplying and fixing following rating, double pole, (single phase and neutral), 240 volts, residual current circuit breaker (RCCB), having a sensitivity current upto 300 milliamperes in the existing MCB DB complete with connections, testing and commissioning etc. as required. 25 amps (2.14.1)</t>
  </si>
  <si>
    <t>2.14.2</t>
  </si>
  <si>
    <t>GWDDR045</t>
  </si>
  <si>
    <t>GWDMR113</t>
  </si>
  <si>
    <t>Supplying and fixing following rating, double pole, (single phase and neutral), 240 volts, residual current circuit breaker (RCCB), having a sensitivity current upto 300 milliamperes in the existing MCB DB complete with connections, testing and commissioning etc. as required. 40 amps (2.14.2)</t>
  </si>
  <si>
    <t>2.14.3</t>
  </si>
  <si>
    <t>Supplying and fixing following rating, double pole, (single phase and neutral), 240 volts, residual current circuit breaker (RCCB), having a sensitivity current upto 300 milliamperes in the existing MCB DB complete with connections, testing and commissioning etc. as required. 63 amps (2.14.3)</t>
  </si>
  <si>
    <t>2.15.1</t>
  </si>
  <si>
    <t>Supplying and fixing following rating, four pole, (three phase and neutral), 415 volts, residual current circuit breaker (RCCB), having a sensitivity current upto 300 milliamperes in the existing MCB DB complete with connections, testing and commissioning etc. as required. 25 amps (2.15.1)</t>
  </si>
  <si>
    <t>2.15.2</t>
  </si>
  <si>
    <t>Supplying and fixing following rating, four pole, (three phase and neutral), 415 volts, residual current circuit breaker (RCCB), having a sensitivity current upto 300 milliamperes in the existing MCB DB complete with connections, testing and commissioning etc. as required. 40 amps (2.15.2)</t>
  </si>
  <si>
    <t>2.15.3</t>
  </si>
  <si>
    <t>Supplying and fixing following rating, four pole, (three phase and neutral), 415 volts, residual current circuit breaker (RCCB), having a sensitivity current upto 300 milliamperes in the existing MCB DB complete with connections, testing and commissioning etc. as required. 63 amps (2.15.3)</t>
  </si>
  <si>
    <t>1.17.1</t>
  </si>
  <si>
    <t>Supplying and drawing following sizes of FRLS PVC insulated copper conductor, single core cable in the existing surface / recessed steel/ PVC conduit as required.1 x 1.5 sq. mm(1.17.1)</t>
  </si>
  <si>
    <t>1.17.2</t>
  </si>
  <si>
    <t>Supplying and drawing following sizes of FRLS PVC insulated copper conductor, single core cable in the existing surface / recessed steel/ PVC conduit as required.2 x 1.5 sq. mm(1.17.2)</t>
  </si>
  <si>
    <t>1.17.3</t>
  </si>
  <si>
    <t>Supplying and drawing following sizes of FRLS PVC insulated copper conductor, single core cable in the existing surface / recessed steel/ PVC conduit as required.3 X 1.5 sq.mm(1.17.3)</t>
  </si>
  <si>
    <t>1.17.4</t>
  </si>
  <si>
    <t>Supplying and drawing following sizes of FRLS PVC insulated copper conductor, single core cable in the existing surface / recessed steel/ PVC conduit as required.4 x 1.5 sq. mm(1.17.4)</t>
  </si>
  <si>
    <t>1.17.5</t>
  </si>
  <si>
    <t>Supplying and drawing following sizes of FRLS PVC insulated copper conductor, single core cable in the existing surface / recessed steel/ PVC conduit as required.5 X 1.5 Sq. mm(1.17.5)</t>
  </si>
  <si>
    <t>1.17.6</t>
  </si>
  <si>
    <t>GWDDR046</t>
  </si>
  <si>
    <t>Supplying and drawing following sizes of FRLS PVC insulated copper conductor, single core cable in the existing surface / recessed steel/ PVC conduit as required.6 x 1.5 sq. mm(1.17.6)</t>
  </si>
  <si>
    <t>1.17.7</t>
  </si>
  <si>
    <t>Supplying and drawing following sizes of FRLS PVC insulated copper conductor, single core cable in the existing surface / recessed steel/ PVC conduit as required.7 x 1.5 sq. mm(1.17.7)</t>
  </si>
  <si>
    <t>1.17.8</t>
  </si>
  <si>
    <t>Supplying and drawing following sizes of FRLS PVC insulated copper conductor, single core cable in the existing surface / recessed steel/ PVC conduit as required.8 x 1.5 sq. mm(1.17.8)</t>
  </si>
  <si>
    <t>1.17.9</t>
  </si>
  <si>
    <t>Supplying and drawing following sizes of FRLS PVC insulated copper conductor, single core cable in the existing surface / recessed steel/ PVC conduit as required.9 x 1.5 sq. mm(1.17.9)</t>
  </si>
  <si>
    <t>1.17.10</t>
  </si>
  <si>
    <t>Supplying and drawing following sizes of FRLS PVC insulated copper conductor, single core cable in the existing surface / recessed steel/ PVC conduit as required.10 x 1.5 sq. mm(1.17.10)</t>
  </si>
  <si>
    <t>1.17.11</t>
  </si>
  <si>
    <t>Supplying and drawing following sizes of FRLS PVC insulated copper conductor, single core cable in the existing surface / recessed steel/ PVC conduit as required.2 x 2.5 sq. mm(1.17.11)</t>
  </si>
  <si>
    <t>1.17.12</t>
  </si>
  <si>
    <t>GWDMR114</t>
  </si>
  <si>
    <t>Supplying and drawing following sizes of FRLS PVC insulated copper conductor, single core cable in the existing surface / recessed steel/ PVC conduit as required.3 x 2.5 sq. mm(1.17.12)</t>
  </si>
  <si>
    <t>1.17.13</t>
  </si>
  <si>
    <t>Supplying and drawing following sizes of FRLS PVC insulated copper conductor, single core cable in the existing surface / recessed steel/ PVC conduit as required.4 x 2.5 sq. mm(1.17.13)</t>
  </si>
  <si>
    <t>1.17.14</t>
  </si>
  <si>
    <t>Supplying and drawing following sizes of FRLS PVC insulated copper conductor, single core cable in the existing surface / recessed steel/ PVC conduit as required.5 x 2.5 sq. mm(1.17.14)</t>
  </si>
  <si>
    <t>1.17.15</t>
  </si>
  <si>
    <t>Supplying and drawing following sizes of FRLS PVC insulated copper conductor, single core cable in the existing surface / recessed steel/ PVC conduit as required.6 x 2.5 sq. mm(1.17.15)</t>
  </si>
  <si>
    <t>1.17.16</t>
  </si>
  <si>
    <t>Supplying and drawing following sizes of FRLS PVC insulated copper conductor, single core cable in the existing surface / recessed steel/ PVC conduit as required.7 x 2.5 sq. mm(1.17.16)</t>
  </si>
  <si>
    <t>1.17.17</t>
  </si>
  <si>
    <t>Supplying and drawing following sizes of FRLS PVC insulated copper conductor, single core cable in the existing surface / recessed steel/ PVC conduit as required.8 x 2.5 sq. mm(1.17.17)</t>
  </si>
  <si>
    <t>1.17.18</t>
  </si>
  <si>
    <t>Supplying and drawing following sizes of FRLS PVC insulated copper conductor, single core cable in the existing surface / recessed steel/ PVC conduit as required.9 x 2.5 sq. mm(1.17.18)</t>
  </si>
  <si>
    <t>1.17.19</t>
  </si>
  <si>
    <t>Supplying and drawing following sizes of FRLS PVC insulated copper conductor, single core cable in the existing surface / recessed steel/ PVC conduit as required.10 x 2.5 sq. mm(1.17.19)</t>
  </si>
  <si>
    <t>GWDDR047</t>
  </si>
  <si>
    <t>1.17.20</t>
  </si>
  <si>
    <t>Supplying and drawing following sizes of FRLS PVC insulated copper conductor, single core cable in the existing surface / recessed steel/ PVC conduit as required.2 x 4 sq. mm(1.17.20)</t>
  </si>
  <si>
    <t>1.17.21</t>
  </si>
  <si>
    <t>Supplying and drawing following sizes of FRLS PVC insulated copper conductor, single core cable in the existing surface / recessed steel/ PVC conduit as required.3 x 4 sq. mm(1.17.21)</t>
  </si>
  <si>
    <t>GWDMR115</t>
  </si>
  <si>
    <t>1.17.22</t>
  </si>
  <si>
    <t>Supplying and drawing following sizes of FRLS PVC insulated copper conductor, single core cable in the existing surface / recessed steel/ PVC conduit as required.4 x 4 sq. mm(1.17.22)</t>
  </si>
  <si>
    <t>1.17.23</t>
  </si>
  <si>
    <t>Supplying and drawing following sizes of FRLS PVC insulated copper conductor, single core cable in the existing surface / recessed steel/ PVC conduit as required.5 x 4 sq. mm(1.17.23)</t>
  </si>
  <si>
    <t>1.17.24</t>
  </si>
  <si>
    <t>Supplying and drawing following sizes of FRLS PVC insulated copper conductor, single core cable in the existing surface / recessed steel/ PVC conduit as required.6 x 4 sq. mm(1.17.24)</t>
  </si>
  <si>
    <t>1.17.25</t>
  </si>
  <si>
    <t>Supplying and drawing following sizes of FRLS PVC insulated copper conductor, single core cable in the existing surface / recessed steel/ PVC conduit as required.7 x 4 sq. mm(1.17.25)</t>
  </si>
  <si>
    <t>1.17.26</t>
  </si>
  <si>
    <t>Supplying and drawing following sizes of FRLS PVC insulated copper conductor, single core cable in the existing surface / recessed steel/ PVC conduit as required.8 x 4 sq. mm(1.17.26)</t>
  </si>
  <si>
    <t>1.17.27</t>
  </si>
  <si>
    <t>Supplying and drawing following sizes of FRLS PVC insulated copper conductor, single core cable in the existing surface / recessed steel/ PVC conduit as required.9 x 4 sq. mm(1.17.27)</t>
  </si>
  <si>
    <t>1.17.28</t>
  </si>
  <si>
    <t>Supplying and drawing following sizes of FRLS PVC insulated copper conductor, single core cable in the existing surface / recessed steel/ PVC conduit as required.10 x 4 sq. mm(1.17.28)</t>
  </si>
  <si>
    <t>1.17.29</t>
  </si>
  <si>
    <t>Supplying and drawing following sizes of FRLS PVC insulated copper conductor, single core cable in the existing surface / recessed steel/ PVC conduit as required.2 x 6 sq. mm(1.17.29)</t>
  </si>
  <si>
    <t>1.17.30</t>
  </si>
  <si>
    <t>Supplying and drawing following sizes of FRLS PVC insulated copper conductor, single core cable in the existing surface / recessed steel/ PVC conduit as required.3 x 6 sq. mm(1.17.30)</t>
  </si>
  <si>
    <t>GWDMR116</t>
  </si>
  <si>
    <t>1.17.31</t>
  </si>
  <si>
    <t>Supplying and drawing following sizes of FRLS PVC insulated copper conductor, single core cable in the existing surface / recessed steel/ PVC conduit as required.4 x 6 sq. mm(1.17.31)</t>
  </si>
  <si>
    <t>1.17.32</t>
  </si>
  <si>
    <t>GWDDR048</t>
  </si>
  <si>
    <t>Supplying and drawing following sizes of FRLS PVC insulated copper conductor, single core cable in the existing surface / recessed steel/ PVC conduit as required.5 x 6 sq. mm(1.17.32)</t>
  </si>
  <si>
    <t>1.17.33</t>
  </si>
  <si>
    <t>Supplying and drawing following sizes of FRLS PVC insulated copper conductor, single core cable in the existing surface / recessed steel/ PVC conduit as required.6 x 6 sq. mm(1.17.33)</t>
  </si>
  <si>
    <t>1.17.34</t>
  </si>
  <si>
    <t>Supplying and drawing following sizes of FRLS PVC insulated copper conductor, single core cable in the existing surface / recessed steel/ PVC conduit as required.7 x 6 sq. mm(1.17.34)</t>
  </si>
  <si>
    <t>1.17.35</t>
  </si>
  <si>
    <t>Supplying and drawing following sizes of FRLS PVC insulated copper conductor, single core cable in the existing surface / recessed steel/ PVC conduit as required.8 x 6 sq. mm(1.17.35)</t>
  </si>
  <si>
    <t>1.17.36</t>
  </si>
  <si>
    <t>Supplying and drawing following sizes of FRLS PVC insulated copper conductor, single core cable in the existing surface / recessed steel/ PVC conduit as required.9 x 6 sq. mm(1.17.36)</t>
  </si>
  <si>
    <t>1.17.37</t>
  </si>
  <si>
    <t>PVC Pipes With Trenching</t>
  </si>
  <si>
    <t>Supplying and drawing following sizes of FRLS PVC insulated copper conductor, single core cable in the existing surface / recessed steel/ PVC conduit as required.10 x 6 sq. mm(1.17.37)</t>
  </si>
  <si>
    <t>GWDMR117</t>
  </si>
  <si>
    <t>GWDDR049</t>
  </si>
  <si>
    <t>GWDMR118</t>
  </si>
  <si>
    <t>Pump Erection</t>
  </si>
  <si>
    <t>GWDMR119</t>
  </si>
  <si>
    <t>GWDDR050</t>
  </si>
  <si>
    <t>GWDMR120</t>
  </si>
  <si>
    <t>GWDDR051</t>
  </si>
  <si>
    <t>GWDMR121</t>
  </si>
  <si>
    <t>18.10.1</t>
  </si>
  <si>
    <t>Providing and fixing G.I. pipes complete with G.I. fittings and clamps, including cutting and making good the walls etc. Internal work- Exposed on wall 15 mm dia nominal bore (18.10.1)</t>
  </si>
  <si>
    <t>meter</t>
  </si>
  <si>
    <t>18.10.2</t>
  </si>
  <si>
    <t>Providing and fixing G.I. pipes complete with G.I. fittings and clamps, including cutting and making good the walls etc. Internal work- Exposed on wall 20 mm dia nominal bore (18.10.2)</t>
  </si>
  <si>
    <t>18.10.3</t>
  </si>
  <si>
    <t>Providing and fixing G.I. pipes complete with G.I. fittings and clamps, including cutting and making good the walls etc. Internal work- Exposed on wall 25 mm dia nominal bore (18.10.3)</t>
  </si>
  <si>
    <t>18.10.4</t>
  </si>
  <si>
    <t>Providing and fixing G.I. pipes complete with G.I. fittings and clamps, including cutting and making good the walls etc. Internal work- Exposed on wall 32 mm dia nominal bore (18.10.4)</t>
  </si>
  <si>
    <t>18.10.5</t>
  </si>
  <si>
    <t>GWDMR122</t>
  </si>
  <si>
    <t>Providing and fixing G.I. pipes complete with G.I. fittings and clamps, including cutting and making good the walls etc. Internal work- Exposed on wall 40 mm dia nominal bore (18.10.5)</t>
  </si>
  <si>
    <t>18.10.6</t>
  </si>
  <si>
    <t>GWDDR052</t>
  </si>
  <si>
    <t>Providing and fixing G.I. pipes complete with G.I. fittings and clamps, including cutting and making good the walls etc. Internal work- Exposed on wall 50 mm dia nominal bore (18.10.6)</t>
  </si>
  <si>
    <t>HP Erection</t>
  </si>
  <si>
    <t>GWDMR123</t>
  </si>
  <si>
    <t>GWDDR053</t>
  </si>
  <si>
    <t>GWDMR124</t>
  </si>
  <si>
    <t>GWDDR054</t>
  </si>
  <si>
    <t>GWDMR125</t>
  </si>
  <si>
    <t>HP Pullout</t>
  </si>
  <si>
    <t>GWDMR126</t>
  </si>
  <si>
    <t>GWDDR055</t>
  </si>
  <si>
    <t>GWDMR127</t>
  </si>
  <si>
    <t>GWDDR056</t>
  </si>
  <si>
    <t>GI Pipe Without Trenching</t>
  </si>
  <si>
    <t>GWDMR128</t>
  </si>
  <si>
    <t>Supplying, assembling, lowering and fixing in vertical position in Borewell, PVC 180mm 8 Kg/cm2 well casing pipe of required dia, conforming to IS : 4985:2000, including required hire and labour charges, fittings &amp; accessories etc. all complete, for all depths, as per direction of Engineer- in- Charge.</t>
  </si>
  <si>
    <t>ARS Pipes</t>
  </si>
  <si>
    <t>Providing and fixing G.I. pipes complete with G.I fittings: 25 mm dia nominal bore</t>
  </si>
  <si>
    <t>GWDDR057</t>
  </si>
  <si>
    <t>GWDMR129</t>
  </si>
  <si>
    <t>Details of cost for 10 metre</t>
  </si>
  <si>
    <t>GWDMR130</t>
  </si>
  <si>
    <t>GWDDR058</t>
  </si>
  <si>
    <t>MR10228</t>
  </si>
  <si>
    <t>PVC Pipe, 8kg/cm2, 180mm Dia.</t>
  </si>
  <si>
    <t>G.I. pipes 25 mm dia</t>
  </si>
  <si>
    <t>GWDMR131</t>
  </si>
  <si>
    <t>GWDDR059</t>
  </si>
  <si>
    <t>GWDMR132</t>
  </si>
  <si>
    <t>Weight for carriage = pipe weight + 2% for fittings =</t>
  </si>
  <si>
    <t>1.02 x 24.60 = 25.092 kg = 0.025092 tonne</t>
  </si>
  <si>
    <t>Carriage of G.I. pipes below 100 mm dia</t>
  </si>
  <si>
    <t>GWDMR133</t>
  </si>
  <si>
    <t>GWDDR060</t>
  </si>
  <si>
    <t>Sundries-White lead, hemp, oil etc</t>
  </si>
  <si>
    <t>GWDMR134</t>
  </si>
  <si>
    <t>Fitter(grade1)</t>
  </si>
  <si>
    <t>GWDDR061</t>
  </si>
  <si>
    <t>GWDMR135</t>
  </si>
  <si>
    <t>Hydrants</t>
  </si>
  <si>
    <t>GWDDR062</t>
  </si>
  <si>
    <t>GWDMR136</t>
  </si>
  <si>
    <t>GWDMR137</t>
  </si>
  <si>
    <t>Supply of Single Phase Submersible Pump 1 HP, Discharge 2500-6000 lph, Head 49-17m without Panel Board</t>
  </si>
  <si>
    <t>Submersible Pump</t>
  </si>
  <si>
    <t>GWDDR063</t>
  </si>
  <si>
    <t>GWDMR138</t>
  </si>
  <si>
    <t>Supply of Single Phase Submersible Pump 1 HP, Discharge 2500-6000 lph, Head 57-14m without Panel Board</t>
  </si>
  <si>
    <t>GWDMR139</t>
  </si>
  <si>
    <t>Supply of Single Phase Submersible Pump 1 HP, Discharge 1800-4320 lph, Head 65-39m without Panel Board</t>
  </si>
  <si>
    <t>Hand Pump Repair</t>
  </si>
  <si>
    <t>GWDMR140</t>
  </si>
  <si>
    <t>Supply of Single Phase Submersible Pump 1 HP, Discharge 2500-6000 lph, Head 69-17m without Panel Board</t>
  </si>
  <si>
    <t>Cost of 10.0 metre</t>
  </si>
  <si>
    <t>GWDMR141</t>
  </si>
  <si>
    <t>Supply of Single Phase Submersible Pump 1 HP, Discharge 1080-2880 lph, Head 91-50m without Panel Board</t>
  </si>
  <si>
    <t>GWDDR064</t>
  </si>
  <si>
    <t>GWDMR142</t>
  </si>
  <si>
    <t>WTP</t>
  </si>
  <si>
    <t>Supply of Single Phase Submersible Pump 1.5 HP, Discharge 3000-7500 lph, Head 65-32m without Panel Board</t>
  </si>
  <si>
    <t>WTP FRP Vessel</t>
  </si>
  <si>
    <t>GWDMR143</t>
  </si>
  <si>
    <t>Supply of Single Phase Submersible Pump 1.5 HP, Discharge 1800-4320 lph, Head 83-52m without Panel Board</t>
  </si>
  <si>
    <t>GWDMR144</t>
  </si>
  <si>
    <t>Supply of Single Phase Submersible Pump 1.5 HP, Discharge 1800-4320 lph, Head 105-57m without Panel Board</t>
  </si>
  <si>
    <t>GWDDR065</t>
  </si>
  <si>
    <t>Providing and fixing G.I. pipes complete with G.I fittings: 32 mm dia nominal bore</t>
  </si>
  <si>
    <t>GWDMR145</t>
  </si>
  <si>
    <t>Supply of Single Phase Submersible Pump 1.5 HP, Discharge 500-3000 lph, Head 126-43m without Panel Board</t>
  </si>
  <si>
    <t>GWDMR146</t>
  </si>
  <si>
    <t>Supply of Single Phase Submersible Pump 1.5 HP, Discharge 1080-2880 lph, Head 137-75m without Panel Board</t>
  </si>
  <si>
    <t>GWDMR147</t>
  </si>
  <si>
    <t>Supply of Single Phase Submersible Pump 1.5 HP, Discharge 500-3000 lph, Head 148-50m without Panel Board</t>
  </si>
  <si>
    <t>GWDDR066</t>
  </si>
  <si>
    <t>GWDMR148</t>
  </si>
  <si>
    <t>Supply of Single Phase Submersible Pump 1.5 HP, Discharge 300-2100 lph, Head 180-51m without Panel Board</t>
  </si>
  <si>
    <t>GWDMR149</t>
  </si>
  <si>
    <t>G.I. pipes 32 mm dia</t>
  </si>
  <si>
    <t>Supply of Single Phase Submersible Pump 2 HP, Discharge 5200-10600 lph, Head 57-18m without Panel Board</t>
  </si>
  <si>
    <t>GWDMR150</t>
  </si>
  <si>
    <t>Supply of Single Phase Submersible Pump 2 HP, Discharge 3000-7500 lph, Head 87-42m without Panel Board</t>
  </si>
  <si>
    <t>GWDMR151</t>
  </si>
  <si>
    <t>GWDDR067</t>
  </si>
  <si>
    <t>Supply of Single Phase Submersible Pump 2 HP, Discharge 2100-5400 lph, Head 116-33m without Panel Board</t>
  </si>
  <si>
    <t>GWDMR152</t>
  </si>
  <si>
    <t>Supply of Single Phase Submersible Pump 2 HP, Discharge 600-3600 lph, Head 161-18m without Panel Board</t>
  </si>
  <si>
    <t>1.02 x 31.70 = 32.334 kg = 0.032334 tonne</t>
  </si>
  <si>
    <t>GWDMR153</t>
  </si>
  <si>
    <t>Supply of Single Phase Submersible Pump 2 HP, Discharge 500-3000 lph, Head 194-65m without Panel Board</t>
  </si>
  <si>
    <t>GWDMR154</t>
  </si>
  <si>
    <t>Sundries-White lead, hemp, oil etc.</t>
  </si>
  <si>
    <t>Supply of Single Phase Submersible Pump 2 HP, Discharge 500-1800 lph, Head 220-92m without Panel Board</t>
  </si>
  <si>
    <t>GWDDR068</t>
  </si>
  <si>
    <t>GWDMR155</t>
  </si>
  <si>
    <t>Supply of Single Phase Submersible Pump 2 HP, Discharge 500-1800 lph, Head 247-104m without Panel Board</t>
  </si>
  <si>
    <t>GWDMR156</t>
  </si>
  <si>
    <t>Supply of Single Phase Submersible Pump 2 HP, Discharge 500-1800 lph, Head 275-115m without Panel Board</t>
  </si>
  <si>
    <t>GWDMR157</t>
  </si>
  <si>
    <t>Supply of Single Phase Submersible Pump 3 HP, Discharge 3240-7200 lph, Head 110-42m without Panel Board</t>
  </si>
  <si>
    <t>GWDDR069</t>
  </si>
  <si>
    <t>GWDMR158</t>
  </si>
  <si>
    <t>Supply of Single Phase Submersible Pump 3 HP, Discharge 1800-4320 lph, Head 194-114m without Panel Board</t>
  </si>
  <si>
    <t>Supplying, assembling, lowering and fixing in vertical position in Borewell, PVC 200mm 8 Kg/cm2 well casing pipe of required dia, conforming to IS : 4985:2000, including required hire and labour charges, fittings &amp; accessories etc. all complete, for all depths, as per direction of Engineer- in- Charge.</t>
  </si>
  <si>
    <t>GWDMR159</t>
  </si>
  <si>
    <t>Supply of Single Phase Submersible Pump 5 HP, Discharge 4320-10080 lph, Head 150-82m without Panel Board</t>
  </si>
  <si>
    <t>GWDMR160</t>
  </si>
  <si>
    <t>Supply of Single Phase Submersible Pump 6 HP, Discharge 1800-4320 lph, Head 318-210m without Panel Board</t>
  </si>
  <si>
    <t>GWDDR070</t>
  </si>
  <si>
    <t>GWDMR161</t>
  </si>
  <si>
    <t>Supply of Three Phase Submersible Pump 10 HP, Discharge 6000-18000 lph, Head 146-90m without Panel Board</t>
  </si>
  <si>
    <t>GWDMR162</t>
  </si>
  <si>
    <t>Supply of Three Phase Submersible Pump 10 HP, Discharge 3600-21600 lph, Head 162-27m without Panel Board</t>
  </si>
  <si>
    <t>MR10227</t>
  </si>
  <si>
    <t>GWDMR163</t>
  </si>
  <si>
    <t>PVC Pipe, 8kg/cm2, 200mm Dia.</t>
  </si>
  <si>
    <t>Supply of Three Phase Submersible Pump 10 HP, Discharge 5000-14000 lph, Head 205-110m without Panel Board</t>
  </si>
  <si>
    <t>GWDDR071</t>
  </si>
  <si>
    <t>GWDMR164</t>
  </si>
  <si>
    <t>Supply of Three Phase Submersible Pump 10 HP, Discharge 3000-9000 lph, Head 279-144m without Panel Board</t>
  </si>
  <si>
    <t>WTP Multi Port Valve</t>
  </si>
  <si>
    <t>GWDMR165</t>
  </si>
  <si>
    <t>Supply of Three Phase Submersible Pump 12.5 HP, Discharge 3600-25200 lph, Head 157-41m without Panel Board</t>
  </si>
  <si>
    <t>GWDMR166</t>
  </si>
  <si>
    <t>Supply of Three Phase Submersible Pump 12.5 HP, Discharge 6000-18000 lph, Head 179-110m without Panel Board</t>
  </si>
  <si>
    <t>GWDDR072</t>
  </si>
  <si>
    <t>GWDMR167</t>
  </si>
  <si>
    <t>Supply of Three Phase Submersible Pump 12.5 HP, Discharge 5000-14000 lph, Head 242-129m without Panel Board</t>
  </si>
  <si>
    <t>GWDMR168</t>
  </si>
  <si>
    <t>Supply of Three Phase Submersible Pump 12.5 HP, Discharge 3000-9000 lph, Head 335-177m without Panel Board</t>
  </si>
  <si>
    <t>GWDMR169</t>
  </si>
  <si>
    <t>Supply of Three Phase Submersible Pump 3 HP, Discharge 5200-10600 lph, Head 86-27m without Panel Board</t>
  </si>
  <si>
    <t>Providing and fixing G.I. pipes complete with G.I fittings: 40 mm dia nominal bore</t>
  </si>
  <si>
    <t>GWDMR170</t>
  </si>
  <si>
    <t>Supply of Three Phase Submersible Pump 3 HP, Discharge 3000-7500 lph, Head 125-60m without Panel Board</t>
  </si>
  <si>
    <t>GWDDR073</t>
  </si>
  <si>
    <t>GWDMR171</t>
  </si>
  <si>
    <t>Supply of Three Phase Submersible Pump 3 HP, Discharge 2500-6000 lph, Head 147-51m without Panel Board</t>
  </si>
  <si>
    <t>GWDMR172</t>
  </si>
  <si>
    <t>Supply of Three Phase Submersible Pump 3 HP, Discharge 1000-5000 lph, Head 163-66m without Panel Board</t>
  </si>
  <si>
    <t>G.I. pipes 40 mm dia</t>
  </si>
  <si>
    <t>GWDMR173</t>
  </si>
  <si>
    <t>Supply of Three Phase Submersible Pump 3 HP, Discharge 1200-2800 lph, Head 184-86m without Panel Board</t>
  </si>
  <si>
    <t>GWDDR074</t>
  </si>
  <si>
    <t>GWDMR174</t>
  </si>
  <si>
    <t>Supply of Three Phase Submersible Pump 3 HP, Discharge 1200-2800 lph, Head 207-83m without Panel Board</t>
  </si>
  <si>
    <t>GWDMR175</t>
  </si>
  <si>
    <t>Supply of Three Phase Submersible Pump 3 HP, Discharge 1200-2800 lph, Head 245-98m without Panel Board</t>
  </si>
  <si>
    <t>1.02x36.50 = 37.23 kg = 0.03723tonne</t>
  </si>
  <si>
    <t>WTP Distributer</t>
  </si>
  <si>
    <t>GWDMR176</t>
  </si>
  <si>
    <t>Supply of Three Phase Submersible Pump 5 HP, Discharge 9000-24000 lph, Head 70-23m without Panel Board</t>
  </si>
  <si>
    <t>GWDMR177</t>
  </si>
  <si>
    <t>Sundries-White lead, hemp, oil etc,</t>
  </si>
  <si>
    <t>Supply of Three Phase Submersible Pump 5 HP, Discharge 7200-15000 lph, Head 78-41m without Panel Board</t>
  </si>
  <si>
    <t>GWDDR075</t>
  </si>
  <si>
    <t>GWDMR178</t>
  </si>
  <si>
    <t>Supply of Three Phase Submersible Pump 5 HP, Discharge 5000-14000 lph, Head 93-50m without Panel Board</t>
  </si>
  <si>
    <t>GWDMR179</t>
  </si>
  <si>
    <t>Supply of Three Phase Submersible Pump 5 HP, Discharge 5000-14000 lph, Head 102-55m without Panel Board</t>
  </si>
  <si>
    <t>GWDMR180</t>
  </si>
  <si>
    <t>Supply of Three Phase Submersible Pump 5 HP, Discharge 3900-10800 lph, Head 111-49m without Panel Board</t>
  </si>
  <si>
    <t>GWDDR076</t>
  </si>
  <si>
    <t>GWDMR181</t>
  </si>
  <si>
    <t>Supply of Three Phase Submersible Pump 5 HP, Discharge 3000-9000 lph, Head 140-72m without Panel Board</t>
  </si>
  <si>
    <t>GWDMR182</t>
  </si>
  <si>
    <t>Supply of Three Phase Submersible Pump 5 HP, Discharge 4000-10000 lph, Head 163-62m without Panel Board</t>
  </si>
  <si>
    <t>GWDMR183</t>
  </si>
  <si>
    <t>Supply of Three Phase Submersible Pump 5 HP, Discharge 2000-6000 lph, Head 195-120m without Panel Board</t>
  </si>
  <si>
    <t>GWDDR077</t>
  </si>
  <si>
    <t>GWDMR184</t>
  </si>
  <si>
    <t>Supply of Three Phase Submersible Pump 5 HP, Discharge 2500-6000 lph, Head 245-85m without Panel Board</t>
  </si>
  <si>
    <t>WTP Dosing Pump</t>
  </si>
  <si>
    <t>GWDMR185</t>
  </si>
  <si>
    <t>Supply of Three Phase Submersible Pump 5 HP, Discharge 2500-6000 lph, Head 285-70m without Panel Board</t>
  </si>
  <si>
    <t>GWDMR186</t>
  </si>
  <si>
    <t>Supply of Three Phase Submersible Pump 5 HP, Discharge 1000-3000 lph, Head 333-183m without Panel Board</t>
  </si>
  <si>
    <t>GWDDR078</t>
  </si>
  <si>
    <t>GWDMR187</t>
  </si>
  <si>
    <t>Supply of Three Phase Submersible Pump 7.5 HP, Discharge 12000-30000 lph, Head 74-29m without Panel Board</t>
  </si>
  <si>
    <t>GWDMR188</t>
  </si>
  <si>
    <t>Supply of Three Phase Submersible Pump 7.5 HP, Discharge 7200-18000 lph, Head 94-65m without Panel Board</t>
  </si>
  <si>
    <t>GWDMR189</t>
  </si>
  <si>
    <t>Supply of Three Phase Submersible Pump 7.5 HP, Discharge 6000-18000 lph, Head 112-69m without Panel Board</t>
  </si>
  <si>
    <t>GWDDR079</t>
  </si>
  <si>
    <t>GWDMR190</t>
  </si>
  <si>
    <t>Supply of Three Phase Submersible Pump 7.5 HP, Discharge 5000-14000 lph, Head 140-75m without Panel Board</t>
  </si>
  <si>
    <t>GWDMR191</t>
  </si>
  <si>
    <t>Supply of Three Phase Submersible Pump 7.5 HP, Discharge 5000-14000 lph, Head 158-85m without Panel Board</t>
  </si>
  <si>
    <t>Providing and fixing G.I. pipes complete with G.I fittings: 50 mm dia nominal bore</t>
  </si>
  <si>
    <t>WTP Feed Pump</t>
  </si>
  <si>
    <t>GWDMR192</t>
  </si>
  <si>
    <t>Supply of Three Phase Submersible Pump 7.5 HP, Discharge 3000-9000 lph, Head 214-110m without Panel Board</t>
  </si>
  <si>
    <t>GWDMR193</t>
  </si>
  <si>
    <t>32 A DP switch with indicator modular (MR1017)</t>
  </si>
  <si>
    <t>GWDDR080</t>
  </si>
  <si>
    <t>GWDMR194</t>
  </si>
  <si>
    <t>S&amp;F Digital Timer Switch</t>
  </si>
  <si>
    <t>Motor Starter</t>
  </si>
  <si>
    <t>G.I pipes 50 mm dia</t>
  </si>
  <si>
    <t>GWDDR081</t>
  </si>
  <si>
    <t>1.02 x 51.70 = 52.73 kg = 0.05273 tonne</t>
  </si>
  <si>
    <t>GWDDR082</t>
  </si>
  <si>
    <t>WTP Sludge Pump</t>
  </si>
  <si>
    <t>Supplying, assembling, lowering and fixing in vertical position in Borewell, PVC 200mm 10 Kg/cm2 well casing pipe of required dia, conforming to IS : 4985:2000, including required hire and labour charges, fittings &amp; accessories etc. all complete, for all depths, as per direction of Engineer- in- Charge.</t>
  </si>
  <si>
    <t>GWDDR083</t>
  </si>
  <si>
    <t>WTP UV Plant</t>
  </si>
  <si>
    <t>GWDDR084</t>
  </si>
  <si>
    <t>MR10240</t>
  </si>
  <si>
    <t>PVC Pipe, 10kg/cm2, 200mm Dia.</t>
  </si>
  <si>
    <t>GWDDR085</t>
  </si>
  <si>
    <t>GWDDR086</t>
  </si>
  <si>
    <t>Providing and fixing G.I. pipes complete with G.I fittings: 65 mm dia nominal bore</t>
  </si>
  <si>
    <t>WTP Plant Controller</t>
  </si>
  <si>
    <t>G.I. pipes 65 mm dia</t>
  </si>
  <si>
    <t>GWDDR087</t>
  </si>
  <si>
    <t>WTP Pressure Gauge</t>
  </si>
  <si>
    <t>1.02 x 66.30 = 67.626 kg = 0.067626 tonne</t>
  </si>
  <si>
    <t>GWDDR088</t>
  </si>
  <si>
    <t>100 kg</t>
  </si>
  <si>
    <t>WTP Filter Media</t>
  </si>
  <si>
    <t>GWDDR089</t>
  </si>
  <si>
    <t>18.12.1</t>
  </si>
  <si>
    <t>Providing and fixing G.I. pipes complete with G.I fittings including trenching and refilling etc. External work 15 mm dia nominal bore (18.12.1)</t>
  </si>
  <si>
    <t>18.12.2</t>
  </si>
  <si>
    <t>Providing and fixing G.I. pipes complete with G.I fittings including trenching and refilling etc. External work 20 mm dia nominal bore (18.12.2)</t>
  </si>
  <si>
    <t>GWDDR090</t>
  </si>
  <si>
    <t>18.12.3</t>
  </si>
  <si>
    <t>Providing and fixing G.I. pipes complete with G.I fittings including trenching and refilling etc. External work 25 mm dia nominal bore (18.12.3)</t>
  </si>
  <si>
    <t>18.12.4</t>
  </si>
  <si>
    <t>Providing and fixing G.I. pipes complete with G.I fittings including trenching and refilling etc. External work 32 mm dia nominal bore (18.12.4)</t>
  </si>
  <si>
    <t>18.12.5</t>
  </si>
  <si>
    <t>Providing and fixing G.I. pipes complete with G.I fittings including trenching and refilling etc. External work 40 mm dia nominal bore (18.12.5)</t>
  </si>
  <si>
    <t>18.12.6</t>
  </si>
  <si>
    <t>Providing and fixing G.I. pipes complete with G.I fittings including trenching and refilling etc. External work 50 mm dia nominal bore (18.12.6)</t>
  </si>
  <si>
    <t>18.12.7</t>
  </si>
  <si>
    <t>Providing and fixing G.I. pipes complete with G.I fittings including trenching and refilling etc. External work 65 mm dia nominal bore (18.12.7)</t>
  </si>
  <si>
    <t>18.12.8</t>
  </si>
  <si>
    <t>Providing and fixing G.I. pipes complete with G.I fittings including trenching and refilling etc. External work 80 mm dia nominal bore (18.12.8)</t>
  </si>
  <si>
    <t>GWDDR091</t>
  </si>
  <si>
    <t>25 kg</t>
  </si>
  <si>
    <t>WTP Dosing Chemicals</t>
  </si>
  <si>
    <t>GWDDR092</t>
  </si>
  <si>
    <t>GWDDR093</t>
  </si>
  <si>
    <t>Sor/Spec Code</t>
  </si>
  <si>
    <t>Providing and fixing G.I. pipes complete with G.I fittings: 80 mm dia nominal bore</t>
  </si>
  <si>
    <t>WTP Plant Installation</t>
  </si>
  <si>
    <t>MR Code</t>
  </si>
  <si>
    <t>Remarks</t>
  </si>
  <si>
    <t>GWDDR094</t>
  </si>
  <si>
    <t>G.I. pipes 80 mm dia</t>
  </si>
  <si>
    <t>each visit</t>
  </si>
  <si>
    <t>WTP Plant Visit</t>
  </si>
  <si>
    <t>Label</t>
  </si>
  <si>
    <t>GI work in single section, fixed with or without connecting plate, including cutting, hoisting, fixing in position and applying a priming coat of approved steel primer all complete.</t>
  </si>
  <si>
    <t>GWDDR095</t>
  </si>
  <si>
    <t>Header Unit</t>
  </si>
  <si>
    <t>kilogram</t>
  </si>
  <si>
    <t>1.02 x 86.40 = 88.128 kg = 0.088128 tonne</t>
  </si>
  <si>
    <t>Header Quantity</t>
  </si>
  <si>
    <t>Supplying, assembling, lowering and fixing in vertical position in Borewell, PVC 110 mm 6 Kg/cm2 well casing pipe of required dia, conforming to IS : 4985:2000, including required hire and labour charges, fittings &amp; accessories etc. all complete, for all depths, as per direction of Engineer- in- Charge.</t>
  </si>
  <si>
    <t>kg</t>
  </si>
  <si>
    <t>GI Works</t>
  </si>
  <si>
    <t>Header Details</t>
  </si>
  <si>
    <t>Details of cost for one quintal</t>
  </si>
  <si>
    <t>GWDDR096</t>
  </si>
  <si>
    <t>Material</t>
  </si>
  <si>
    <t>Investigation &amp; Logging</t>
  </si>
  <si>
    <t>M</t>
  </si>
  <si>
    <t>MR10214</t>
  </si>
  <si>
    <t>PVC Pipe, 6kg/cm2, 110mm Dia.</t>
  </si>
  <si>
    <t>GWDDR097</t>
  </si>
  <si>
    <t>GI sheet: 1.00q Add wastage @ 5% = 0.05q Total+ 1.05q
GI sheet 0.8 mm thick confirming to IS 277:1992</t>
  </si>
  <si>
    <t>q</t>
  </si>
  <si>
    <t>M1</t>
  </si>
  <si>
    <t>Carriage</t>
  </si>
  <si>
    <t>C</t>
  </si>
  <si>
    <t>Carriage of Steel</t>
  </si>
  <si>
    <t>GWDDR098</t>
  </si>
  <si>
    <t>Labour</t>
  </si>
  <si>
    <t>L</t>
  </si>
  <si>
    <t>GWDDR099</t>
  </si>
  <si>
    <t>L1</t>
  </si>
  <si>
    <t>Blacksmith 1st class</t>
  </si>
  <si>
    <t>L2</t>
  </si>
  <si>
    <t>Providing and fixing G.I. pipes complete with G.I fittings: 15 mm dia nominal bore</t>
  </si>
  <si>
    <t>GWDDR100</t>
  </si>
  <si>
    <t>Blacksmith 2nd class</t>
  </si>
  <si>
    <t>Borewell Drilling</t>
  </si>
  <si>
    <t>1214/1215</t>
  </si>
  <si>
    <t>Welding by electric/gas plant</t>
  </si>
  <si>
    <t>GWDDR101</t>
  </si>
  <si>
    <t>cm</t>
  </si>
  <si>
    <t>L3</t>
  </si>
  <si>
    <t>G.I. pipes 15 mm dia</t>
  </si>
  <si>
    <t>Subdata</t>
  </si>
  <si>
    <t>13.50.3</t>
  </si>
  <si>
    <t>Finishing : With ready mixed red oxide zinc chromate primer of approved brand and manufacture on steel galvanised iron /steel works</t>
  </si>
  <si>
    <t>GWDDR102</t>
  </si>
  <si>
    <t>S1</t>
  </si>
  <si>
    <t>Tubewell Drilling</t>
  </si>
  <si>
    <t>GWDDR103</t>
  </si>
  <si>
    <t>UNIT TOTAL</t>
  </si>
  <si>
    <t>GWDDR104</t>
  </si>
  <si>
    <t>Water Charge@ 1.00 %</t>
  </si>
  <si>
    <t>Filterpoint Well</t>
  </si>
  <si>
    <t>Filterpoint Well Drilling</t>
  </si>
  <si>
    <t>GWDDR105</t>
  </si>
  <si>
    <t>Contractors Profit &amp; Overhead@ 15.00 %</t>
  </si>
  <si>
    <t>Flushing/Developing</t>
  </si>
  <si>
    <t>Supplying, assembling, lowering and fixing in vertical position in Borewell, PVC 110 mm 4 Kg/cm2 well casing pipe of required dia, conforming to IS : 4985:2000, including required hire and labour charges, fittings &amp; accessories etc. all complete, for all depths, as per direction of Engineer- in- Charge.</t>
  </si>
  <si>
    <t>GWDDR106</t>
  </si>
  <si>
    <t>Grand Total</t>
  </si>
  <si>
    <t>/kg</t>
  </si>
  <si>
    <t>MR55</t>
  </si>
  <si>
    <t>Providing and fixing G.I. pipes complete with G.I fittings: 20 mm dia nominal bore</t>
  </si>
  <si>
    <t>PVC pipe 110 mm outer dia. 4kgf/cm2</t>
  </si>
  <si>
    <t>GWDDR107</t>
  </si>
  <si>
    <t>G.I. pipes 20 mm dia</t>
  </si>
  <si>
    <t>GWDDR108</t>
  </si>
  <si>
    <t>Water Quality Analysis</t>
  </si>
  <si>
    <t>GWDDR109</t>
  </si>
  <si>
    <t>GWDDR110</t>
  </si>
  <si>
    <t>Pump Pullout</t>
  </si>
  <si>
    <t>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t>
  </si>
  <si>
    <t>GWDDR111</t>
  </si>
  <si>
    <t>cum</t>
  </si>
  <si>
    <t>Supplying, assembling, lowering and fixing in vertical position in Borewell, PVC 140 mm 10 Kg/cm2 well casing pipe of required dia, conforming to IS : 4985:2000, including required hire and labour charges, fittings &amp; accessories etc. all complete, for all depths, as per direction of Engineer- in- Charge.</t>
  </si>
  <si>
    <t>MR10044</t>
  </si>
  <si>
    <t>GWDDR112</t>
  </si>
  <si>
    <t>Cost of pebble 2 mm to 6 mm / 6mm to 12mm.</t>
  </si>
  <si>
    <t>MR10238</t>
  </si>
  <si>
    <t>PVC Pipe, 10kg/cm2, 140mm Dia.</t>
  </si>
  <si>
    <t>GWDDR114</t>
  </si>
  <si>
    <t>GWDDR115</t>
  </si>
  <si>
    <t>3 Core Cable</t>
  </si>
  <si>
    <t>GWDDR116</t>
  </si>
  <si>
    <t>Gutter &amp; Clamp</t>
  </si>
  <si>
    <t>Providing and fixing PVC full pipe as gutter pipes includes laying jointing of pipes complete as per direction of Engineer in Charge for 140 mm dia 6 KGF/cm2</t>
  </si>
  <si>
    <t>GWDDR117</t>
  </si>
  <si>
    <t>MATERIALS:</t>
  </si>
  <si>
    <t>GWDDR118</t>
  </si>
  <si>
    <t>GWDDR119</t>
  </si>
  <si>
    <t>Coolie
For spreading.</t>
  </si>
  <si>
    <t>Add 5% for fittings and wastage etc. on (A)</t>
  </si>
  <si>
    <t>Tools &amp; Plants</t>
  </si>
  <si>
    <t>GWDDR120</t>
  </si>
  <si>
    <t>Sundries
Hire for tools.</t>
  </si>
  <si>
    <t>T1</t>
  </si>
  <si>
    <t>Sundries
Charges for testing.</t>
  </si>
  <si>
    <t>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t>
  </si>
  <si>
    <t>GWDDR121</t>
  </si>
  <si>
    <t>T2</t>
  </si>
  <si>
    <t>GWDDR122</t>
  </si>
  <si>
    <t>DL2</t>
  </si>
  <si>
    <t>PVC Pipe, 10kg/cm2, 180mm Dia.</t>
  </si>
  <si>
    <t>GWDDR123</t>
  </si>
  <si>
    <t>UG Cable</t>
  </si>
  <si>
    <t>Assistant Fitter or 2nd class fitter</t>
  </si>
  <si>
    <t>GWDDR124</t>
  </si>
  <si>
    <t>GWDDR125</t>
  </si>
  <si>
    <t>GWDDR126</t>
  </si>
  <si>
    <t>GWDDR127</t>
  </si>
  <si>
    <t>GWDDR128</t>
  </si>
  <si>
    <t>Providing and fixing PVC gutter pipes includes laying jointing of pipes, complete as per direction of Engineer in Charge.for 160 mm dia 6 KGF/cm2</t>
  </si>
  <si>
    <t>Hand Pump Erection and Pullout</t>
  </si>
  <si>
    <t>0</t>
  </si>
  <si>
    <t>Hand pump erection (deep well)</t>
  </si>
  <si>
    <t>GWDDR129</t>
  </si>
  <si>
    <t>Tools hire charge (DSR 0015)</t>
  </si>
  <si>
    <t>day</t>
  </si>
  <si>
    <t>GWDDR130</t>
  </si>
  <si>
    <t>116</t>
  </si>
  <si>
    <t>Fitter, Plumber, Electrician</t>
  </si>
  <si>
    <t>114</t>
  </si>
  <si>
    <t>GWDDR131</t>
  </si>
  <si>
    <t>GWDDR132</t>
  </si>
  <si>
    <t>Hand pump erection (extra deep well)</t>
  </si>
  <si>
    <t>GWDDR133</t>
  </si>
  <si>
    <t>0015</t>
  </si>
  <si>
    <t>India Mark II Hand Pump Pullout, Repairing and Re-Erection Labour Charges</t>
  </si>
  <si>
    <t>0116</t>
  </si>
  <si>
    <t>GWDDR134</t>
  </si>
  <si>
    <t>0114</t>
  </si>
  <si>
    <t>(i)</t>
  </si>
  <si>
    <t>Labour charges for detaching the handpump, pullout of pipe and cylinder from the borewell, washing and cleaning of parts, renovation of damaged pipe threads, replacement of spare parts as required, and reinstallation of the handpump after necessary repairs, including loading and unloading of tools and machinery (excluding cost of spare parts).</t>
  </si>
  <si>
    <t>GWDDR135</t>
  </si>
  <si>
    <t>Providing and fixing 140mm square PVC gutter pipes includes laying jointing of pipes including clamp, complete as per direction of Engineer in Charge</t>
  </si>
  <si>
    <t>GWDDR136</t>
  </si>
  <si>
    <t>Hand pump pullout (deep well)</t>
  </si>
  <si>
    <t>Fitter (grade I)</t>
  </si>
  <si>
    <t xml:space="preserve">PVC pipe 140 mm square </t>
  </si>
  <si>
    <t>/day</t>
  </si>
  <si>
    <t>GWDDR137</t>
  </si>
  <si>
    <t>0117</t>
  </si>
  <si>
    <t>Assistant Fitter or 2nd class Fitter</t>
  </si>
  <si>
    <t>GWDDR138</t>
  </si>
  <si>
    <t>0115</t>
  </si>
  <si>
    <t>(ii)</t>
  </si>
  <si>
    <t>Hire charges for vehicle for to and fro transportation of tools, tripod with winch machine, etc.</t>
  </si>
  <si>
    <t>Hand pump pullout (extra deep well)</t>
  </si>
  <si>
    <t>0083</t>
  </si>
  <si>
    <t>Hire charges of TATA 407 or equivalent for local shifting.</t>
  </si>
  <si>
    <t>GWDDR139</t>
  </si>
  <si>
    <t>9999</t>
  </si>
  <si>
    <t>Sundries</t>
  </si>
  <si>
    <t>LS</t>
  </si>
  <si>
    <t>/LS</t>
  </si>
  <si>
    <t xml:space="preserve">Total    </t>
  </si>
  <si>
    <t>GWDDR140</t>
  </si>
  <si>
    <t>Water charges 1%</t>
  </si>
  <si>
    <t>Hand pump pullout and re-erection (deep well)</t>
  </si>
  <si>
    <t>GWDDR141</t>
  </si>
  <si>
    <t>Providing and fixing 160mm square PVC gutter pipes includes laying jointing of pipes including clamp, complete as per direction of Engineer in Charge</t>
  </si>
  <si>
    <t>CPOH 15%</t>
  </si>
  <si>
    <t>GWDDR142</t>
  </si>
  <si>
    <t xml:space="preserve">PVC pipe 160 mm square </t>
  </si>
  <si>
    <t>Add 15% for fittings and wastage etc. on (A)</t>
  </si>
  <si>
    <t>GWDDR143</t>
  </si>
  <si>
    <t>Hand pump pullout and re-erection (extra deep well)</t>
  </si>
  <si>
    <t>GWDDR144</t>
  </si>
  <si>
    <t>GWDDR145</t>
  </si>
  <si>
    <t>Water Meter</t>
  </si>
  <si>
    <t>GWDDR146</t>
  </si>
  <si>
    <t>GROUND WATER DEPARTMENT</t>
  </si>
  <si>
    <t>GWDDR147</t>
  </si>
  <si>
    <t>PVC Pipes Exposed on Wall</t>
  </si>
  <si>
    <t>GWDDR148</t>
  </si>
  <si>
    <t xml:space="preserve">REVISED RATES 2021 FOR REPAIR AND SPARE PARTS OF INDIA MARK II </t>
  </si>
  <si>
    <t>Providing and fixing MS Clamp for gutter pipe as per direction of Engineer in Charge.</t>
  </si>
  <si>
    <t>GWDDR149</t>
  </si>
  <si>
    <t>Hydrants with tap (for common use of size 0.8 x 0.5 m platform)</t>
  </si>
  <si>
    <t>DEEP WELL HAND PUMPS CONFIRMING TO IS: 15500 (Part II) 2004</t>
  </si>
  <si>
    <t>Details of cost for 10 Nos</t>
  </si>
  <si>
    <t>MR118</t>
  </si>
  <si>
    <t>Clamp using Galvanized MS flat clamp</t>
  </si>
  <si>
    <t>Nos</t>
  </si>
  <si>
    <t>(MR)</t>
  </si>
  <si>
    <t>GWDDR150</t>
  </si>
  <si>
    <t xml:space="preserve">Price list for Spare Parts </t>
  </si>
  <si>
    <r>
      <rPr>
        <rFont val="Cambria"/>
        <color theme="1"/>
        <sz val="12.0"/>
      </rPr>
      <t>110 mm 4kg/cm</t>
    </r>
    <r>
      <rPr>
        <rFont val="Cambria"/>
        <color theme="1"/>
        <sz val="12.0"/>
        <vertAlign val="superscript"/>
      </rPr>
      <t>2</t>
    </r>
    <r>
      <rPr>
        <rFont val="Cambria"/>
        <color theme="1"/>
        <sz val="12.0"/>
      </rPr>
      <t xml:space="preserve"> PVC Pipe (MR55)</t>
    </r>
  </si>
  <si>
    <t>/m</t>
  </si>
  <si>
    <t xml:space="preserve"> Conversion Head Assembly</t>
  </si>
  <si>
    <r>
      <rPr>
        <rFont val="Cambria"/>
        <color theme="1"/>
        <sz val="12.0"/>
      </rPr>
      <t>32mm 10kg/cm</t>
    </r>
    <r>
      <rPr>
        <rFont val="Cambria"/>
        <color theme="1"/>
        <sz val="12.0"/>
        <vertAlign val="superscript"/>
      </rPr>
      <t>2</t>
    </r>
    <r>
      <rPr>
        <rFont val="Cambria"/>
        <color theme="1"/>
        <sz val="12.0"/>
      </rPr>
      <t xml:space="preserve"> PVC Pipe (MR44)</t>
    </r>
  </si>
  <si>
    <t>GWDDR151</t>
  </si>
  <si>
    <t>Cost of 10 Nos</t>
  </si>
  <si>
    <t>PVC tap</t>
  </si>
  <si>
    <t>No</t>
  </si>
  <si>
    <t>Head Assembly complete (with Head, Handle, Ball Bearings and  Chain Assembly)</t>
  </si>
  <si>
    <t>Cost per each</t>
  </si>
  <si>
    <t>/E</t>
  </si>
  <si>
    <t>MR10048</t>
  </si>
  <si>
    <t>GWDDR152</t>
  </si>
  <si>
    <t>Blacksmith</t>
  </si>
  <si>
    <t>25mm GI Nipple</t>
  </si>
  <si>
    <t>25mm GI elbow</t>
  </si>
  <si>
    <t>Head with welded components only without cover</t>
  </si>
  <si>
    <t>¾" X ½" GI Reducer</t>
  </si>
  <si>
    <t>1" X ¾" GI Reducer</t>
  </si>
  <si>
    <t xml:space="preserve"> Sub Total</t>
  </si>
  <si>
    <t>Handle (welded components only)</t>
  </si>
  <si>
    <t>GWDDR153</t>
  </si>
  <si>
    <t>Additional Plate</t>
  </si>
  <si>
    <t>Front Cover</t>
  </si>
  <si>
    <t>Axle (Stainless Steel)</t>
  </si>
  <si>
    <t xml:space="preserve">Total  </t>
  </si>
  <si>
    <t>Ball Bearing 6204 Z</t>
  </si>
  <si>
    <t>GWDDR154</t>
  </si>
  <si>
    <t>Earth work excavation as per DSR item 2.8.1</t>
  </si>
  <si>
    <t>Chain with coupling</t>
  </si>
  <si>
    <r>
      <rPr>
        <rFont val="Cambria"/>
        <color theme="1"/>
        <sz val="12.0"/>
      </rPr>
      <t>m</t>
    </r>
    <r>
      <rPr>
        <rFont val="Cambria"/>
        <color theme="1"/>
        <sz val="12.0"/>
        <vertAlign val="superscript"/>
      </rPr>
      <t>3</t>
    </r>
  </si>
  <si>
    <t>/m3</t>
  </si>
  <si>
    <t>Spacer for Axle Pin</t>
  </si>
  <si>
    <t>Cement concrete 1:2:4, 20mm with nominal size graded stone, for filling the PVC Pipe and platform construction as per DSR item 4.1.3</t>
  </si>
  <si>
    <t>M 12 x 20 Hex Bolt for Top Head Cover</t>
  </si>
  <si>
    <t>GWDDR155</t>
  </si>
  <si>
    <r>
      <rPr>
        <rFont val="Cambria"/>
        <color theme="1"/>
        <sz val="12.0"/>
      </rPr>
      <t>m</t>
    </r>
    <r>
      <rPr>
        <rFont val="Cambria"/>
        <color theme="1"/>
        <sz val="12.0"/>
        <vertAlign val="superscript"/>
      </rPr>
      <t>3</t>
    </r>
  </si>
  <si>
    <t>M 12 x 40 Hex Bolt</t>
  </si>
  <si>
    <t>Form work as per DSR item 5.9.1</t>
  </si>
  <si>
    <t>M 12 Nut</t>
  </si>
  <si>
    <r>
      <rPr>
        <rFont val="Cambria"/>
        <color theme="1"/>
        <sz val="12.0"/>
      </rPr>
      <t>m</t>
    </r>
    <r>
      <rPr>
        <rFont val="Cambria"/>
        <color theme="1"/>
        <sz val="12.0"/>
        <vertAlign val="superscript"/>
      </rPr>
      <t>2</t>
    </r>
  </si>
  <si>
    <t>M.12 Washer</t>
  </si>
  <si>
    <r>
      <rPr>
        <rFont val="Cambria"/>
        <color theme="1"/>
        <sz val="12.0"/>
      </rPr>
      <t>/m</t>
    </r>
    <r>
      <rPr>
        <rFont val="Cambria"/>
        <color theme="1"/>
        <sz val="12.0"/>
        <vertAlign val="superscript"/>
      </rPr>
      <t>2</t>
    </r>
  </si>
  <si>
    <t>GWDDR156</t>
  </si>
  <si>
    <t>Plastering with CM 1:4 12cm thick with for platform base as per DSR item 13.1.1</t>
  </si>
  <si>
    <t>M 10 x 40 H.T Bolt</t>
  </si>
  <si>
    <r>
      <rPr>
        <rFont val="Cambria"/>
        <color theme="1"/>
        <sz val="12.0"/>
      </rPr>
      <t>m</t>
    </r>
    <r>
      <rPr>
        <rFont val="Cambria"/>
        <color theme="1"/>
        <sz val="12.0"/>
        <vertAlign val="superscript"/>
      </rPr>
      <t>2</t>
    </r>
  </si>
  <si>
    <t>M.10 Nylon Nut</t>
  </si>
  <si>
    <r>
      <rPr>
        <rFont val="Cambria"/>
        <color theme="1"/>
        <sz val="12.0"/>
      </rPr>
      <t>/m</t>
    </r>
    <r>
      <rPr>
        <rFont val="Cambria"/>
        <color theme="1"/>
        <sz val="12.0"/>
        <vertAlign val="superscript"/>
      </rPr>
      <t>2</t>
    </r>
  </si>
  <si>
    <t xml:space="preserve">Labour charge for Hydrants for all fittings
Fitter (0116)
</t>
  </si>
  <si>
    <t>Special Washer for Axle</t>
  </si>
  <si>
    <t>Beldar (0114)</t>
  </si>
  <si>
    <t>Sub Total</t>
  </si>
  <si>
    <t>GWDDR157</t>
  </si>
  <si>
    <t>Cylinder Assembly</t>
  </si>
  <si>
    <t>Cylinder Assembly Complete</t>
  </si>
  <si>
    <t>Angle Iron Structure To Support 5000 Litres Capacity Water Tank At 4 m Height</t>
  </si>
  <si>
    <t>C.I.Cylinder Body with liner</t>
  </si>
  <si>
    <t xml:space="preserve">Total for labour </t>
  </si>
  <si>
    <t>GWDDR158</t>
  </si>
  <si>
    <t>Plunger Rod S.S</t>
  </si>
  <si>
    <t>Quantity of angle iron, flats, M.S. sheets etc</t>
  </si>
  <si>
    <t>Reducer cap</t>
  </si>
  <si>
    <t>Item</t>
  </si>
  <si>
    <t>Plunger Yoke body</t>
  </si>
  <si>
    <t>No.</t>
  </si>
  <si>
    <t>GWDDR159</t>
  </si>
  <si>
    <t>Spacer</t>
  </si>
  <si>
    <t>Hydrants with tap ( for individual families of size 0.6 X 0.3 M platform)</t>
  </si>
  <si>
    <t>Columns</t>
  </si>
  <si>
    <t>Follower</t>
  </si>
  <si>
    <t>Upper Valve ( one piece)</t>
  </si>
  <si>
    <r>
      <rPr>
        <rFont val="Cambria"/>
        <color theme="1"/>
        <sz val="12.0"/>
      </rPr>
      <t>110 mm 4kg/cm</t>
    </r>
    <r>
      <rPr>
        <rFont val="Cambria"/>
        <color theme="1"/>
        <sz val="12.0"/>
        <vertAlign val="superscript"/>
      </rPr>
      <t>2</t>
    </r>
    <r>
      <rPr>
        <rFont val="Cambria"/>
        <color theme="1"/>
        <sz val="12.0"/>
      </rPr>
      <t xml:space="preserve"> PVC Pipe (MR55)</t>
    </r>
  </si>
  <si>
    <r>
      <rPr>
        <rFont val="Cambria"/>
        <color theme="1"/>
        <sz val="12.0"/>
      </rPr>
      <t>75</t>
    </r>
    <r>
      <rPr>
        <rFont val="Cambria"/>
        <color theme="1"/>
        <sz val="12.0"/>
        <vertAlign val="superscript"/>
      </rPr>
      <t>2</t>
    </r>
    <r>
      <rPr>
        <rFont val="Cambria"/>
        <color theme="1"/>
        <sz val="12.0"/>
      </rPr>
      <t xml:space="preserve"> x 6</t>
    </r>
  </si>
  <si>
    <t>Check valve guide</t>
  </si>
  <si>
    <t>GWDDR160</t>
  </si>
  <si>
    <t>m</t>
  </si>
  <si>
    <t>Check valve seat</t>
  </si>
  <si>
    <r>
      <rPr>
        <rFont val="Cambria"/>
        <color theme="1"/>
        <sz val="12.0"/>
      </rPr>
      <t>32mm 10kg/cm</t>
    </r>
    <r>
      <rPr>
        <rFont val="Cambria"/>
        <color theme="1"/>
        <sz val="12.0"/>
        <vertAlign val="superscript"/>
      </rPr>
      <t>2</t>
    </r>
    <r>
      <rPr>
        <rFont val="Cambria"/>
        <color theme="1"/>
        <sz val="12.0"/>
      </rPr>
      <t xml:space="preserve"> PVC Pipe (MR44)</t>
    </r>
  </si>
  <si>
    <t>Columns (extra in foundation)</t>
  </si>
  <si>
    <t>Rubber seat Retainer</t>
  </si>
  <si>
    <r>
      <rPr>
        <rFont val="Cambria"/>
        <color theme="1"/>
        <sz val="12.0"/>
      </rPr>
      <t>75</t>
    </r>
    <r>
      <rPr>
        <rFont val="Cambria"/>
        <color theme="1"/>
        <sz val="12.0"/>
        <vertAlign val="superscript"/>
      </rPr>
      <t>2</t>
    </r>
    <r>
      <rPr>
        <rFont val="Cambria"/>
        <color theme="1"/>
        <sz val="12.0"/>
      </rPr>
      <t xml:space="preserve"> x 6</t>
    </r>
  </si>
  <si>
    <t>Sealing ring (Nitrile Rubber)</t>
  </si>
  <si>
    <t>GWDDR161</t>
  </si>
  <si>
    <r>
      <rPr>
        <rFont val="Cambria"/>
        <color theme="1"/>
        <sz val="12.0"/>
      </rPr>
      <t>Horizontal bracing (1</t>
    </r>
    <r>
      <rPr>
        <rFont val="Cambria"/>
        <color theme="1"/>
        <sz val="12.0"/>
        <vertAlign val="superscript"/>
      </rPr>
      <t>st</t>
    </r>
    <r>
      <rPr>
        <rFont val="Cambria"/>
        <color theme="1"/>
        <sz val="12.0"/>
      </rPr>
      <t xml:space="preserve"> portion)</t>
    </r>
  </si>
  <si>
    <t>Rubber seating upper valve</t>
  </si>
  <si>
    <r>
      <rPr>
        <rFont val="Cambria"/>
        <color theme="1"/>
        <sz val="12.0"/>
      </rPr>
      <t>50</t>
    </r>
    <r>
      <rPr>
        <rFont val="Cambria"/>
        <color theme="1"/>
        <sz val="12.0"/>
        <vertAlign val="superscript"/>
      </rPr>
      <t>2</t>
    </r>
    <r>
      <rPr>
        <rFont val="Cambria"/>
        <color theme="1"/>
        <sz val="12.0"/>
      </rPr>
      <t xml:space="preserve"> x 6</t>
    </r>
  </si>
  <si>
    <r>
      <rPr>
        <rFont val="Cambria"/>
        <color theme="1"/>
        <sz val="12.0"/>
      </rPr>
      <t xml:space="preserve">¾" </t>
    </r>
    <r>
      <rPr>
        <rFont val="Cambria"/>
        <color theme="1"/>
        <sz val="12.0"/>
      </rPr>
      <t xml:space="preserve">X </t>
    </r>
    <r>
      <rPr>
        <rFont val="Cambria"/>
        <color theme="1"/>
        <sz val="12.0"/>
      </rPr>
      <t>½" GI Reducer</t>
    </r>
  </si>
  <si>
    <t>Rubber seating check valve</t>
  </si>
  <si>
    <r>
      <rPr>
        <rFont val="Cambria"/>
        <color theme="1"/>
        <sz val="12.0"/>
      </rPr>
      <t>Horizontal bracing (2</t>
    </r>
    <r>
      <rPr>
        <rFont val="Cambria"/>
        <color theme="1"/>
        <sz val="12.0"/>
        <vertAlign val="superscript"/>
      </rPr>
      <t>nd</t>
    </r>
    <r>
      <rPr>
        <rFont val="Cambria"/>
        <color theme="1"/>
        <sz val="12.0"/>
      </rPr>
      <t xml:space="preserve"> portion)</t>
    </r>
  </si>
  <si>
    <t>GWDDR162</t>
  </si>
  <si>
    <r>
      <rPr>
        <rFont val="Cambria"/>
        <color theme="1"/>
        <sz val="12.0"/>
      </rPr>
      <t>50</t>
    </r>
    <r>
      <rPr>
        <rFont val="Cambria"/>
        <color theme="1"/>
        <sz val="12.0"/>
        <vertAlign val="superscript"/>
      </rPr>
      <t>2</t>
    </r>
    <r>
      <rPr>
        <rFont val="Cambria"/>
        <color theme="1"/>
        <sz val="12.0"/>
      </rPr>
      <t xml:space="preserve"> x 6</t>
    </r>
  </si>
  <si>
    <t>Pump Bucket (Nitrile Rubber)</t>
  </si>
  <si>
    <r>
      <rPr>
        <rFont val="Cambria"/>
        <color theme="1"/>
        <sz val="12.0"/>
      </rPr>
      <t>Horizontal bracing (3</t>
    </r>
    <r>
      <rPr>
        <rFont val="Cambria"/>
        <color theme="1"/>
        <sz val="12.0"/>
        <vertAlign val="superscript"/>
      </rPr>
      <t>rd</t>
    </r>
    <r>
      <rPr>
        <rFont val="Cambria"/>
        <color theme="1"/>
        <sz val="12.0"/>
      </rPr>
      <t xml:space="preserve"> portion)</t>
    </r>
  </si>
  <si>
    <t>Upper valve Assembly comprising of SS Plunger rod, Plunger Yoke body, 2 spacer &amp; 2 bucket washers</t>
  </si>
  <si>
    <r>
      <rPr>
        <rFont val="Cambria"/>
        <color theme="1"/>
        <sz val="12.0"/>
      </rPr>
      <t>50</t>
    </r>
    <r>
      <rPr>
        <rFont val="Cambria"/>
        <color theme="1"/>
        <sz val="12.0"/>
        <vertAlign val="superscript"/>
      </rPr>
      <t>2</t>
    </r>
    <r>
      <rPr>
        <rFont val="Cambria"/>
        <color theme="1"/>
        <sz val="12.0"/>
      </rPr>
      <t xml:space="preserve"> x 6</t>
    </r>
  </si>
  <si>
    <t>Same as above but without plunger rod</t>
  </si>
  <si>
    <r>
      <rPr>
        <rFont val="Cambria"/>
        <color theme="1"/>
        <sz val="12.0"/>
      </rPr>
      <t>Diagonal bracing (1</t>
    </r>
    <r>
      <rPr>
        <rFont val="Cambria"/>
        <color theme="1"/>
        <sz val="12.0"/>
        <vertAlign val="superscript"/>
      </rPr>
      <t>st</t>
    </r>
    <r>
      <rPr>
        <rFont val="Cambria"/>
        <color theme="1"/>
        <sz val="12.0"/>
      </rPr>
      <t xml:space="preserve">  portion)</t>
    </r>
  </si>
  <si>
    <t>GWDDR163</t>
  </si>
  <si>
    <r>
      <rPr>
        <rFont val="Cambria"/>
        <color theme="1"/>
        <sz val="12.0"/>
      </rPr>
      <t>35</t>
    </r>
    <r>
      <rPr>
        <rFont val="Cambria"/>
        <color theme="1"/>
        <sz val="12.0"/>
        <vertAlign val="superscript"/>
      </rPr>
      <t>2</t>
    </r>
    <r>
      <rPr>
        <rFont val="Cambria"/>
        <color theme="1"/>
        <sz val="12.0"/>
      </rPr>
      <t xml:space="preserve"> x 5</t>
    </r>
  </si>
  <si>
    <t>Lower Valve Assembly comprising of Rubber Seat Retainer, Check valve guide and rubber seating</t>
  </si>
  <si>
    <r>
      <rPr>
        <rFont val="Cambria"/>
        <color theme="1"/>
        <sz val="12.0"/>
      </rPr>
      <t>Diagonal bracing (2</t>
    </r>
    <r>
      <rPr>
        <rFont val="Cambria"/>
        <color theme="1"/>
        <sz val="12.0"/>
        <vertAlign val="superscript"/>
      </rPr>
      <t>nd</t>
    </r>
    <r>
      <rPr>
        <rFont val="Cambria"/>
        <color theme="1"/>
        <sz val="12.0"/>
      </rPr>
      <t xml:space="preserve"> portion)</t>
    </r>
  </si>
  <si>
    <t>Water Tank</t>
  </si>
  <si>
    <r>
      <rPr>
        <rFont val="Cambria"/>
        <color theme="1"/>
        <sz val="12.0"/>
      </rPr>
      <t>m</t>
    </r>
    <r>
      <rPr>
        <rFont val="Cambria"/>
        <color theme="1"/>
        <sz val="12.0"/>
        <vertAlign val="superscript"/>
      </rPr>
      <t>3</t>
    </r>
  </si>
  <si>
    <r>
      <rPr>
        <rFont val="Cambria"/>
        <color theme="1"/>
        <sz val="12.0"/>
      </rPr>
      <t>35</t>
    </r>
    <r>
      <rPr>
        <rFont val="Cambria"/>
        <color theme="1"/>
        <sz val="12.0"/>
        <vertAlign val="superscript"/>
      </rPr>
      <t>2</t>
    </r>
    <r>
      <rPr>
        <rFont val="Cambria"/>
        <color theme="1"/>
        <sz val="12.0"/>
      </rPr>
      <t xml:space="preserve"> x 5</t>
    </r>
  </si>
  <si>
    <t>Vertical bracing (top section)</t>
  </si>
  <si>
    <r>
      <rPr>
        <rFont val="Cambria"/>
        <color theme="1"/>
        <sz val="12.0"/>
      </rPr>
      <t>m</t>
    </r>
    <r>
      <rPr>
        <rFont val="Cambria"/>
        <color theme="1"/>
        <sz val="12.0"/>
        <vertAlign val="superscript"/>
      </rPr>
      <t>3</t>
    </r>
  </si>
  <si>
    <r>
      <rPr>
        <rFont val="Cambria"/>
        <color theme="1"/>
        <sz val="12.0"/>
      </rPr>
      <t>50</t>
    </r>
    <r>
      <rPr>
        <rFont val="Cambria"/>
        <color theme="1"/>
        <sz val="12.0"/>
        <vertAlign val="superscript"/>
      </rPr>
      <t>2</t>
    </r>
    <r>
      <rPr>
        <rFont val="Cambria"/>
        <color theme="1"/>
        <sz val="12.0"/>
      </rPr>
      <t xml:space="preserve"> x 6</t>
    </r>
  </si>
  <si>
    <t>GWDDR164</t>
  </si>
  <si>
    <r>
      <rPr>
        <rFont val="Cambria"/>
        <color theme="1"/>
        <sz val="12.0"/>
      </rPr>
      <t>m</t>
    </r>
    <r>
      <rPr>
        <rFont val="Cambria"/>
        <color theme="1"/>
        <sz val="12.0"/>
        <vertAlign val="superscript"/>
      </rPr>
      <t>2</t>
    </r>
  </si>
  <si>
    <t>Platform</t>
  </si>
  <si>
    <r>
      <rPr>
        <rFont val="Cambria"/>
        <color theme="1"/>
        <sz val="12.0"/>
      </rPr>
      <t>/m</t>
    </r>
    <r>
      <rPr>
        <rFont val="Cambria"/>
        <color theme="1"/>
        <sz val="12.0"/>
        <vertAlign val="superscript"/>
      </rPr>
      <t>2</t>
    </r>
  </si>
  <si>
    <t>Pipe Sockets</t>
  </si>
  <si>
    <r>
      <rPr>
        <rFont val="Cambria"/>
        <color theme="1"/>
        <sz val="12.0"/>
      </rPr>
      <t>m</t>
    </r>
    <r>
      <rPr>
        <rFont val="Cambria"/>
        <color theme="1"/>
        <sz val="12.0"/>
        <vertAlign val="superscript"/>
      </rPr>
      <t>2</t>
    </r>
  </si>
  <si>
    <t>Top bracing</t>
  </si>
  <si>
    <r>
      <rPr>
        <rFont val="Cambria"/>
        <color theme="1"/>
        <sz val="12.0"/>
      </rPr>
      <t>/m</t>
    </r>
    <r>
      <rPr>
        <rFont val="Cambria"/>
        <color theme="1"/>
        <sz val="12.0"/>
        <vertAlign val="superscript"/>
      </rPr>
      <t>2</t>
    </r>
  </si>
  <si>
    <t>Pedestal</t>
  </si>
  <si>
    <r>
      <rPr>
        <rFont val="Cambria"/>
        <color theme="1"/>
        <sz val="12.0"/>
      </rPr>
      <t>75</t>
    </r>
    <r>
      <rPr>
        <rFont val="Cambria"/>
        <color theme="1"/>
        <sz val="12.0"/>
        <vertAlign val="superscript"/>
      </rPr>
      <t>2</t>
    </r>
    <r>
      <rPr>
        <rFont val="Cambria"/>
        <color theme="1"/>
        <sz val="12.0"/>
      </rPr>
      <t xml:space="preserve"> x 6</t>
    </r>
  </si>
  <si>
    <t>Pedestal (Ordinary)</t>
  </si>
  <si>
    <t>Connecting Rods</t>
  </si>
  <si>
    <t>Cross bracing (Top Middle)</t>
  </si>
  <si>
    <t>GWDDR165</t>
  </si>
  <si>
    <r>
      <rPr>
        <rFont val="Cambria"/>
        <color theme="1"/>
        <sz val="12.0"/>
      </rPr>
      <t>50</t>
    </r>
    <r>
      <rPr>
        <rFont val="Cambria"/>
        <color theme="1"/>
        <sz val="12.0"/>
        <vertAlign val="superscript"/>
      </rPr>
      <t>2</t>
    </r>
    <r>
      <rPr>
        <rFont val="Cambria"/>
        <color theme="1"/>
        <sz val="12.0"/>
      </rPr>
      <t xml:space="preserve"> x 6</t>
    </r>
  </si>
  <si>
    <t>12 mm dia x 3 m electro galvanized</t>
  </si>
  <si>
    <t>Platform Parapet</t>
  </si>
  <si>
    <t>Hex. Coupler 12 x 50 mm</t>
  </si>
  <si>
    <t>Hex. Coupler 12 x 20 mm</t>
  </si>
  <si>
    <t>Vertical post</t>
  </si>
  <si>
    <t>Riser Pipe</t>
  </si>
  <si>
    <r>
      <rPr>
        <rFont val="Cambria"/>
        <color theme="1"/>
        <sz val="12.0"/>
      </rPr>
      <t>25</t>
    </r>
    <r>
      <rPr>
        <rFont val="Cambria"/>
        <color theme="1"/>
        <sz val="12.0"/>
        <vertAlign val="superscript"/>
      </rPr>
      <t>2</t>
    </r>
    <r>
      <rPr>
        <rFont val="Cambria"/>
        <color theme="1"/>
        <sz val="12.0"/>
      </rPr>
      <t xml:space="preserve"> x 5</t>
    </r>
  </si>
  <si>
    <t>GI Riser pipe (B class) 3 m long 32mm bore size both end threaded with one end socket (Code: 1548 - Including Water Charge and CPOH)</t>
  </si>
  <si>
    <t xml:space="preserve">Total  for labour </t>
  </si>
  <si>
    <t>Horizontal post</t>
  </si>
  <si>
    <t>GWDDR166</t>
  </si>
  <si>
    <r>
      <rPr>
        <rFont val="Cambria"/>
        <color theme="1"/>
        <sz val="12.0"/>
      </rPr>
      <t>35</t>
    </r>
    <r>
      <rPr>
        <rFont val="Cambria"/>
        <color theme="1"/>
        <sz val="12.0"/>
        <vertAlign val="superscript"/>
      </rPr>
      <t>2</t>
    </r>
    <r>
      <rPr>
        <rFont val="Cambria"/>
        <color theme="1"/>
        <sz val="12.0"/>
      </rPr>
      <t xml:space="preserve"> x 5</t>
    </r>
  </si>
  <si>
    <t>Ladder</t>
  </si>
  <si>
    <t>Additional Spares</t>
  </si>
  <si>
    <t>Ladder Post (flat)</t>
  </si>
  <si>
    <t>35 x 6</t>
  </si>
  <si>
    <t>Cylinder Extra deep well hand pump</t>
  </si>
  <si>
    <t>Head Assembly for extra deep well pump with T</t>
  </si>
  <si>
    <t>New Hand Pump Rate</t>
  </si>
  <si>
    <t xml:space="preserve">Ladder steps </t>
  </si>
  <si>
    <t>GWDDR167</t>
  </si>
  <si>
    <t xml:space="preserve"> ISI marked India Mark II (Standard) Deep well hand pumps confirming to IS: 15500 (Part II) 2004 complete with 10 Nos. GI pipe (B class) 3m long  32mm bore both end threaded with one end socket and 10 Nos connecting rods</t>
  </si>
  <si>
    <t>M. S. Sheet 16 gauge thick</t>
  </si>
  <si>
    <t xml:space="preserve"> ISI marked India Mark II (Standard) Extra Deep well hand pumps confirming to IS: 15500 (Part II) 2004 complete with 20 Nos. GI pipe (B class) 3m long  32mm bore both end threaded with one end socket and 20 Nos connecting rods</t>
  </si>
  <si>
    <r>
      <rPr>
        <rFont val="Cambria"/>
        <color theme="1"/>
        <sz val="12.0"/>
      </rPr>
      <t>m</t>
    </r>
    <r>
      <rPr>
        <rFont val="Cambria"/>
        <color theme="1"/>
        <sz val="12.0"/>
        <vertAlign val="superscript"/>
      </rPr>
      <t>2</t>
    </r>
  </si>
  <si>
    <t>M. S. plate  15 mm thick</t>
  </si>
  <si>
    <r>
      <rPr>
        <rFont val="Cambria"/>
        <color theme="1"/>
        <sz val="12.0"/>
      </rPr>
      <t>m</t>
    </r>
    <r>
      <rPr>
        <rFont val="Cambria"/>
        <color theme="1"/>
        <sz val="12.0"/>
        <vertAlign val="superscript"/>
      </rPr>
      <t>2</t>
    </r>
  </si>
  <si>
    <t>GWDDR168</t>
  </si>
  <si>
    <t>Abstract</t>
  </si>
  <si>
    <t>Weight</t>
  </si>
  <si>
    <t>Total (Kg)</t>
  </si>
  <si>
    <t>M. S. Angles</t>
  </si>
  <si>
    <r>
      <rPr>
        <rFont val="Cambria"/>
        <color theme="1"/>
        <sz val="12.0"/>
      </rPr>
      <t>75</t>
    </r>
    <r>
      <rPr>
        <rFont val="Cambria"/>
        <color theme="1"/>
        <sz val="12.0"/>
        <vertAlign val="superscript"/>
      </rPr>
      <t>2</t>
    </r>
    <r>
      <rPr>
        <rFont val="Cambria"/>
        <color theme="1"/>
        <sz val="12.0"/>
      </rPr>
      <t xml:space="preserve"> x 6</t>
    </r>
  </si>
  <si>
    <t>Kg/m</t>
  </si>
  <si>
    <t>Locking Arrangements - Supplying and Fixing lock and locking arrangements with suitable chain hooks,and padlock of 65mm size. (60.4)</t>
  </si>
  <si>
    <t>GWDDR169</t>
  </si>
  <si>
    <r>
      <rPr>
        <rFont val="Cambria"/>
        <color theme="1"/>
        <sz val="12.0"/>
      </rPr>
      <t>50</t>
    </r>
    <r>
      <rPr>
        <rFont val="Cambria"/>
        <color theme="1"/>
        <sz val="12.0"/>
        <vertAlign val="superscript"/>
      </rPr>
      <t>2</t>
    </r>
    <r>
      <rPr>
        <rFont val="Cambria"/>
        <color theme="1"/>
        <sz val="12.0"/>
      </rPr>
      <t xml:space="preserve"> x 6</t>
    </r>
  </si>
  <si>
    <r>
      <rPr>
        <rFont val="Cambria"/>
        <color theme="1"/>
        <sz val="12.0"/>
      </rPr>
      <t>35</t>
    </r>
    <r>
      <rPr>
        <rFont val="Cambria"/>
        <color theme="1"/>
        <sz val="12.0"/>
        <vertAlign val="superscript"/>
      </rPr>
      <t>2</t>
    </r>
    <r>
      <rPr>
        <rFont val="Cambria"/>
        <color theme="1"/>
        <sz val="12.0"/>
      </rPr>
      <t xml:space="preserve"> x 5</t>
    </r>
  </si>
  <si>
    <r>
      <rPr>
        <rFont val="Cambria"/>
        <color theme="1"/>
        <sz val="12.0"/>
      </rPr>
      <t>25</t>
    </r>
    <r>
      <rPr>
        <rFont val="Cambria"/>
        <color theme="1"/>
        <sz val="12.0"/>
        <vertAlign val="superscript"/>
      </rPr>
      <t>2</t>
    </r>
    <r>
      <rPr>
        <rFont val="Cambria"/>
        <color theme="1"/>
        <sz val="12.0"/>
      </rPr>
      <t xml:space="preserve"> x 5</t>
    </r>
  </si>
  <si>
    <t>M. S. Flats</t>
  </si>
  <si>
    <t>GWDDR170</t>
  </si>
  <si>
    <t>MR302</t>
  </si>
  <si>
    <t>Hooks for locking arrangements</t>
  </si>
  <si>
    <t>Metallic Pump House of size 1.2 x 0.9 x 2 m</t>
  </si>
  <si>
    <t>Sl. No.</t>
  </si>
  <si>
    <t>MR303</t>
  </si>
  <si>
    <t>Chain for locking arrangemet</t>
  </si>
  <si>
    <t>GWDDR171</t>
  </si>
  <si>
    <t>B</t>
  </si>
  <si>
    <r>
      <rPr>
        <rFont val="Cambria"/>
        <color theme="1"/>
        <sz val="12.0"/>
      </rPr>
      <t>Kg/m</t>
    </r>
    <r>
      <rPr>
        <rFont val="Cambria"/>
        <color theme="1"/>
        <sz val="12.0"/>
        <vertAlign val="superscript"/>
      </rPr>
      <t>2</t>
    </r>
  </si>
  <si>
    <t>D</t>
  </si>
  <si>
    <t>MR304</t>
  </si>
  <si>
    <t>Padlock 65mm</t>
  </si>
  <si>
    <r>
      <rPr>
        <rFont val="Cambria"/>
        <color theme="1"/>
        <sz val="12.0"/>
      </rPr>
      <t>Kg/m</t>
    </r>
    <r>
      <rPr>
        <rFont val="Cambria"/>
        <color theme="1"/>
        <sz val="12.0"/>
        <vertAlign val="superscript"/>
      </rPr>
      <t>2</t>
    </r>
  </si>
  <si>
    <t xml:space="preserve">Unit </t>
  </si>
  <si>
    <t>TOTAL (Material)</t>
  </si>
  <si>
    <t>no</t>
  </si>
  <si>
    <t>GWDDR172</t>
  </si>
  <si>
    <t>Surface dressing of the ground including removing vegetation and in-equalities not exceeding 15 cm deep and disposal of rubbish, lead up to 50 m and lift up to 1.5 m.
All kinds of soil as per DSR item 2.28.1</t>
  </si>
  <si>
    <t>Description of work</t>
  </si>
  <si>
    <t>H</t>
  </si>
  <si>
    <t>Area</t>
  </si>
  <si>
    <t>Structural steel work  including wastage, cutting, hoisting, fixing in position and applying a priming coat of approved steel primer all complete as per DSR 10.1</t>
  </si>
  <si>
    <t>GWDDR173</t>
  </si>
  <si>
    <t>/Kg</t>
  </si>
  <si>
    <t>Providing and fixing bolts including nuts and washers complete as per DSR item 10.20</t>
  </si>
  <si>
    <t>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as per DSR item 2.8.1</t>
  </si>
  <si>
    <t>GWDDR174</t>
  </si>
  <si>
    <t>Providing and laying in position cement concrete of specified grade excluding the cost of centering and shuttering - All work up to plinth level: 1:2:4 as per DSR item 4.1.3</t>
  </si>
  <si>
    <t>Carpenter 2nd class</t>
  </si>
  <si>
    <t>GWDDR175</t>
  </si>
  <si>
    <t>Unforeseen items</t>
  </si>
  <si>
    <r>
      <rPr>
        <rFont val="Cambria"/>
        <color theme="1"/>
        <sz val="12.0"/>
      </rPr>
      <t>m</t>
    </r>
    <r>
      <rPr>
        <rFont val="Cambria"/>
        <color theme="1"/>
        <sz val="12.0"/>
        <vertAlign val="superscript"/>
      </rPr>
      <t>2</t>
    </r>
  </si>
  <si>
    <t>GWDDR176</t>
  </si>
  <si>
    <t>Say Rs. 71000 x Index</t>
  </si>
  <si>
    <t>GI Pipes Exposed on Wall</t>
  </si>
  <si>
    <t>Angle Iron Structure To Support 3000 Litres Capacity Water Tank At 4 m Height</t>
  </si>
  <si>
    <t>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as per DSR item 2.8.1</t>
  </si>
  <si>
    <t>GWDDR177</t>
  </si>
  <si>
    <t>Foundation</t>
  </si>
  <si>
    <t>GWDDR178</t>
  </si>
  <si>
    <t>652 x 6</t>
  </si>
  <si>
    <t>Step</t>
  </si>
  <si>
    <t>GWDDR179</t>
  </si>
  <si>
    <t>Horizontal bracing (1st portion)</t>
  </si>
  <si>
    <t>502 x 6</t>
  </si>
  <si>
    <t>Horizontal bracing (2nd portion)</t>
  </si>
  <si>
    <t>Horizontal bracing (3rd portion)</t>
  </si>
  <si>
    <t>GWDDR180</t>
  </si>
  <si>
    <t>Diagonal bracing (1st portion)</t>
  </si>
  <si>
    <t>352 x 5</t>
  </si>
  <si>
    <t>Diagonal bracing (2nd portion)</t>
  </si>
  <si>
    <r>
      <rPr>
        <rFont val="Cambria"/>
        <color theme="1"/>
        <sz val="12.0"/>
      </rPr>
      <t>m</t>
    </r>
    <r>
      <rPr>
        <rFont val="Cambria"/>
        <color theme="1"/>
        <sz val="12.0"/>
        <vertAlign val="superscript"/>
      </rPr>
      <t>3</t>
    </r>
  </si>
  <si>
    <t>GWDDR181</t>
  </si>
  <si>
    <t>Providing and laying in position cement concrete of specified grade excluding the cost of centering and shuttering - All work up to plinth level: 1:4:8 as per DSR item 4.1.8</t>
  </si>
  <si>
    <t>GWDDR182</t>
  </si>
  <si>
    <t>252 x 5</t>
  </si>
  <si>
    <t>Ladder steps</t>
  </si>
  <si>
    <t>m2</t>
  </si>
  <si>
    <t>M. S. plate 15 mm thick</t>
  </si>
  <si>
    <t>GWDDR183</t>
  </si>
  <si>
    <r>
      <rPr>
        <rFont val="Cambria"/>
        <color theme="1"/>
        <sz val="12.0"/>
      </rPr>
      <t>m</t>
    </r>
    <r>
      <rPr>
        <rFont val="Cambria"/>
        <color theme="1"/>
        <sz val="12.0"/>
        <vertAlign val="superscript"/>
      </rPr>
      <t>3</t>
    </r>
  </si>
  <si>
    <t>GWDDR184</t>
  </si>
  <si>
    <t>Coursed rubble masonry (first sort) with hard stone in foundation and plinth with Cement mortar 1:6 as per DSR item 7.6.1</t>
  </si>
  <si>
    <t>Foundation &amp; Basement</t>
  </si>
  <si>
    <t>S &amp; F Motor starters of the following ratings Submersible pump controllers with ammeter,DPMCB for single phase 2.5HP submersible motor pumps (DOL)</t>
  </si>
  <si>
    <t>Kg/m2</t>
  </si>
  <si>
    <t>GWDDR185</t>
  </si>
  <si>
    <t>COST FOR 1 EACH A1 MATERIALS</t>
  </si>
  <si>
    <t>Material (M), Labour (L), Additional Charges (A)</t>
  </si>
  <si>
    <t>Structural steel work including wastage, cutting, hoisting, fixing in position and applying a priming coat of approved steel primer all complete as per DSR 10.1</t>
  </si>
  <si>
    <t>Submersible pump controllers with ammeter,DPMCB for single phase 2.5HP submersible motor pumps (DOL)</t>
  </si>
  <si>
    <t>GWDDR186</t>
  </si>
  <si>
    <t>MR704</t>
  </si>
  <si>
    <t>Man Mazdoor</t>
  </si>
  <si>
    <r>
      <rPr>
        <rFont val="Cambria"/>
        <color theme="1"/>
        <sz val="12.0"/>
      </rPr>
      <t>m</t>
    </r>
    <r>
      <rPr>
        <rFont val="Cambria"/>
        <color theme="1"/>
        <sz val="12.0"/>
        <vertAlign val="superscript"/>
      </rPr>
      <t>3</t>
    </r>
  </si>
  <si>
    <t>GWDDR187</t>
  </si>
  <si>
    <t>tcode</t>
  </si>
  <si>
    <t>12 mm cement plaster of mix 1:4 as per DSR item 13.1.1</t>
  </si>
  <si>
    <t>Other Charge @ .5% of :(M1+L2)
 Add Hire charges for T&amp;P @ 0.5%</t>
  </si>
  <si>
    <t xml:space="preserve">Outside </t>
  </si>
  <si>
    <t>Say Rs. 62000 x Index</t>
  </si>
  <si>
    <t>A1</t>
  </si>
  <si>
    <t>Angle Iron Structure To Support 5000 Litres Capacity Water Tank At 6 m Height</t>
  </si>
  <si>
    <t>GWDDR188</t>
  </si>
  <si>
    <t xml:space="preserve">Top </t>
  </si>
  <si>
    <t>Cartage@ 1.00 % (for material)</t>
  </si>
  <si>
    <t>GWDDR189</t>
  </si>
  <si>
    <r>
      <rPr>
        <rFont val="Cambria"/>
        <color theme="1"/>
        <sz val="12.0"/>
      </rPr>
      <t>75</t>
    </r>
    <r>
      <rPr>
        <rFont val="Cambria"/>
        <color theme="1"/>
        <sz val="12.0"/>
        <vertAlign val="superscript"/>
      </rPr>
      <t>2</t>
    </r>
    <r>
      <rPr>
        <rFont val="Cambria"/>
        <color theme="1"/>
        <sz val="12.0"/>
      </rPr>
      <t xml:space="preserve"> x 6</t>
    </r>
  </si>
  <si>
    <t>Step sides</t>
  </si>
  <si>
    <t>Step top</t>
  </si>
  <si>
    <r>
      <rPr>
        <rFont val="Cambria"/>
        <color theme="1"/>
        <sz val="12.0"/>
      </rPr>
      <t>75</t>
    </r>
    <r>
      <rPr>
        <rFont val="Cambria"/>
        <color theme="1"/>
        <sz val="12.0"/>
        <vertAlign val="superscript"/>
      </rPr>
      <t>2</t>
    </r>
    <r>
      <rPr>
        <rFont val="Cambria"/>
        <color theme="1"/>
        <sz val="12.0"/>
      </rPr>
      <t xml:space="preserve"> x 6</t>
    </r>
  </si>
  <si>
    <t>GWDDR190</t>
  </si>
  <si>
    <r>
      <rPr>
        <rFont val="Cambria"/>
        <color theme="1"/>
        <sz val="12.0"/>
      </rPr>
      <t>Horizontal bracing (1</t>
    </r>
    <r>
      <rPr>
        <rFont val="Cambria"/>
        <color theme="1"/>
        <sz val="12.0"/>
        <vertAlign val="superscript"/>
      </rPr>
      <t>st</t>
    </r>
    <r>
      <rPr>
        <rFont val="Cambria"/>
        <color theme="1"/>
        <sz val="12.0"/>
      </rPr>
      <t xml:space="preserve"> portion)</t>
    </r>
  </si>
  <si>
    <r>
      <rPr>
        <rFont val="Cambria"/>
        <color theme="1"/>
        <sz val="12.0"/>
      </rPr>
      <t>50</t>
    </r>
    <r>
      <rPr>
        <rFont val="Cambria"/>
        <color theme="1"/>
        <sz val="12.0"/>
        <vertAlign val="superscript"/>
      </rPr>
      <t>2</t>
    </r>
    <r>
      <rPr>
        <rFont val="Cambria"/>
        <color theme="1"/>
        <sz val="12.0"/>
      </rPr>
      <t xml:space="preserve"> x 6</t>
    </r>
  </si>
  <si>
    <r>
      <rPr>
        <rFont val="Cambria"/>
        <color theme="1"/>
        <sz val="12.0"/>
      </rPr>
      <t>Horizontal bracing (2</t>
    </r>
    <r>
      <rPr>
        <rFont val="Cambria"/>
        <color theme="1"/>
        <sz val="12.0"/>
        <vertAlign val="superscript"/>
      </rPr>
      <t>nd</t>
    </r>
    <r>
      <rPr>
        <rFont val="Cambria"/>
        <color theme="1"/>
        <sz val="12.0"/>
      </rPr>
      <t xml:space="preserve"> portion)</t>
    </r>
  </si>
  <si>
    <t>GWDDR191</t>
  </si>
  <si>
    <r>
      <rPr>
        <rFont val="Cambria"/>
        <color theme="1"/>
        <sz val="12.0"/>
      </rPr>
      <t>m</t>
    </r>
    <r>
      <rPr>
        <rFont val="Cambria"/>
        <color theme="1"/>
        <sz val="12.0"/>
        <vertAlign val="superscript"/>
      </rPr>
      <t>2</t>
    </r>
  </si>
  <si>
    <r>
      <rPr>
        <rFont val="Cambria"/>
        <color theme="1"/>
        <sz val="12.0"/>
      </rPr>
      <t>50</t>
    </r>
    <r>
      <rPr>
        <rFont val="Cambria"/>
        <color theme="1"/>
        <sz val="12.0"/>
        <vertAlign val="superscript"/>
      </rPr>
      <t>2</t>
    </r>
    <r>
      <rPr>
        <rFont val="Cambria"/>
        <color theme="1"/>
        <sz val="12.0"/>
      </rPr>
      <t xml:space="preserve"> x 6</t>
    </r>
  </si>
  <si>
    <r>
      <rPr>
        <rFont val="Cambria"/>
        <color theme="1"/>
        <sz val="12.0"/>
      </rPr>
      <t>Horizontal bracing (3</t>
    </r>
    <r>
      <rPr>
        <rFont val="Cambria"/>
        <color theme="1"/>
        <sz val="12.0"/>
        <vertAlign val="superscript"/>
      </rPr>
      <t>rd</t>
    </r>
    <r>
      <rPr>
        <rFont val="Cambria"/>
        <color theme="1"/>
        <sz val="12.0"/>
      </rPr>
      <t xml:space="preserve"> portion)</t>
    </r>
  </si>
  <si>
    <t>Iron screws, 35 mm X 6 mm</t>
  </si>
  <si>
    <t>Filling available excavated earth (excluding rock) in trenches, plinth, sides of foundations etc. in layers not exceeding 20 cm in depth, consolidating each deposited layer by ramming and watering, lead up to 50 m and lift up to 1.5 m as per DSR item  2.25</t>
  </si>
  <si>
    <r>
      <rPr>
        <rFont val="Cambria"/>
        <color theme="1"/>
        <sz val="12.0"/>
      </rPr>
      <t>50</t>
    </r>
    <r>
      <rPr>
        <rFont val="Cambria"/>
        <color theme="1"/>
        <sz val="12.0"/>
        <vertAlign val="superscript"/>
      </rPr>
      <t>2</t>
    </r>
    <r>
      <rPr>
        <rFont val="Cambria"/>
        <color theme="1"/>
        <sz val="12.0"/>
      </rPr>
      <t xml:space="preserve"> x 6</t>
    </r>
  </si>
  <si>
    <t>M2</t>
  </si>
  <si>
    <r>
      <rPr>
        <rFont val="Cambria"/>
        <color theme="1"/>
        <sz val="12.0"/>
      </rPr>
      <t>Horizontal bracing (4</t>
    </r>
    <r>
      <rPr>
        <rFont val="Cambria"/>
        <color theme="1"/>
        <sz val="12.0"/>
        <vertAlign val="superscript"/>
      </rPr>
      <t>th</t>
    </r>
    <r>
      <rPr>
        <rFont val="Cambria"/>
        <color theme="1"/>
        <sz val="12.0"/>
      </rPr>
      <t xml:space="preserve"> portion)</t>
    </r>
  </si>
  <si>
    <t>GWDDR192</t>
  </si>
  <si>
    <t>Inside Area of Basement</t>
  </si>
  <si>
    <t>Fitter, Grade 2</t>
  </si>
  <si>
    <r>
      <rPr>
        <rFont val="Cambria"/>
        <color theme="1"/>
        <sz val="12.0"/>
      </rPr>
      <t>50</t>
    </r>
    <r>
      <rPr>
        <rFont val="Cambria"/>
        <color theme="1"/>
        <sz val="12.0"/>
        <vertAlign val="superscript"/>
      </rPr>
      <t>2</t>
    </r>
    <r>
      <rPr>
        <rFont val="Cambria"/>
        <color theme="1"/>
        <sz val="12.0"/>
      </rPr>
      <t xml:space="preserve"> x 6</t>
    </r>
  </si>
  <si>
    <r>
      <rPr>
        <rFont val="Cambria"/>
        <color theme="1"/>
        <sz val="12.0"/>
      </rPr>
      <t>Diagonal bracing (1</t>
    </r>
    <r>
      <rPr>
        <rFont val="Cambria"/>
        <color theme="1"/>
        <sz val="12.0"/>
        <vertAlign val="superscript"/>
      </rPr>
      <t>st</t>
    </r>
    <r>
      <rPr>
        <rFont val="Cambria"/>
        <color theme="1"/>
        <sz val="12.0"/>
      </rPr>
      <t xml:space="preserve">  portion)</t>
    </r>
  </si>
  <si>
    <t>Other Charge @ .5% of :(M2+L1)
 Add Hire charges for T&amp;P @ 0.5%</t>
  </si>
  <si>
    <r>
      <rPr>
        <rFont val="Cambria"/>
        <color theme="1"/>
        <sz val="12.0"/>
      </rPr>
      <t>35</t>
    </r>
    <r>
      <rPr>
        <rFont val="Cambria"/>
        <color theme="1"/>
        <sz val="12.0"/>
        <vertAlign val="superscript"/>
      </rPr>
      <t>2</t>
    </r>
    <r>
      <rPr>
        <rFont val="Cambria"/>
        <color theme="1"/>
        <sz val="12.0"/>
      </rPr>
      <t xml:space="preserve"> x 5</t>
    </r>
  </si>
  <si>
    <t>GWDDR193</t>
  </si>
  <si>
    <r>
      <rPr>
        <rFont val="Cambria"/>
        <color theme="1"/>
        <sz val="12.0"/>
      </rPr>
      <t>Diagonal bracing (2</t>
    </r>
    <r>
      <rPr>
        <rFont val="Cambria"/>
        <color theme="1"/>
        <sz val="12.0"/>
        <vertAlign val="superscript"/>
      </rPr>
      <t>nd</t>
    </r>
    <r>
      <rPr>
        <rFont val="Cambria"/>
        <color theme="1"/>
        <sz val="12.0"/>
      </rPr>
      <t xml:space="preserve"> portion)</t>
    </r>
  </si>
  <si>
    <t>A2</t>
  </si>
  <si>
    <r>
      <rPr>
        <rFont val="Cambria"/>
        <color theme="1"/>
        <sz val="12.0"/>
      </rPr>
      <t>35</t>
    </r>
    <r>
      <rPr>
        <rFont val="Cambria"/>
        <color theme="1"/>
        <sz val="12.0"/>
        <vertAlign val="superscript"/>
      </rPr>
      <t>2</t>
    </r>
    <r>
      <rPr>
        <rFont val="Cambria"/>
        <color theme="1"/>
        <sz val="12.0"/>
      </rPr>
      <t xml:space="preserve"> x 5</t>
    </r>
  </si>
  <si>
    <r>
      <rPr>
        <rFont val="Cambria"/>
        <color theme="1"/>
        <sz val="12.0"/>
      </rPr>
      <t>Diagonal bracing (3</t>
    </r>
    <r>
      <rPr>
        <rFont val="Cambria"/>
        <color theme="1"/>
        <sz val="12.0"/>
        <vertAlign val="superscript"/>
      </rPr>
      <t>rd</t>
    </r>
    <r>
      <rPr>
        <rFont val="Cambria"/>
        <color theme="1"/>
        <sz val="12.0"/>
      </rPr>
      <t xml:space="preserve"> portion)</t>
    </r>
  </si>
  <si>
    <r>
      <rPr>
        <rFont val="Cambria"/>
        <color theme="1"/>
        <sz val="12.0"/>
      </rPr>
      <t>35</t>
    </r>
    <r>
      <rPr>
        <rFont val="Cambria"/>
        <color theme="1"/>
        <sz val="12.0"/>
        <vertAlign val="superscript"/>
      </rPr>
      <t>2</t>
    </r>
    <r>
      <rPr>
        <rFont val="Cambria"/>
        <color theme="1"/>
        <sz val="12.0"/>
      </rPr>
      <t xml:space="preserve"> x 5</t>
    </r>
  </si>
  <si>
    <r>
      <rPr>
        <rFont val="Cambria"/>
        <color theme="1"/>
        <sz val="12.0"/>
      </rPr>
      <t>m</t>
    </r>
    <r>
      <rPr>
        <rFont val="Cambria"/>
        <color theme="1"/>
        <sz val="12.0"/>
        <vertAlign val="superscript"/>
      </rPr>
      <t>3</t>
    </r>
  </si>
  <si>
    <t>GWDDR194</t>
  </si>
  <si>
    <r>
      <rPr>
        <rFont val="Cambria"/>
        <color theme="1"/>
        <sz val="12.0"/>
      </rPr>
      <t>50</t>
    </r>
    <r>
      <rPr>
        <rFont val="Cambria"/>
        <color theme="1"/>
        <sz val="12.0"/>
        <vertAlign val="superscript"/>
      </rPr>
      <t>2</t>
    </r>
    <r>
      <rPr>
        <rFont val="Cambria"/>
        <color theme="1"/>
        <sz val="12.0"/>
      </rPr>
      <t xml:space="preserve"> x 6</t>
    </r>
  </si>
  <si>
    <t>Cement concrete flooring 1:2:4 finished with a floating coat of neat cement, including cement slurry complete (40 mm thick with 20 mm nominal size stone aggregate) as per DSR item  11.3.1</t>
  </si>
  <si>
    <r>
      <rPr>
        <rFont val="Cambria"/>
        <color theme="1"/>
        <sz val="12.0"/>
      </rPr>
      <t>75</t>
    </r>
    <r>
      <rPr>
        <rFont val="Cambria"/>
        <color theme="1"/>
        <sz val="12.0"/>
        <vertAlign val="superscript"/>
      </rPr>
      <t>2</t>
    </r>
    <r>
      <rPr>
        <rFont val="Cambria"/>
        <color theme="1"/>
        <sz val="12.0"/>
      </rPr>
      <t xml:space="preserve"> x 6</t>
    </r>
  </si>
  <si>
    <t>Inside Area</t>
  </si>
  <si>
    <t>GWDDR195</t>
  </si>
  <si>
    <r>
      <rPr>
        <rFont val="Cambria"/>
        <color theme="1"/>
        <sz val="12.0"/>
      </rPr>
      <t>50</t>
    </r>
    <r>
      <rPr>
        <rFont val="Cambria"/>
        <color theme="1"/>
        <sz val="12.0"/>
        <vertAlign val="superscript"/>
      </rPr>
      <t>2</t>
    </r>
    <r>
      <rPr>
        <rFont val="Cambria"/>
        <color theme="1"/>
        <sz val="12.0"/>
      </rPr>
      <t xml:space="preserve"> x 6</t>
    </r>
  </si>
  <si>
    <r>
      <rPr>
        <rFont val="Cambria"/>
        <color theme="1"/>
        <sz val="12.0"/>
      </rPr>
      <t>25</t>
    </r>
    <r>
      <rPr>
        <rFont val="Cambria"/>
        <color theme="1"/>
        <sz val="12.0"/>
        <vertAlign val="superscript"/>
      </rPr>
      <t>2</t>
    </r>
    <r>
      <rPr>
        <rFont val="Cambria"/>
        <color theme="1"/>
        <sz val="12.0"/>
      </rPr>
      <t xml:space="preserve"> x 5</t>
    </r>
  </si>
  <si>
    <t>GWDDR196</t>
  </si>
  <si>
    <r>
      <rPr>
        <rFont val="Cambria"/>
        <color theme="1"/>
        <sz val="12.0"/>
      </rPr>
      <t>m</t>
    </r>
    <r>
      <rPr>
        <rFont val="Cambria"/>
        <color theme="1"/>
        <sz val="12.0"/>
        <vertAlign val="superscript"/>
      </rPr>
      <t>2</t>
    </r>
  </si>
  <si>
    <r>
      <rPr>
        <rFont val="Cambria"/>
        <color theme="1"/>
        <sz val="12.0"/>
      </rPr>
      <t>35</t>
    </r>
    <r>
      <rPr>
        <rFont val="Cambria"/>
        <color theme="1"/>
        <sz val="12.0"/>
        <vertAlign val="superscript"/>
      </rPr>
      <t>2</t>
    </r>
    <r>
      <rPr>
        <rFont val="Cambria"/>
        <color theme="1"/>
        <sz val="12.0"/>
      </rPr>
      <t xml:space="preserve"> x 5</t>
    </r>
  </si>
  <si>
    <t>GWDDR197</t>
  </si>
  <si>
    <t>MS angle 35 x 35 x 5mm</t>
  </si>
  <si>
    <t>Total
L</t>
  </si>
  <si>
    <r>
      <rPr>
        <rFont val="Cambria"/>
        <color theme="1"/>
        <sz val="12.0"/>
      </rPr>
      <t>m</t>
    </r>
    <r>
      <rPr>
        <rFont val="Cambria"/>
        <color theme="1"/>
        <sz val="12.0"/>
        <vertAlign val="superscript"/>
      </rPr>
      <t>2</t>
    </r>
  </si>
  <si>
    <t>S &amp; F Motor starters of the following ratings Submersible pump controllers with ammeter,DPMCB for single phase 3HP submersible motor pumps (DOL)</t>
  </si>
  <si>
    <t>Total Weight</t>
  </si>
  <si>
    <t>Front side corner</t>
  </si>
  <si>
    <t>GWDDR198</t>
  </si>
  <si>
    <r>
      <rPr>
        <rFont val="Cambria"/>
        <color theme="1"/>
        <sz val="12.0"/>
      </rPr>
      <t>m</t>
    </r>
    <r>
      <rPr>
        <rFont val="Cambria"/>
        <color theme="1"/>
        <sz val="12.0"/>
        <vertAlign val="superscript"/>
      </rPr>
      <t>2</t>
    </r>
  </si>
  <si>
    <t>Back side corner</t>
  </si>
  <si>
    <t>Submersible pump controllers with ammeter,DPMCB for single phase 3HP submersible motor pumps (DOL)</t>
  </si>
  <si>
    <t>Top edge front &amp; back</t>
  </si>
  <si>
    <r>
      <rPr>
        <rFont val="Cambria"/>
        <color theme="1"/>
        <sz val="12.0"/>
      </rPr>
      <t>75</t>
    </r>
    <r>
      <rPr>
        <rFont val="Cambria"/>
        <color theme="1"/>
        <sz val="12.0"/>
        <vertAlign val="superscript"/>
      </rPr>
      <t>2</t>
    </r>
    <r>
      <rPr>
        <rFont val="Cambria"/>
        <color theme="1"/>
        <sz val="12.0"/>
      </rPr>
      <t xml:space="preserve"> x 6</t>
    </r>
  </si>
  <si>
    <t>Top edge sides</t>
  </si>
  <si>
    <t>GWDDR199</t>
  </si>
  <si>
    <t>Door vertical</t>
  </si>
  <si>
    <r>
      <rPr>
        <rFont val="Cambria"/>
        <color theme="1"/>
        <sz val="12.0"/>
      </rPr>
      <t>50</t>
    </r>
    <r>
      <rPr>
        <rFont val="Cambria"/>
        <color theme="1"/>
        <sz val="12.0"/>
        <vertAlign val="superscript"/>
      </rPr>
      <t>2</t>
    </r>
    <r>
      <rPr>
        <rFont val="Cambria"/>
        <color theme="1"/>
        <sz val="12.0"/>
      </rPr>
      <t xml:space="preserve"> x 6</t>
    </r>
  </si>
  <si>
    <t>Door Horizontal</t>
  </si>
  <si>
    <r>
      <rPr>
        <rFont val="Cambria"/>
        <color theme="1"/>
        <sz val="12.0"/>
      </rPr>
      <t>35</t>
    </r>
    <r>
      <rPr>
        <rFont val="Cambria"/>
        <color theme="1"/>
        <sz val="12.0"/>
        <vertAlign val="superscript"/>
      </rPr>
      <t>2</t>
    </r>
    <r>
      <rPr>
        <rFont val="Cambria"/>
        <color theme="1"/>
        <sz val="12.0"/>
      </rPr>
      <t xml:space="preserve"> x 5</t>
    </r>
  </si>
  <si>
    <t>Total Length</t>
  </si>
  <si>
    <t>GWDDR200</t>
  </si>
  <si>
    <r>
      <rPr>
        <rFont val="Cambria"/>
        <color theme="1"/>
        <sz val="12.0"/>
      </rPr>
      <t>25</t>
    </r>
    <r>
      <rPr>
        <rFont val="Cambria"/>
        <color theme="1"/>
        <sz val="12.0"/>
        <vertAlign val="superscript"/>
      </rPr>
      <t>2</t>
    </r>
    <r>
      <rPr>
        <rFont val="Cambria"/>
        <color theme="1"/>
        <sz val="12.0"/>
      </rPr>
      <t xml:space="preserve"> x 5</t>
    </r>
  </si>
  <si>
    <t>GWDDR201</t>
  </si>
  <si>
    <t>MS Flat 35 x 6mm</t>
  </si>
  <si>
    <r>
      <rPr>
        <rFont val="Cambria"/>
        <color theme="1"/>
        <sz val="12.0"/>
      </rPr>
      <t>Kg/m</t>
    </r>
    <r>
      <rPr>
        <rFont val="Cambria"/>
        <color theme="1"/>
        <sz val="12.0"/>
        <vertAlign val="superscript"/>
      </rPr>
      <t>2</t>
    </r>
  </si>
  <si>
    <t>litre</t>
  </si>
  <si>
    <t>Back side  vertical</t>
  </si>
  <si>
    <r>
      <rPr>
        <rFont val="Cambria"/>
        <color theme="1"/>
        <sz val="12.0"/>
      </rPr>
      <t>Kg/m</t>
    </r>
    <r>
      <rPr>
        <rFont val="Cambria"/>
        <color theme="1"/>
        <sz val="12.0"/>
        <vertAlign val="superscript"/>
      </rPr>
      <t>2</t>
    </r>
  </si>
  <si>
    <t>Back side Horizontal</t>
  </si>
  <si>
    <t>GWDDR202</t>
  </si>
  <si>
    <t>Front side  vertical</t>
  </si>
  <si>
    <t>Front side Horizontal</t>
  </si>
  <si>
    <t>side  vertical</t>
  </si>
  <si>
    <t>side Horizontal</t>
  </si>
  <si>
    <t>GWDDR203</t>
  </si>
  <si>
    <t>Roof</t>
  </si>
  <si>
    <t>GWDDR204</t>
  </si>
  <si>
    <t>Say Rs. 94000 x Index</t>
  </si>
  <si>
    <t>Angle Iron Structure To Support 3000 Litres Capacity Water Tank At 6 m Height</t>
  </si>
  <si>
    <t>GWDDR205</t>
  </si>
  <si>
    <t>GI Sheet work  including wastage, cutting, hoisting, fixing in position, welding and applying a priming coat of approved steel primer all complete</t>
  </si>
  <si>
    <t>GI sheet 0.8 mm thick 8019</t>
  </si>
  <si>
    <t>752 x 6</t>
  </si>
  <si>
    <t>Front side</t>
  </si>
  <si>
    <t>GWDDR206</t>
  </si>
  <si>
    <t>Back side</t>
  </si>
  <si>
    <t>Horizontal bracing (4th portion)</t>
  </si>
  <si>
    <t>Sides</t>
  </si>
  <si>
    <t>roof</t>
  </si>
  <si>
    <t>GWDDR207</t>
  </si>
  <si>
    <t>Diagonal bracing (3rd portion)</t>
  </si>
  <si>
    <t>Total Area</t>
  </si>
  <si>
    <t>S &amp; F Motor starters of the following ratings Submersible pump controllers with ammeter,DPMCB for single phase 3.5HP submersible motor pumps (DOL)</t>
  </si>
  <si>
    <r>
      <rPr>
        <rFont val="Cambria"/>
        <color theme="1"/>
        <sz val="12.0"/>
      </rPr>
      <t>Kg/m</t>
    </r>
    <r>
      <rPr>
        <rFont val="Cambria"/>
        <color theme="1"/>
        <sz val="12.0"/>
        <vertAlign val="superscript"/>
      </rPr>
      <t>2</t>
    </r>
  </si>
  <si>
    <t>GWDDR208</t>
  </si>
  <si>
    <t>Submersible pump controllers with ammeter,DPMCB for single phase 3.5 HP submersible motor pumps (DOL)</t>
  </si>
  <si>
    <t>GWDDR209</t>
  </si>
  <si>
    <t>Locking arrangements  and handles 14.41</t>
  </si>
  <si>
    <t>Supplying and fixing Hinges for doors 14.40.2</t>
  </si>
  <si>
    <t>Unforeseen if any</t>
  </si>
  <si>
    <t>GWDDR210</t>
  </si>
  <si>
    <t>GWDDR211</t>
  </si>
  <si>
    <t>Say Rs.26000 x Cost Index</t>
  </si>
  <si>
    <t>GWDDR212</t>
  </si>
  <si>
    <t>Say Rs.83000 x Index</t>
  </si>
  <si>
    <t>GWDDR213</t>
  </si>
  <si>
    <t>GWDDR214</t>
  </si>
  <si>
    <t>GWDDR215</t>
  </si>
  <si>
    <t>GWDDR216</t>
  </si>
  <si>
    <t>GWDDR217</t>
  </si>
  <si>
    <t>S &amp; F Motor starters of the following ratings Submersible pump controllers with ammeter,TPMCB for three phase 2 to 4.5 HP submersible motor pumps (DOL)</t>
  </si>
  <si>
    <t>Submersible pump controllers with ammeter,TPMCB for three phase 2 to 4.5 HP submersible motor pumps (DOL)</t>
  </si>
  <si>
    <t>S &amp; F Motor starters of the following ratings Single phase DOL starters for 0.25HP to 3HP motor (90.14.28.1)</t>
  </si>
  <si>
    <t>GWDDR218</t>
  </si>
  <si>
    <t>GWDDR219</t>
  </si>
  <si>
    <t>S &amp; F Motor starters of the following ratings Submersible pump controllers with ammeter,DPMCB for single phase 0.5HP submersible motor pumps (DOL) (90.14.28.10)</t>
  </si>
  <si>
    <t>MR1980</t>
  </si>
  <si>
    <t>Single Phase DOL starters for 0.25 to 3 HP motor</t>
  </si>
  <si>
    <t>GWDDR220</t>
  </si>
  <si>
    <t>MR2001</t>
  </si>
  <si>
    <t>Submersible pump controllers with ammeter,DPMCB for single phase 0.5HP submersible motor pumps (DOL)</t>
  </si>
  <si>
    <t>MR2112</t>
  </si>
  <si>
    <t>Spring washer for M8 nut</t>
  </si>
  <si>
    <t>GWDDR221</t>
  </si>
  <si>
    <t>M4</t>
  </si>
  <si>
    <t>GWDDR222</t>
  </si>
  <si>
    <t>GWDDR223</t>
  </si>
  <si>
    <t>Other Charge @ .5% of :(M1+M4+L2)
 Add Hire charges for T&amp;P @ 0.5%</t>
  </si>
  <si>
    <t>GWDDR224</t>
  </si>
  <si>
    <t>GWDDR225</t>
  </si>
  <si>
    <t>GWDDR226</t>
  </si>
  <si>
    <t>GWDDR227</t>
  </si>
  <si>
    <t>S &amp; F Motor starters of the following ratings Submersible pump controllers with ammeter, TPMCB for three phase 8 to 9.5 HP submersible motor pumps (DOL)</t>
  </si>
  <si>
    <t>Submersible pump controllers with ammeter,TPMCB for three phase 8 to 9.5 HP motor pumps (DOL)</t>
  </si>
  <si>
    <t>GWDDR228</t>
  </si>
  <si>
    <t>GWDDR229</t>
  </si>
  <si>
    <t>GWDDR230</t>
  </si>
  <si>
    <t>GWDDR231</t>
  </si>
  <si>
    <t>32mm X 8mm bolts &amp; nuts</t>
  </si>
  <si>
    <t>GWDDR232</t>
  </si>
  <si>
    <t>S &amp; F Motor starters of the following ratings Submersible pump controllers with ammeter,DPMCB for single phase 1 HP submersible motor pumps (DOL) (90.14.28.11)</t>
  </si>
  <si>
    <t>GWDDR233</t>
  </si>
  <si>
    <t>Washers</t>
  </si>
  <si>
    <t>MR2002</t>
  </si>
  <si>
    <t>Submersible pump controllers with ammeter,DPMCB for single phase 1 HP submersible motor pumps (DOL)</t>
  </si>
  <si>
    <t>GWDDR234</t>
  </si>
  <si>
    <t>M3</t>
  </si>
  <si>
    <t>GWDDR235</t>
  </si>
  <si>
    <t>GWDDR236</t>
  </si>
  <si>
    <t>Other Charge @ .5% of :(M2+M3+L1)
 Add Hire charges for T&amp;P @ 0.5%</t>
  </si>
  <si>
    <t>GWDDR237</t>
  </si>
  <si>
    <t>GWDDR238</t>
  </si>
  <si>
    <t>ARS Civil</t>
  </si>
  <si>
    <t>S &amp; F Single phase starters suitable for Compressor pump upto 2HP</t>
  </si>
  <si>
    <t>GWDDR239</t>
  </si>
  <si>
    <t>GWDDR240</t>
  </si>
  <si>
    <t>Compressor pump controllers with DPMCB for single phase Compressor pumps upto 2 HP</t>
  </si>
  <si>
    <t>GWDDR241</t>
  </si>
  <si>
    <t>GI Pipe With Trenching</t>
  </si>
  <si>
    <t>GWDDR242</t>
  </si>
  <si>
    <t>GWDDR243</t>
  </si>
  <si>
    <t>GWDDR244</t>
  </si>
  <si>
    <t>GWDDR245</t>
  </si>
  <si>
    <t>GWDDR246</t>
  </si>
  <si>
    <t>GWDDR247</t>
  </si>
  <si>
    <t>GWDDR248</t>
  </si>
  <si>
    <t>S &amp; F Motor starters of the following ratings Submersible pump controllers with ammeter,DPMCB for single phase 1.5 HP submersible motor pumps (DOL) (90.14.28.12)</t>
  </si>
  <si>
    <t>GWDDR249</t>
  </si>
  <si>
    <t>GM Gate Valve</t>
  </si>
  <si>
    <t>GWDDR250</t>
  </si>
  <si>
    <t>MR2003</t>
  </si>
  <si>
    <t>Submersible pump controllers with ammeter,DPMCB for single phase 1.5HP submersible motor pumps (DOL)</t>
  </si>
  <si>
    <t>GWDDR251</t>
  </si>
  <si>
    <t>GWDDR252</t>
  </si>
  <si>
    <t>GWDDR253</t>
  </si>
  <si>
    <t>GWDDR254</t>
  </si>
  <si>
    <t>GWDDR255</t>
  </si>
  <si>
    <t>GWDDR256</t>
  </si>
  <si>
    <t>GM Non Return Valve</t>
  </si>
  <si>
    <t>GWDDR257</t>
  </si>
  <si>
    <t>GWDDR258</t>
  </si>
  <si>
    <t>S &amp; F Single phase starters suitable for 3HP Compressor pump</t>
  </si>
  <si>
    <t>GWDDR259</t>
  </si>
  <si>
    <t>Compressor pump controllers with DPMCB for single phase 3 HP Compressor pumps</t>
  </si>
  <si>
    <t>GWDDR260</t>
  </si>
  <si>
    <t xml:space="preserve"> 18.17.1</t>
  </si>
  <si>
    <t>Providing and fixing gun metal gate valve with C.I. wheel of approved quality (screwed end) : 25 mm nominal bore (18.17.1)</t>
  </si>
  <si>
    <t>GWDDR261</t>
  </si>
  <si>
    <t xml:space="preserve"> 18.17.2</t>
  </si>
  <si>
    <t>Providing and fixing gun metal gate valve with C.I. wheel of approved quality (screwed end) : 32 mm nominal bore (18.17.2)</t>
  </si>
  <si>
    <t xml:space="preserve"> 18.17.3</t>
  </si>
  <si>
    <t>Providing and fixing gun metal gate valve with C.I. wheel of approved quality (screwed end) : 40 mm nominal bore (18.17.3)</t>
  </si>
  <si>
    <t xml:space="preserve"> 18.17.4</t>
  </si>
  <si>
    <t>Providing and fixing gun metal gate valve with C.I. wheel of approved quality (screwed end) : 50 mm nominal bore (18.17.4)</t>
  </si>
  <si>
    <t xml:space="preserve"> 18.17.5</t>
  </si>
  <si>
    <t>Providing and fixing gun metal gate valve with C.I. wheel of approved quality (screwed end) : 65 mm nominal bore (18.17.5)</t>
  </si>
  <si>
    <t>GWDDR262</t>
  </si>
  <si>
    <t xml:space="preserve"> 18.17.6</t>
  </si>
  <si>
    <t>Providing and fixing gun metal gate valve with C.I. wheel of approved quality (screwed end) : 80 mm nominal bore (18.17.6)</t>
  </si>
  <si>
    <t xml:space="preserve"> 18.17.1A</t>
  </si>
  <si>
    <t>Providing and fixing gun metal gate valve with C.I. wheel of approved quality (screwed end) : 20 mm nominal bore (18.17.1A)</t>
  </si>
  <si>
    <t xml:space="preserve"> 18.19.1.1</t>
  </si>
  <si>
    <t>Providing and fixing gun metal non-return valve of approved quality (screwed end): 25 mm nominal bore Horizontal (18.19.1.1)</t>
  </si>
  <si>
    <t xml:space="preserve"> 18.19.1.2</t>
  </si>
  <si>
    <t>Providing and fixing gun metal non-return valve of approved quality (screwed end): 25 mm nominal bore Vertical (18.19.1.2)</t>
  </si>
  <si>
    <t xml:space="preserve"> 18.19.2.1</t>
  </si>
  <si>
    <t>Providing and fixing gun metal non-return valve of approved quality (screwed end): 32 mm nominal bore Horizontal (18.19.2.1)</t>
  </si>
  <si>
    <t xml:space="preserve"> 18.19.2.2</t>
  </si>
  <si>
    <t>Providing and fixing gun metal non-return valve of approved quality (screwed end): 32 mm nominal bore Vertical (18.19.2.2)</t>
  </si>
  <si>
    <t>GWDDR263</t>
  </si>
  <si>
    <t xml:space="preserve"> 18.19.3.1</t>
  </si>
  <si>
    <t>Providing and fixing gun metal non-return valve of approved quality (screwed end): 40 mm nominal bore Horizontal (18.19.3.1)</t>
  </si>
  <si>
    <t xml:space="preserve"> 18.19.3.2</t>
  </si>
  <si>
    <t>Providing and fixing gun metal non-return valve of approved quality (screwed end): 40 mm nominal bore Vertical (18.19.3.2)</t>
  </si>
  <si>
    <t xml:space="preserve"> 18.19.4.1</t>
  </si>
  <si>
    <t>Providing and fixing gun metal non-return valve of approved quality (screwed end): 50 mm nominal bore Horizontal (18.19.4.1)</t>
  </si>
  <si>
    <t xml:space="preserve"> 18.19.4.2</t>
  </si>
  <si>
    <t>Providing and fixing gun metal non-return valve of approved quality (screwed end): 50 mm nominal bore Vertical (18.19.4.2)</t>
  </si>
  <si>
    <t>GWDDR264</t>
  </si>
  <si>
    <t xml:space="preserve"> 18.19.5.1</t>
  </si>
  <si>
    <t>Providing and fixing gun metal non-return valve of approved quality (screwed end): 65 mm nominal bore Horizontal (18.19.5.1)</t>
  </si>
  <si>
    <t xml:space="preserve"> 18.19.5.2</t>
  </si>
  <si>
    <t>Providing and fixing gun metal non-return valve of approved quality (screwed end): 65 mm nominal bore Vertical (18.19.5.2)</t>
  </si>
  <si>
    <t xml:space="preserve"> 18.19.6.1</t>
  </si>
  <si>
    <t>Providing and fixing gun metal non-return valve of approved quality (screwed end): 80 mm nominal bore Horizontal (18.19.6.1)</t>
  </si>
  <si>
    <t xml:space="preserve"> 18.19.6.2</t>
  </si>
  <si>
    <t>Providing and fixing gun metal non-return valve of approved quality (screwed end): 80 mm nominal bore Vertical (18.19.6.2)</t>
  </si>
  <si>
    <t>GWDDR265</t>
  </si>
  <si>
    <t xml:space="preserve"> 18.46.1</t>
  </si>
  <si>
    <t>Providing and fixing G.I. Union in G.I pipe including cutting and threading the pipe and making long screws etc. complete ( New work): 15 mm nominal bore (18.46.1)</t>
  </si>
  <si>
    <t xml:space="preserve"> 18.46.2</t>
  </si>
  <si>
    <t>Providing and fixing G.I. Union in G.I pipe including cutting and threading the pipe and making long screws etc. complete ( New work): 20 mm nominal bore (18.46.2)</t>
  </si>
  <si>
    <t xml:space="preserve"> 18.46.3</t>
  </si>
  <si>
    <t>Providing and fixing G.I. Union in G.I pipe including cutting and threading the pipe and making long screws etc. complete ( New work): 25 mm nominal bore (18.46.3)</t>
  </si>
  <si>
    <t xml:space="preserve"> 18.46.4</t>
  </si>
  <si>
    <t>Providing and fixing G.I. Union in G.I pipe including cutting and threading the pipe and making long screws etc. complete ( New work): 32 mm nominal bore (18.46.4)</t>
  </si>
  <si>
    <t>GWDDR266</t>
  </si>
  <si>
    <t xml:space="preserve"> 18.46.5</t>
  </si>
  <si>
    <t>Providing and fixing G.I. Union in G.I pipe including cutting and threading the pipe and making long screws etc. complete ( New work): 40 mm nominal bore (18.46.5)</t>
  </si>
  <si>
    <t xml:space="preserve"> 18.46.6</t>
  </si>
  <si>
    <t>Providing and fixing G.I. Union in G.I pipe including cutting and threading the pipe and making long screws etc. complete ( New work): 50 mm nominal bore (18.46.6)</t>
  </si>
  <si>
    <t xml:space="preserve"> 18.46.7</t>
  </si>
  <si>
    <t>Providing and fixing G.I. Union in G.I pipe including cutting and threading the pipe and making long screws etc. complete ( New work): 65 mm nominal bore (18.46.7)</t>
  </si>
  <si>
    <t xml:space="preserve"> 18.46.8</t>
  </si>
  <si>
    <t>Providing and fixing G.I. Union in G.I pipe including cutting and threading the pipe and making long screws etc. complete ( New work): 80 mm nominal bore (18.46.8)</t>
  </si>
  <si>
    <t>GWDDR267</t>
  </si>
  <si>
    <t xml:space="preserve"> 18.47.1</t>
  </si>
  <si>
    <t>Providing and fixing G.I Union in existing G.I pipe line, cutting and threading the pipe and making long screws, including excavation, refilling the earth or cutting of wall and making good the same complete wherever required: 15 mm nominal bore (18.47.1)</t>
  </si>
  <si>
    <t xml:space="preserve"> 18.47.2</t>
  </si>
  <si>
    <t>Providing and fixing G.I Union in existing G.I pipe line, cutting and threading the pipe and making long screws, including excavation, refilling the earth or cutting of wall and making good the same complete wherever required: 20 mm nominal bore (18.47.2)</t>
  </si>
  <si>
    <t xml:space="preserve"> 18.47.3</t>
  </si>
  <si>
    <t>Providing and fixing G.I Union in existing G.I pipe line, cutting and threading the pipe and making long screws, including excavation, refilling the earth or cutting of wall and making good the same complete wherever required: 25 mm nominal bore (18.47.3)</t>
  </si>
  <si>
    <t xml:space="preserve"> 18.47.4</t>
  </si>
  <si>
    <t>GWDDR268</t>
  </si>
  <si>
    <t>Providing and fixing G.I Union in existing G.I pipe line, cutting and threading the pipe and making long screws, including excavation, refilling the earth or cutting of wall and making good the same complete wherever required: 32 mm nominal bore (18.47.4)</t>
  </si>
  <si>
    <t xml:space="preserve"> 18.47.5</t>
  </si>
  <si>
    <t>S &amp; F Motor starters of the following ratings Submersible pump controllers with ammeter,DPMCB for single phase 2 HP submersible motor pumps (DOL) (90.14.28.13)</t>
  </si>
  <si>
    <t>Providing and fixing G.I Union in existing G.I pipe line, cutting and threading the pipe and making long screws, including excavation, refilling the earth or cutting of wall and making good the same complete wherever required: 40 mm nominal bore (18.47.5)</t>
  </si>
  <si>
    <t>GI Union</t>
  </si>
  <si>
    <t xml:space="preserve"> 18.47.6</t>
  </si>
  <si>
    <t>Providing and fixing G.I Union in existing G.I pipe line, cutting and threading the pipe and making long screws, including excavation, refilling the earth or cutting of wall and making good the same complete wherever required: 50 mm nominal bore (18.47.6)</t>
  </si>
  <si>
    <t xml:space="preserve"> 18.47.7</t>
  </si>
  <si>
    <t>Providing and fixing G.I Union in existing G.I pipe line, cutting and threading the pipe and making long screws, including excavation, refilling the earth or cutting of wall and making good the same complete wherever required: 65 mm nominal bore (18.47.7)</t>
  </si>
  <si>
    <t>GWDDR269</t>
  </si>
  <si>
    <t xml:space="preserve"> 18.47.8</t>
  </si>
  <si>
    <t>Providing and fixing G.I Union in existing G.I pipe line, cutting and threading the pipe and making long screws, including excavation, refilling the earth or cutting of wall and making good the same complete wherever required: 80 mm nominal bore (18.47.8)</t>
  </si>
  <si>
    <t>MR2004</t>
  </si>
  <si>
    <t>Submersible pump controllers with ammeter,DPMCB for single phase 2 HP submersible motor pumps (DOL)</t>
  </si>
  <si>
    <t>GWDDR270</t>
  </si>
  <si>
    <t>GWDDR271</t>
  </si>
  <si>
    <t>GWDDR272</t>
  </si>
  <si>
    <t>GWDDR273</t>
  </si>
  <si>
    <t>GWDDR274</t>
  </si>
  <si>
    <t>Panel Board</t>
  </si>
  <si>
    <t>GWDDR275</t>
  </si>
  <si>
    <t>GWDDR276</t>
  </si>
  <si>
    <t>Installation of Single Phase Panel board where new electricity connection is required (Excluding Motor Starter)</t>
  </si>
  <si>
    <t>GWDDR277</t>
  </si>
  <si>
    <t>MR</t>
  </si>
  <si>
    <t>GWDDR278</t>
  </si>
  <si>
    <t>75x75 cm Metal Box</t>
  </si>
  <si>
    <t>GWDDR279</t>
  </si>
  <si>
    <t>/each</t>
  </si>
  <si>
    <t>GWDDR280</t>
  </si>
  <si>
    <t>Metallic Pump Cover of size 1 x 1 x 0.7 m</t>
  </si>
  <si>
    <t>MR1428 (PRICE Electrical)</t>
  </si>
  <si>
    <t>32A, 4 pole On-Load Change Over Switches In Open Execution (ICDP)</t>
  </si>
  <si>
    <t>GWDDR281</t>
  </si>
  <si>
    <t>MR1717 (PRICE Electrical)</t>
  </si>
  <si>
    <t>CT for 3P and 4P circuit breakers for neutral overload and ground fault protection for 630 - 1600 A, ACBs. (ELCB)</t>
  </si>
  <si>
    <t>MR1459 (PRICE Electrical)</t>
  </si>
  <si>
    <t>32, HRC Fuse Base with HRC Fuse link</t>
  </si>
  <si>
    <t>GWDDR282</t>
  </si>
  <si>
    <t>MR1467 (PRICE Electrical)</t>
  </si>
  <si>
    <t>32 A, 2 Way neutral links mounted on DMC/SMC base</t>
  </si>
  <si>
    <t>MR1638 (PRICE Electrical)</t>
  </si>
  <si>
    <t>3 Pole Capacitor duty contactors for switching capacitor banks 4 - 7 kVAR with AC Coil</t>
  </si>
  <si>
    <t>GWDDR283</t>
  </si>
  <si>
    <t>Nut &amp; Bolt</t>
  </si>
  <si>
    <t>Metal Box for Meter</t>
  </si>
  <si>
    <t>GWDDR361</t>
  </si>
  <si>
    <t>Surface dressing of the ground including removing vegetation and in-equalities not exceeding 15 cm deep and disposal of rubbish, lead up to 50 m and lift up to 1.5 m. All kinds of soil (Code: 2.28.1)</t>
  </si>
  <si>
    <t>Water charges/Cartage 1%</t>
  </si>
  <si>
    <t>GWDDR362</t>
  </si>
  <si>
    <r>
      <rPr>
        <rFont val="Cambria"/>
        <color theme="1"/>
        <sz val="11.0"/>
      </rPr>
      <t>m</t>
    </r>
    <r>
      <rPr>
        <rFont val="Cambria"/>
        <color theme="1"/>
        <sz val="11.0"/>
        <vertAlign val="superscript"/>
      </rPr>
      <t>2</t>
    </r>
  </si>
  <si>
    <t>GWDDR363</t>
  </si>
  <si>
    <t>Earth work in excavation by mechanical means (Hydraulic excavator) /manual means in foundation trenches or drains (not exceeding 1.5 m in width or 10 sqm on plan), including dressing of sides and ramming of bottoms, lift up to 1.5 m, including getting out the excavated soil and disposal of surplus excavated soil as directed, within a lead of 50 m. All kinds of soil (Code: 2.8.1)</t>
  </si>
  <si>
    <t>GWDDR364</t>
  </si>
  <si>
    <r>
      <rPr>
        <rFont val="Cambria"/>
        <color theme="1"/>
        <sz val="11.0"/>
      </rPr>
      <t>m</t>
    </r>
    <r>
      <rPr>
        <rFont val="Cambria"/>
        <color theme="1"/>
        <sz val="11.0"/>
        <vertAlign val="superscript"/>
      </rPr>
      <t>3</t>
    </r>
  </si>
  <si>
    <t>2826 (DSR 2022 Electrical)</t>
  </si>
  <si>
    <t>40 mm dia. G.I. pipe (medium class) for earthing</t>
  </si>
  <si>
    <t>Providing and laying in position cement concrete of specified grade excluding the cost of centering and shuttering - All work up to plinth level: 1:4:8 (1 cement : 4 coarse sand : 8 graded stone aggregate 40 nominal size) (Code: 4.1.8)</t>
  </si>
  <si>
    <t>S &amp; F Motor starters of the following ratings Submersible pump controllers with ammeter,TPMCB for three phase 5 to 7.5HP submersible motor pumps (DOL) (90.14.28.14)</t>
  </si>
  <si>
    <t>GWDDR365</t>
  </si>
  <si>
    <t>each sample</t>
  </si>
  <si>
    <t>/meter</t>
  </si>
  <si>
    <t>2838 (DSR 2022 Electrical)</t>
  </si>
  <si>
    <t>GWDDR366</t>
  </si>
  <si>
    <t>MR2005</t>
  </si>
  <si>
    <t>40 mm dia. G.I. bend (medium class) for earthing</t>
  </si>
  <si>
    <r>
      <rPr>
        <rFont val="Cambria"/>
        <color theme="1"/>
        <sz val="11.0"/>
      </rPr>
      <t>m</t>
    </r>
    <r>
      <rPr>
        <rFont val="Cambria"/>
        <color theme="1"/>
        <sz val="11.0"/>
        <vertAlign val="superscript"/>
      </rPr>
      <t>3</t>
    </r>
  </si>
  <si>
    <t>Submersible pump controllers with ammeter,DPMCB for single phase 5 - 7.5 HP submersible motor pumps (DOL)</t>
  </si>
  <si>
    <t>2902 (DSR 2022 Electrical)</t>
  </si>
  <si>
    <t>25 mm X 5 mm copper tape (1.15 kg/mtr) for earthing</t>
  </si>
  <si>
    <t>12 mm cement plaster of mix: 1:4 ( 1 cement : 4 fine sand) (Code: 13.1.1)</t>
  </si>
  <si>
    <t>1102 (DSR 2022 Electrical)</t>
  </si>
  <si>
    <t>2.5 sq. mm ISI marked, FRLS PVC insulated, single core copper conductor cable</t>
  </si>
  <si>
    <t>GWDDR367</t>
  </si>
  <si>
    <t>Basement</t>
  </si>
  <si>
    <t xml:space="preserve"> Borewell</t>
  </si>
  <si>
    <t>Floor</t>
  </si>
  <si>
    <t>GWDDR368</t>
  </si>
  <si>
    <t>Structural steel work in single section, fixed with or without connecting plate, including cutting, hoisting, fixing in position and applying a priming coat of approved steel primer all complete. (Code: 10.1)</t>
  </si>
  <si>
    <t>GWDDR369</t>
  </si>
  <si>
    <t>MS Sq Tube 25mm</t>
  </si>
  <si>
    <t>Front &amp; Back bottom &amp; Top</t>
  </si>
  <si>
    <t>Side top &amp; bottom</t>
  </si>
  <si>
    <t>1001  (DSR 2022 Electrical)</t>
  </si>
  <si>
    <t>Wireman</t>
  </si>
  <si>
    <t>Front &amp; Back corner vertical</t>
  </si>
  <si>
    <t>GWDDR370</t>
  </si>
  <si>
    <t>ARS Filter Media</t>
  </si>
  <si>
    <t>kg/m</t>
  </si>
  <si>
    <t>GWDDR371</t>
  </si>
  <si>
    <t>M.S. Wire mesh (rabbit) (Code: 1220 - Water Charge and CPOH Added)</t>
  </si>
  <si>
    <t>GWDDR372</t>
  </si>
  <si>
    <t>MS Weld Mesh</t>
  </si>
  <si>
    <t>GWDDR373</t>
  </si>
  <si>
    <t>Installation of Three Phase Panel board where new electricity connection is required (Excluding Motor Starter)</t>
  </si>
  <si>
    <t>GWDDR374</t>
  </si>
  <si>
    <t>Providing corrugate G.S. sheet roofing including vertical/ curved surface fixed with polymer coated J or L hooks, bolts and nuts 8 mm diameter with bitumen and G.I. limpet washers or with G.I. limpet washers filled with white lead, including a coat of approved steel primer and two coats of approved paint on overlapping of sheets complete ( up to any pitch in horizontal / vertical or curved surfaces), excluding the cost of purlins, rafters and trusses and including cutting to size and shape wherever required. 0.63 mm thick with zinc coating not less than 275 gm/m2 (Code: 12.1.3)</t>
  </si>
  <si>
    <t>GWDDR375</t>
  </si>
  <si>
    <t>Providing and fixing bright finished brass butt hinges with necessary screws etc. complete: 50x40x2.5 mm (ordinary type) (Code: 9.72.7)</t>
  </si>
  <si>
    <t>GWDDR376</t>
  </si>
  <si>
    <t>5 hrs</t>
  </si>
  <si>
    <t>Pumping Test</t>
  </si>
  <si>
    <t>GWDDR377</t>
  </si>
  <si>
    <t>Fitter (grade 1) (Code: 0116 - Water Charge and CPOH Added)</t>
  </si>
  <si>
    <t>GWDDR378</t>
  </si>
  <si>
    <t>Locking Arrangements - Supplying and Fixing lock and locking arrangements with suitable chain hooks,and padlock of 65mm size. (Code: 60.4)</t>
  </si>
  <si>
    <t>Non Index</t>
  </si>
  <si>
    <t>GWDDR379</t>
  </si>
  <si>
    <t>PVC Pipes Concealed Work</t>
  </si>
  <si>
    <t>GWDDR380</t>
  </si>
  <si>
    <t>GWDDR381</t>
  </si>
  <si>
    <t>Index TOTAL</t>
  </si>
  <si>
    <t>Non Index TOTAL</t>
  </si>
  <si>
    <t>S &amp; F Motor starters of the following ratings Submersible pump controllers with ammeter,TPMCB for three phase 10 to 12.5HP submersible motor pumps (DOL) (90.14.28.15)</t>
  </si>
  <si>
    <t>GWDDR382</t>
  </si>
  <si>
    <t>MR2006</t>
  </si>
  <si>
    <t>Submersible pump controllers with ammeter,DPMCB for single phase 10- 12.5 HP submersible motor pumps (DOL)</t>
  </si>
  <si>
    <t>GWDDR383</t>
  </si>
  <si>
    <t>GWDDR384</t>
  </si>
  <si>
    <t>GWDDR385</t>
  </si>
  <si>
    <t xml:space="preserve">Pump Erection </t>
  </si>
  <si>
    <t>GWDDR386</t>
  </si>
  <si>
    <t>Borewell submersible pump erection charges upto 3 HP</t>
  </si>
  <si>
    <t>GWDDR387</t>
  </si>
  <si>
    <t xml:space="preserve">40mm Cast Iron Clamp </t>
  </si>
  <si>
    <t>set</t>
  </si>
  <si>
    <t>GWDDR388</t>
  </si>
  <si>
    <t>GWDDR389</t>
  </si>
  <si>
    <t>GWDDR390</t>
  </si>
  <si>
    <t>GWDDR391</t>
  </si>
  <si>
    <t>Borewell submersible pump pullout charges upto 3 HP</t>
  </si>
  <si>
    <t>GWDDR392</t>
  </si>
  <si>
    <t>Borewell submersible pump erection charges above 3 h.P. To 7.5 H.P.</t>
  </si>
  <si>
    <t>GWDDR393</t>
  </si>
  <si>
    <t xml:space="preserve">40mm Cast iron Clamp </t>
  </si>
  <si>
    <t>GWDDR394</t>
  </si>
  <si>
    <t>Electrical Components</t>
  </si>
  <si>
    <t>GWDDR395</t>
  </si>
  <si>
    <t>S &amp; F Motor starters of the following ratings Fully automatic star delta pump starter for three phase 25-30HP Submersible motor (90.14.28.16)</t>
  </si>
  <si>
    <t>GWDDR396</t>
  </si>
  <si>
    <t>MR2009</t>
  </si>
  <si>
    <t>Fully automatic Star Delta Pump starters for Three phase 25- 30 HP Submersible motor pumps</t>
  </si>
  <si>
    <t>GWDDR397</t>
  </si>
  <si>
    <t>GWDDR398</t>
  </si>
  <si>
    <t>GWDDR399</t>
  </si>
  <si>
    <t>Borewell submersible pump erection charges above 7.5 H.P.</t>
  </si>
  <si>
    <t>GWDDR400</t>
  </si>
  <si>
    <t>GWDDR401</t>
  </si>
  <si>
    <t>GWDDR402</t>
  </si>
  <si>
    <t>GWDDR403</t>
  </si>
  <si>
    <t>GWDDR404</t>
  </si>
  <si>
    <t>Borewell submersible pump pullout charges above 3 H.P. To 7.5 H.P.</t>
  </si>
  <si>
    <t>Compressor pump fitting charge</t>
  </si>
  <si>
    <t>GWDDR405</t>
  </si>
  <si>
    <t>GWDDR406</t>
  </si>
  <si>
    <t>GWDDR407</t>
  </si>
  <si>
    <t>GWDDR408</t>
  </si>
  <si>
    <t>GWDDR409</t>
  </si>
  <si>
    <t>GWDDR410</t>
  </si>
  <si>
    <t>S &amp; F Motor starters of the following ratings Fully automatic star delta pump starter for three phase 15HP Submersible motor (90.14.28.17)</t>
  </si>
  <si>
    <t>GWDDR411</t>
  </si>
  <si>
    <t>MR2007</t>
  </si>
  <si>
    <t>Submersible pump controllers with ammeter,DPMCB for single phase 15 HP submersible motor pumps (DOL)</t>
  </si>
  <si>
    <t>GWDDR412</t>
  </si>
  <si>
    <t>GWDDR413</t>
  </si>
  <si>
    <t>GWDDR414</t>
  </si>
  <si>
    <t>GWDDR415</t>
  </si>
  <si>
    <t>GWDDR416</t>
  </si>
  <si>
    <t>Borewell submersible pump pullout charges above 7.5 H.P.</t>
  </si>
  <si>
    <t>GWDDR417</t>
  </si>
  <si>
    <r>
      <rPr>
        <rFont val="Cambria"/>
        <b/>
        <color rgb="FF000000"/>
        <sz val="12.0"/>
      </rPr>
      <t xml:space="preserve">Providing and fixing PVC moulded fittings/ accessories for Rigid PVC pipes, including jointing with PVC solvent cement - </t>
    </r>
    <r>
      <rPr>
        <rFont val="Cambria"/>
        <b/>
        <color rgb="FF000000"/>
        <sz val="12.0"/>
      </rPr>
      <t>150</t>
    </r>
    <r>
      <rPr>
        <rFont val="Cambria"/>
        <b/>
        <color rgb="FF000000"/>
        <sz val="12.0"/>
      </rPr>
      <t xml:space="preserve"> mm dia Bend</t>
    </r>
  </si>
  <si>
    <t>GWDDR418</t>
  </si>
  <si>
    <t>Details of cost for one no.</t>
  </si>
  <si>
    <t>GWDDR419</t>
  </si>
  <si>
    <t>MR89</t>
  </si>
  <si>
    <t>PVC bend 150 mm dia</t>
  </si>
  <si>
    <t>GWDDR420</t>
  </si>
  <si>
    <t>GWDDR421</t>
  </si>
  <si>
    <t>GWDDR422</t>
  </si>
  <si>
    <t>GWDDR423</t>
  </si>
  <si>
    <t>GWDDR424</t>
  </si>
  <si>
    <t>Sundries
Adhesive, and sundries etc.</t>
  </si>
  <si>
    <t>S &amp; F Motor starters of the following ratings Fully automatic star delta pump starter for three phase 20HP Submersible motor (90.14.28.18)</t>
  </si>
  <si>
    <t>GWDDR425</t>
  </si>
  <si>
    <t>Sundries
Carriage and fixing charges</t>
  </si>
  <si>
    <t>Compressor pump detaching charge</t>
  </si>
  <si>
    <t>MR2008</t>
  </si>
  <si>
    <t>Fully automatic Star Delta Pump starters for Three phase 20 HP Submersible motor pumps</t>
  </si>
  <si>
    <t>TOTAL (Tools &amp; Plants)</t>
  </si>
  <si>
    <t>GWDDR426</t>
  </si>
  <si>
    <t>GWDDR427</t>
  </si>
  <si>
    <t>GWDDR428</t>
  </si>
  <si>
    <t>GWDDR429</t>
  </si>
  <si>
    <t>GWDDR430</t>
  </si>
  <si>
    <t>GWDDR431</t>
  </si>
  <si>
    <r>
      <rPr>
        <rFont val="Cambria"/>
        <b/>
        <color rgb="FF000000"/>
        <sz val="12.0"/>
      </rPr>
      <t xml:space="preserve">Providing and fixing PVC moulded fittings/accessories for Rigid PVC pipes,including jointing with PVC solvent cement - </t>
    </r>
    <r>
      <rPr>
        <rFont val="Cambria"/>
        <b/>
        <color rgb="FF000000"/>
        <sz val="12.0"/>
      </rPr>
      <t>90</t>
    </r>
    <r>
      <rPr>
        <rFont val="Cambria"/>
        <b/>
        <color rgb="FF000000"/>
        <sz val="12.0"/>
      </rPr>
      <t xml:space="preserve"> mm dia Socket/ coupling</t>
    </r>
  </si>
  <si>
    <t>Details of cost for 1.00 no.</t>
  </si>
  <si>
    <t>GWDDR432</t>
  </si>
  <si>
    <t>MR10023</t>
  </si>
  <si>
    <t>GWDDR433</t>
  </si>
  <si>
    <t>PVC Coupling 90mm, 8 kg/cm2</t>
  </si>
  <si>
    <t>GWDDR434</t>
  </si>
  <si>
    <t>GWDDR435</t>
  </si>
  <si>
    <t>GWDDR436</t>
  </si>
  <si>
    <t>GWDDR437</t>
  </si>
  <si>
    <t>GWDDR438</t>
  </si>
  <si>
    <t>Sundries
Adhesive, and sundries etc,</t>
  </si>
  <si>
    <t>GWDDR439</t>
  </si>
  <si>
    <t>GWDDR440</t>
  </si>
  <si>
    <t>GWDDR441</t>
  </si>
  <si>
    <t>GWDDR442</t>
  </si>
  <si>
    <t>GWDDR443</t>
  </si>
  <si>
    <t>GWDDR444</t>
  </si>
  <si>
    <t>GWDDR445</t>
  </si>
  <si>
    <r>
      <rPr>
        <rFont val="Cambria"/>
        <b/>
        <color rgb="FF000000"/>
        <sz val="12.0"/>
      </rPr>
      <t xml:space="preserve">Providing and fixing PVC moulded fittings/accessories for Rigid PVC pipes,including jointing with PVC solvent cement - </t>
    </r>
    <r>
      <rPr>
        <rFont val="Cambria"/>
        <b/>
        <color rgb="FF000000"/>
        <sz val="12.0"/>
      </rPr>
      <t>140</t>
    </r>
    <r>
      <rPr>
        <rFont val="Cambria"/>
        <b/>
        <color rgb="FF000000"/>
        <sz val="12.0"/>
      </rPr>
      <t xml:space="preserve"> mm dia Socket/ coupling</t>
    </r>
  </si>
  <si>
    <t>GWDDR446</t>
  </si>
  <si>
    <t>MR10025</t>
  </si>
  <si>
    <t>PVC Coupling 140mm, 8 kg/cm2</t>
  </si>
  <si>
    <t>GWDDR447</t>
  </si>
  <si>
    <t>Others</t>
  </si>
  <si>
    <t>GWDDR448</t>
  </si>
  <si>
    <t>GWDDR449</t>
  </si>
  <si>
    <t>GWDDR450</t>
  </si>
  <si>
    <t>GWDDR451</t>
  </si>
  <si>
    <t>GWDDR452</t>
  </si>
  <si>
    <t>HP Erection &amp; Pullout</t>
  </si>
  <si>
    <t>GWDDR453</t>
  </si>
  <si>
    <t>GWDDR454</t>
  </si>
  <si>
    <t>Providing and fixing PVC pipes, fittings including fixing the pipe with clamps at 1.00 m spacing. This includes jointing of pipes &amp; fittings with one step PVC solvent cement and testing of joints complete as per direction of Engineer- in- Charge. Concealed work, including cutting chases and making good the wall etc. 15 mm pipe 12 Kgf/ cm2 (50.18.8.1.1)</t>
  </si>
  <si>
    <t>GWDDR455</t>
  </si>
  <si>
    <t>Details of cost for 10 meter</t>
  </si>
  <si>
    <r>
      <rPr>
        <rFont val="Cambria"/>
        <b/>
        <color rgb="FF000000"/>
        <sz val="12.0"/>
      </rPr>
      <t xml:space="preserve">Providing and fixing PVC moulded fittings/accessories for Rigid PVC pipes,including jointing with PVC solvent cement - </t>
    </r>
    <r>
      <rPr>
        <rFont val="Cambria"/>
        <b/>
        <color rgb="FF000000"/>
        <sz val="12.0"/>
      </rPr>
      <t>160</t>
    </r>
    <r>
      <rPr>
        <rFont val="Cambria"/>
        <b/>
        <color rgb="FF000000"/>
        <sz val="12.0"/>
      </rPr>
      <t xml:space="preserve"> mm dia Socket/ coupling</t>
    </r>
  </si>
  <si>
    <t>MR38</t>
  </si>
  <si>
    <t>PVC pipe 15 mm outer dia. 12kgf/cm2 
(Adding 30% for fittings and wastage)</t>
  </si>
  <si>
    <t>GWDDR456</t>
  </si>
  <si>
    <t>MR10026</t>
  </si>
  <si>
    <t>PVC Coupling 160mm, 8 kg/cm2</t>
  </si>
  <si>
    <t>GWDDR457</t>
  </si>
  <si>
    <t>GWDDR458</t>
  </si>
  <si>
    <t>GWDDR459</t>
  </si>
  <si>
    <t>Providing and fixing PVC moulded fitting / accessories for Rigid PVC pipes, including jointing with PVC solvent cement-63 mm dia Socket /coupling (50.18.9.20.9)</t>
  </si>
  <si>
    <t>GWDDR460</t>
  </si>
  <si>
    <t>GWDDR461</t>
  </si>
  <si>
    <t>Rate as per item Number 18.78 of SH: Water Supply
Water Supply : Making chases up to 7.5x7.5 cm in walls including making good and finishing with matching surface after housing G.Il pipe etc.
Making chases up to 7.5x7.5 cm in walls</t>
  </si>
  <si>
    <t>MR65</t>
  </si>
  <si>
    <t>PVC Socket/coupling 63 mm dia</t>
  </si>
  <si>
    <t>GWDDR462</t>
  </si>
  <si>
    <t>GWDDR463</t>
  </si>
  <si>
    <t>GWDDR464</t>
  </si>
  <si>
    <r>
      <rPr>
        <rFont val="Cambria"/>
        <b/>
        <color rgb="FF000000"/>
        <sz val="12.0"/>
      </rPr>
      <t xml:space="preserve">Providing and fixing PVC moulded fittings/accessories for Rigid PVC pipes,including jointing with PVC solvent cement - </t>
    </r>
    <r>
      <rPr>
        <rFont val="Cambria"/>
        <b/>
        <color rgb="FF000000"/>
        <sz val="12.0"/>
      </rPr>
      <t>180</t>
    </r>
    <r>
      <rPr>
        <rFont val="Cambria"/>
        <b/>
        <color rgb="FF000000"/>
        <sz val="12.0"/>
      </rPr>
      <t xml:space="preserve"> mm dia Socket/ coupling</t>
    </r>
  </si>
  <si>
    <t>GWDDR465</t>
  </si>
  <si>
    <t>MR10027</t>
  </si>
  <si>
    <t>PVC Coupling 180mm, 8 kg/cm2</t>
  </si>
  <si>
    <t>GWDDR466</t>
  </si>
  <si>
    <t>Providing and fixing PVC pipes, fittings including fixing the pipe with clamps at 1.00 spacing. This includes jointing of pipes &amp; fittings with one step PVC solvent cement and testing of joints complete as per direction of Engineer-in-Charge Concealed work, including cutting chases and making good the wall etc. 15 mm pipe 10kgf/cm2 (50.18.8.1.2)</t>
  </si>
  <si>
    <t>GWDDR467</t>
  </si>
  <si>
    <t>MR39</t>
  </si>
  <si>
    <t>PVC pipe 15 mm outer dia 10kgf/cm2
(Adding 30% for fittings and wastage)</t>
  </si>
  <si>
    <t>GWDDR468</t>
  </si>
  <si>
    <t>GWDDR469</t>
  </si>
  <si>
    <r>
      <rPr>
        <rFont val="Cambria"/>
        <b/>
        <color rgb="FF000000"/>
        <sz val="12.0"/>
      </rPr>
      <t xml:space="preserve">Providing and fixing PVC moulded fittings/accessories for Rigid PVC pipes,including jointing with PVC solvent cement - </t>
    </r>
    <r>
      <rPr>
        <rFont val="Cambria"/>
        <b/>
        <color rgb="FF000000"/>
        <sz val="12.0"/>
      </rPr>
      <t>200</t>
    </r>
    <r>
      <rPr>
        <rFont val="Cambria"/>
        <b/>
        <color rgb="FF000000"/>
        <sz val="12.0"/>
      </rPr>
      <t xml:space="preserve"> mm dia Socket/ coupling</t>
    </r>
  </si>
  <si>
    <t>MR10028</t>
  </si>
  <si>
    <t>PVC Coupling 200mm, 8 kg/cm2</t>
  </si>
  <si>
    <t>Providing and fixing PVC moulded fittings/ accessories for Rigid PVC pipes, including jointing with PVC solvent cement - 75 mm dia Socket /coupling (50.18.9.21.9)</t>
  </si>
  <si>
    <t>Providing and fixing PVC pipes, fittings including fixing the pipe with clamps at 1.00 m spacing. This includes jointing of pipes &amp; fittings with one step PVC solvent cement and testing of joints complete as per direction of Engineer-in-Charge. Concealed work,including cutting chased and making good the wall etc. 20 mm pipe 12 Kgf/cm2 (50.18.8.2.1)</t>
  </si>
  <si>
    <t>MR75</t>
  </si>
  <si>
    <t>PVC Socket/coupling 75 mm dia</t>
  </si>
  <si>
    <t>MR40</t>
  </si>
  <si>
    <t>PVC pipe 20 mm outer dia 12 kgf/cm2
(Adding 30% for fittings wastage)</t>
  </si>
  <si>
    <r>
      <rPr>
        <rFont val="Cambria"/>
        <b/>
        <color rgb="FF000000"/>
        <sz val="12.0"/>
      </rPr>
      <t xml:space="preserve">Providing and fixing PVC moulded fittings/accessories for Rigid PVC pipes,including jointing with PVC solvent cement - </t>
    </r>
    <r>
      <rPr>
        <rFont val="Cambria"/>
        <b/>
        <color rgb="FF000000"/>
        <sz val="12.0"/>
      </rPr>
      <t>250</t>
    </r>
    <r>
      <rPr>
        <rFont val="Cambria"/>
        <b/>
        <color rgb="FF000000"/>
        <sz val="12.0"/>
      </rPr>
      <t xml:space="preserve"> mm dia Socket/ coupling</t>
    </r>
  </si>
  <si>
    <t>MR10029</t>
  </si>
  <si>
    <t>PVC Coupling 250mm, 8 kg/cm2</t>
  </si>
  <si>
    <t>Providing and fixing PVC moulded fittings/accessories for Rigid PVC pipes,including jointing with PVC solvent cement - 110 mm dia Socket/ coupling (50.18.9.22.11)</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</si>
  <si>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20 mm pipe 10 Kgf/ cm2 (50.18.8.2.2)</t>
  </si>
  <si>
    <t>MR41</t>
  </si>
  <si>
    <t>PVC pipe 20 mm outer dia 10 kgf/cm2
(Adding 30% for fittings wastage)</t>
  </si>
  <si>
    <t>MR87</t>
  </si>
  <si>
    <t>PVC Socket/coupling 110 mm dia</t>
  </si>
  <si>
    <r>
      <rPr>
        <rFont val="Cambria"/>
        <b/>
        <color rgb="FF000000"/>
        <sz val="12.0"/>
      </rPr>
      <t xml:space="preserve">Providing and fixing PVC moulded fittings/accessories for Rigid PVC pipes,including jointing with PVC solvent cement - </t>
    </r>
    <r>
      <rPr>
        <rFont val="Cambria"/>
        <b/>
        <color rgb="FF000000"/>
        <sz val="12.0"/>
      </rPr>
      <t>280</t>
    </r>
    <r>
      <rPr>
        <rFont val="Cambria"/>
        <b/>
        <color rgb="FF000000"/>
        <sz val="12.0"/>
      </rPr>
      <t xml:space="preserve"> mm dia Socket/ coupling</t>
    </r>
  </si>
  <si>
    <t>MR10030</t>
  </si>
  <si>
    <t>PVC Coupling 280mm, 8 kg/cm2</t>
  </si>
  <si>
    <t>Providing and fixing PVC pipes, fittings including fixing the pipe with clamps at 1.00 m spacing. This includes jointing of pipes &amp; fittings with one step PVC solvent cement and testing of joints complete as per direction of Engineer-in-Charge 15mm dia 12kgf/cm2 -Internal work- Exposed on wall (50.18.7.1.1)</t>
  </si>
  <si>
    <t>PVC pipe 15 mm outer dia. 12kgf/cm2</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</si>
  <si>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12 kgf/cm2 (50.18.8.3.1)</t>
  </si>
  <si>
    <t>Details of cost for 10 m</t>
  </si>
  <si>
    <t>MR42</t>
  </si>
  <si>
    <t>PVC pipe 25 mm outer dia . 12 kgf/cm2
(Adding 30% for fittings and wastage)</t>
  </si>
  <si>
    <t>Providing and fixing PVC moulded fittings / accessories for Rigid PVC pipes, including jointing with PVC solvent cement - 140 mm dia Elbow</t>
  </si>
  <si>
    <t>Providing and fixing PVC moulded fittings/ accessories for Rigid PVC pipes, including jointing with PVC solvent cement - 63 mm dia Bend (50.18.9.20.4)</t>
  </si>
  <si>
    <t>PVC Elbow 140 mm dia</t>
  </si>
  <si>
    <t>MR60</t>
  </si>
  <si>
    <t>PVC bend 63 mm dia</t>
  </si>
  <si>
    <t>Sundries
Adhesive and sundries etc.</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</si>
  <si>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10kgf /cm2 (50.18.8.3.2)</t>
  </si>
  <si>
    <t>MR43</t>
  </si>
  <si>
    <t>PVC pipe 25 mm outer dia. 10kgf cm2
(Adding 30% for fittings and wastage)</t>
  </si>
  <si>
    <t>Providing and fixing PVC pipes, fittings including fixing the pipe with clamps at 1.00 m spacing. This includes jointing of pipes &amp; fittings with one step PVC solvent cement and testing of joints complete as per direction of Engineer-in-Charge 15 mm dia 10Kgf/cm2 - Internal work - Exposed on wall (50.18.7.1.2)</t>
  </si>
  <si>
    <t>PVC pipe 15 mm outer dia 10kgf/cm2
(Adding 15% for fittings and wastage)</t>
  </si>
  <si>
    <t>Providing and fixing PVC pipes including fixing the pipe with clamps/ clips/ at 1.00 m spacing . This includes jointing of pipes with one step PVC solvent cement and testing of joints complete as per direction of Engineer-in-Charge 140 mm dia 6 Kgf/cm2 - External work- Exposed on wall</t>
  </si>
  <si>
    <t>Providing and fixing PVC moulded fittings/ accessories for Rigid PVC pipes, including jointing with PVC solvent cement - 75 mm dia Bend (50.18.9.21.4)</t>
  </si>
  <si>
    <t>Details of cost for 10.00 meter</t>
  </si>
  <si>
    <t>PVC pipe 140 mm outer dia 6kgf/cm2
(5% added for wastage etc)</t>
  </si>
  <si>
    <t>MR70</t>
  </si>
  <si>
    <t>PVC bend 75 mm dia</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</si>
  <si>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10Kgf/cm2 (50.18.8.4.1)</t>
  </si>
  <si>
    <t>Sundries
Adhesive and sundries etc</t>
  </si>
  <si>
    <t>MR44</t>
  </si>
  <si>
    <t>PVC pipe 32 mm outer dia. 10Kgf/cm2
Add 30% for fittings and wastage etc</t>
  </si>
  <si>
    <t>Bandhani</t>
  </si>
  <si>
    <t>Sundries
Carriage of materials</t>
  </si>
  <si>
    <t>Sundries
Adhesive, and sundries etc</t>
  </si>
  <si>
    <t>Sundries
Scaffolding etc.</t>
  </si>
  <si>
    <t>T3</t>
  </si>
  <si>
    <t>Providing and fixing PVC pipes, fittings including fixing the pipe with claps at 1.00 metre spacing. This includes jointing of pipes &amp; fittings with one step PVC solvent cement and testing of joints complete as per direction of Engineer-in-Charge 20 mm dia 12Kgf/cm2 - Internal work - Exposed on wall (50.18.7.2.1)</t>
  </si>
  <si>
    <t>PVC pipe 20 mm outer dia 12 kgf/cm2
(Adding 15% for fittings wastage)</t>
  </si>
  <si>
    <t>Providing and fixing PVC pipes including fixing the pipe with clamps/ clips/ at 1.00 m spacing . This includes jointing of pipes with one step PVC solvent cement and testing of joints complete as per direction of Engineer-in-Charge 90 mm dia 6 Kgf/cm2 - External work- Exposed on wall</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</si>
  <si>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6Kgf/cm2 (50.18.8.4.2)</t>
  </si>
  <si>
    <t>MR10213</t>
  </si>
  <si>
    <t>PVC pipe 90 mm outer dia 6kgf/cm2
(5% added for wastage etc)</t>
  </si>
  <si>
    <t>PVC pipe 32 mm outer dia. 6Kgf/cm2
Add 30% for fittings and wastage etc</t>
  </si>
  <si>
    <t>Providing and fixing PVC moulded fittings/ accessories for Rigid PVC pipes, including jointing with PVC solvent cement- 110 mm dia Bend (50.18.9.22.4)</t>
  </si>
  <si>
    <t>MR80</t>
  </si>
  <si>
    <t>PVC bend 110 mm dia</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</si>
  <si>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10 kgf/ cm2 (50.18.8.5.1)</t>
  </si>
  <si>
    <t>Details of cost for 10 metre MATERIALS:</t>
  </si>
  <si>
    <t>MR46</t>
  </si>
  <si>
    <t>PVC pipe 40 mm outer dia. 10kgf/cm2
Add 30% for fitting and wastage etc on (A)</t>
  </si>
  <si>
    <t>Providing and fixing PVC pipes, fittings including fixing the pipe with clamps at 1.00 m spacing. This includes jointing of pipes &amp; fittings with one step PVC solvent cement and testing of joints complete as per direction of Engineer -in-Charge 20 mm dia 10 Kgf/cm2- Internal work - Exposed on wall (50.18.7.2.2)</t>
  </si>
  <si>
    <t>PVC pipe 20 mm outer dia 10 kgf/cm2
(Adding 15% for fittings wastage)</t>
  </si>
  <si>
    <t>Providing and fixing PVC moulded fittings/ accessories for Rigid PVC pipes, including jointing with PVC solvent cement -63x63x63 mm dia Tee (50.18.9.20.5)</t>
  </si>
  <si>
    <t>MR61</t>
  </si>
  <si>
    <t>PVC Tee 63x63x63 mm dia</t>
  </si>
  <si>
    <t>PVC Pipe Without Trenching</t>
  </si>
  <si>
    <t>Providing and fixing PVC pipes includes jointing of pipes with one step PVC solvent cement &amp; testing of joints complete as per direction of Engineer in Charge. 20 mm dia 10KGF/cm2</t>
  </si>
  <si>
    <t>PVC pipe 20 mm outer dia. 10kgf cm2</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</si>
  <si>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6Kgf/cm2 (50.18.8.5.2)</t>
  </si>
  <si>
    <t>MR47</t>
  </si>
  <si>
    <t>PVC pipe 40 mm outer dia. 6kgf/cm2
Add 30% for fitting and wastage etc on (A)</t>
  </si>
  <si>
    <t>Providing and fixing PVC pipes includes jointing of pipes with one step PVC solvent cement &amp; testing of joints complete as per direction of Engineer in Charge. 25 mm dia 10KGF/cm2</t>
  </si>
  <si>
    <t>Providing and fixing PVC pipes, fittings including fixing the pipe with clamps at 1.00 m spacing. This includes jointing of pipes &amp; fittings with one step PVC solvent cement and testing of joints complete as per direction of Engineer- in- Charge 25 mm dia 12 Kgf/cm2 - Internal work - Exposed on wall (50.18.7.3.1)</t>
  </si>
  <si>
    <t>PVC pipe 25 mm outer dia. 10kgf cm2</t>
  </si>
  <si>
    <t>PVC pipe 25 mm outer dia . 12 kgf/cm2
(Adding 15% for fittings and wastage)</t>
  </si>
  <si>
    <t>Providing and fixing PVC moulded fittings/ accessories for Rigid PVC pipes, including jointing with PVC solvent cement -75x75x75 mm dia Tee (50.18.9.21.5)</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</si>
  <si>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10 kgf/cm2 (50.18.8.6.1)</t>
  </si>
  <si>
    <t>MR48</t>
  </si>
  <si>
    <t>PVC pipe 50 mm outer dia. 10 kgf/cm2
(Adding 30% for fittings and wastage)</t>
  </si>
  <si>
    <t>MR71</t>
  </si>
  <si>
    <t>PVC Tee 75x75x75 mm dia</t>
  </si>
  <si>
    <t>Providing and fixing PVC pipes includes jointing of pipes with one step PVC solvent cement &amp; testing of joints complete as per direction of Engineer in Charge. 32 mm dia 10KGF/cm2</t>
  </si>
  <si>
    <t>PVC pipe 32 mm outer dia. 10kgf cm2</t>
  </si>
  <si>
    <t>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6 kgf/cm2 (50.18.8.6.2)</t>
  </si>
  <si>
    <t>Providing and fixing PVC pipes includes jointing of pipes with one step PVC solvent cement &amp; testing of joints complete as per direction of Engineer in Charge. 32 mm dia 6 KGF/cm2</t>
  </si>
  <si>
    <t>MR45</t>
  </si>
  <si>
    <t>PVC pipe 32 mm outer dia. 6kgf cm2</t>
  </si>
  <si>
    <t>MR49</t>
  </si>
  <si>
    <t>Providing and fixing PVC pipes, fittings including fixing the pipe with clamps at 1.00 m spacing. This includes jointing of pipes &amp; fittings with one step PVC solvent cement and testing of joints complete as per direction of Engineer-in-Charge 25 mm dia 10Kgf/ cm2- Internal work- Exposed on wall (50.18.7.3.2)</t>
  </si>
  <si>
    <t>PVC pipe 50 mm outer dia.6kgf/cm2
(Adding 30% for fittings and wastage)</t>
  </si>
  <si>
    <t>Providing and fixing PVC moulded fittings/ accessories for Rigid PVC pipes including jointing with PVC solvent cement 110x110x110 mm dia Tee (50.18.9.22.5)</t>
  </si>
  <si>
    <t>PVC pipe 25 mm outer dia. 10kgf cm2
(Adding 15% for fittings and wastage)</t>
  </si>
  <si>
    <t>Details of cost for 1 no.</t>
  </si>
  <si>
    <t>MR81</t>
  </si>
  <si>
    <t>PVC Tee 110x110x110mm dia</t>
  </si>
  <si>
    <t>Providing and fixing PVC pipes includes jointing of pipes with one step PVC solvent cement &amp; testing of joints complete as per direction of Engineer in Charge. 40 mm dia 6 KGF/cm2</t>
  </si>
  <si>
    <t>PVC pipe 40 mm outer dia. 6kgf cm2</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</si>
  <si>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6 Kgf/cm2 (50.18.8.7.1)</t>
  </si>
  <si>
    <t>MR50</t>
  </si>
  <si>
    <t>PVC pipe 63 mm outer dia 6kgf/cm2
(Adding 5% for wastage, etc)</t>
  </si>
  <si>
    <t>Providing and fixing PVC pipes includes jointing of pipes with one step PVC solvent cement &amp; testing of joints complete as per direction of Engineer in Charge. 40 mm dia 10 KGF/cm2</t>
  </si>
  <si>
    <t>PVC pipe 40 mm outer dia. 10kgf cm2</t>
  </si>
  <si>
    <t>50.18.78</t>
  </si>
  <si>
    <t>Rate as per item Number 50.18.78 of SH: Approved Observed data
Approved Observed data : Making chases up to 12.5x12.5 cm in walls including making good and finishing with matching surface after housing pipe etc.
Making chases upto 12.5x12.5 cm in walls and making good the same</t>
  </si>
  <si>
    <t>Providing and fixing PVC moulded fittings/ accessories for Rigid PVC pipes, including jointing with PVC solvent cement -63x63x63 mm dia Door Tee (50.18.9.20.6)</t>
  </si>
  <si>
    <t>MR62</t>
  </si>
  <si>
    <t>PVC Door Tee 63x63x63 mm dia</t>
  </si>
  <si>
    <t>Providing and fixing PVC pipes includes jointing of pipes with one step PVC solvent cement &amp; testing of joints complete as per direction of Engineer in Charge. 50 mm dia 6 KGF/cm2</t>
  </si>
  <si>
    <t>Providing and fixing PVC pipes, fittings including fixing the pipe with clamps at 1.00 m spacing. This includes jointing of pipes &amp; fittings with one step PVC solvent cement and testing of joints complete as per direction of Engineer-in-Charge 32 mm dia 10Kgf/cm2- Internal work - Exposed on wall (50.18.7.4.1)</t>
  </si>
  <si>
    <t>PVC pipe 50 mm outer dia. 6kgf cm2</t>
  </si>
  <si>
    <t>PVC pipe 32 mm outer dia. 10Kgf/cm2
Add 15% for fittings and wastage etc</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</si>
  <si>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4 Kgf/cm2 (50.18.8.7.2)</t>
  </si>
  <si>
    <t>MR51</t>
  </si>
  <si>
    <t>PVC pipe 63 mm outer dia 4kgf/cm2
(Adding 5% for wastage, etc)</t>
  </si>
  <si>
    <t>Providing and fixing PVC pipes includes jointing of pipes with one step PVC solvent cement &amp; testing of joints complete as per direction of Engineer in Charge. 50 mm dia 10 KGF/cm2</t>
  </si>
  <si>
    <t>PVC pipe 50mm outer dia.10kgf cm2</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</si>
  <si>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6 Kgf/cm2 (50.18.8.8.1)</t>
  </si>
  <si>
    <t>Providing and fixing PVC pipes includes jointing of pipes with one step PVC solvent cement &amp; testing of joints complete as per direction of Engineer in Charge.63 mm dia 6 KGF/cm2</t>
  </si>
  <si>
    <t>MR52</t>
  </si>
  <si>
    <t>PVC pipe 75 mm outer dia 6kgf/cm2
(Adding 5% for wastage, etc)</t>
  </si>
  <si>
    <t>PVC pipe 63 mm outer dia. 6kgf cm2</t>
  </si>
  <si>
    <t>Providing and fixing PVC moulded fittings/ accessories for Rigid PVC pipes, including jointing with PVC solvent cement -75x75x75 mm dia Door Tee (50.18.9.21.6)</t>
  </si>
  <si>
    <t>MR72</t>
  </si>
  <si>
    <t>PVC Door Tee 75x75x75 mm dia</t>
  </si>
  <si>
    <t>Providing and fixing PVC pipes, fittings including fixing the pipe with clamps at 1.00m spacing. This includes jointing of pipes &amp; fittings with one step PVC solvent cement and testing of joints complete as per direction of Engineer-in-Charge 40 mm dia 10 Kgf/cm2- Internal work- exposed on wall (50.18.7.5.1)</t>
  </si>
  <si>
    <t>PVC pipe 40 mm outer dia. 10kgf/cm2
Add 15% for fitting and wastage etc on (A)</t>
  </si>
  <si>
    <t>Providing and fixing PVC pipes includes jointing of pipes with one step PVC solvent cement &amp; testing of joints complete as per direction of Engineer in Charge.75 mm dia 6 KGF/cm2</t>
  </si>
  <si>
    <t>PVC pipe 75 mm outer dia. 6kgf cm2</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</si>
  <si>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4 Kgf/cm2 (50.18.8.8.2)</t>
  </si>
  <si>
    <t>MR53</t>
  </si>
  <si>
    <t>PVC pipe 75 mm outer dia 4 kgf/cm2
(Adding 5% for wastage, etc)</t>
  </si>
  <si>
    <t>Providing and fixing PVC pipes includes jointing of pipes with one step PVC solvent cement &amp; testing of joints complete as per direction of Engineer in Charge.110 mm dia 6 KGF/cm2</t>
  </si>
  <si>
    <t>MR54</t>
  </si>
  <si>
    <t>PVC pipe 110 mm outer dia. 6kgf cm2</t>
  </si>
  <si>
    <t>Providing and fixing PVC moulded fittings/ accessories for Rigid PVC pipes including jointing with PVC solvent cement 110x110x110 mm dia Door Tee (50.18.9.22.6)</t>
  </si>
  <si>
    <t>MR82</t>
  </si>
  <si>
    <t>PVC Door Tee 110x110x110mm dia</t>
  </si>
  <si>
    <t>Providing and fixing PVC pipes includes jointing of pipes with one step PVC solvent cement &amp; testing of joints complete as per direction of Engineer in Charge.150 mm dia 6 KGF/cm2</t>
  </si>
  <si>
    <t>MR56</t>
  </si>
  <si>
    <t>PVC pipe 150 mm outer dia. 6kgf cm2</t>
  </si>
  <si>
    <t>Providing and fixing PVC pipes, fittings including fixing the pipe with clamps at 1.00 m spacing. This includes jointing of pipes with one step PVC solvent cement and testing of joints complete as per direction of Engineer-in-Charge. Concealed work, including cutting chased and making good the wall etc. 110 mm pipe 6kgf/cm2 (50.18.8.9.1)</t>
  </si>
  <si>
    <t>Providing and fixing PVC pipes, fittings including fixing the pipe with clamps at 1.00 m spacing. This includes jointing of pipes &amp; fittings with one step PVC solvent cement and testing of joints complete as per direction of Engineer-in-Charge 40 mm dia 6Kgf/cm2 - Internal work - Exposed on wall (50.18.7.5.2)</t>
  </si>
  <si>
    <t>PVC pipe 110 mm outer dia 6kgf/cm2
(Adding 5% for wastage, etc)</t>
  </si>
  <si>
    <t>PVC pipe 40 mm outer dia. 6kgf/cm2
Add 15% for fitting and wastage etc on (A)</t>
  </si>
  <si>
    <t>Providing and fixing PVC moulded fittings/ accessories for Rigid PVC pipes including jointing with PVC solvent cement 110x110x75 mm dia Door Tee (50.18.9.22.7)</t>
  </si>
  <si>
    <t>MR83</t>
  </si>
  <si>
    <t>PVC Door Tee 110x110x75mm dia</t>
  </si>
  <si>
    <t>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110 mm pipe 4 kgf/cm2 (50.18.8.9.2)</t>
  </si>
  <si>
    <t>PVC pipe 110 mm outer dia. 4kgf/cm2
(Adding 5% for wastage, etc)</t>
  </si>
  <si>
    <t>Providing and fixing PVC pipes includes jointing of pipes with one step PVC solvent cement &amp; testing of joints complete as per direction of Engineer in Charge. 140 mm dia 6 KGF/cm2</t>
  </si>
  <si>
    <t>Providing and fixing PVC pipes, fittings including fixing the pipe with clamps at 1.00 m spacing. This includes jointing of pipes &amp; fittings with one step PVC solvent cement and testing of joints complete as per direction of Engineer-in-Charge 50 mm dia 10 kgf/cm - Internal work- Exposed on wall (50.18.7.6.1)</t>
  </si>
  <si>
    <t>PVC pipe 50 mm outer dia. 10 kgf/cm2
(15% added for fittings and wastage etc)</t>
  </si>
  <si>
    <t>Providing and fixing PVC moulded fittings/accessories for Rigid PVC pipes, including jointing with PVC solvent cement -63 mm dia Elbow (50.18.9.20.1)</t>
  </si>
  <si>
    <t>Details of cost for 1. no</t>
  </si>
  <si>
    <t>MR57</t>
  </si>
  <si>
    <t>PVC Elbow 63 mm dia</t>
  </si>
  <si>
    <t>Providing and fixing PVC pipes includes jointing of pipes with one step PVC solvent cement &amp; testing of joints complete as per direction of Engineer in Charge.63 mm dia 10 KGF/cm2</t>
  </si>
  <si>
    <t>MR10234</t>
  </si>
  <si>
    <t>PVC Pipe, 10kg/cm2, 63mm Dia.</t>
  </si>
  <si>
    <t>Providing and fixing PVC pipes includes jointing of pipes with one step PVC solvent cement &amp; testing of joints complete as per direction of Engineer in Charge.90 mm dia 10 KGF/cm2</t>
  </si>
  <si>
    <t>MR10236</t>
  </si>
  <si>
    <t>PVC Pipe, 10kg/cm2, 90mm Dia.</t>
  </si>
  <si>
    <t>Providing and fixing PVC pipes including jointing of pipes with one step PVC solvent cement, trenching, refilling &amp; testing of joints complete as per direction of Engineer in Charge 15 mm dia 12kgf/cm2 (50.18.9.1.1)</t>
  </si>
  <si>
    <t>Details of cost for 10.00 m</t>
  </si>
  <si>
    <t>Providing and fixing PVC pipes, fittings including fixing the pipe with clamps at 1.00 m spacing . This includes jointing of pipes &amp; fittings with one step PVC solvent cement and testing of joints complete as per direction of Engineer-in-Charge 50 mm dia 6 Kgf/cm2 - Internal work- Exposed on wall (50.18.7.6.2)</t>
  </si>
  <si>
    <t>PVC pipe 15 mm outer dia. 12kgf/cm2
Add 15% for fittings and wastage etc.on (A)</t>
  </si>
  <si>
    <t>PVC pipe 50 mm outer dia.6kgf/cm2
(15% added for fittings and wastage etc)</t>
  </si>
  <si>
    <t>Providing and fixing PVC pipes includes jointing of pipes with one step PVC solvent cement &amp; testing of joints complete as per direction of Engineer in Charge.90 mm dia 6 KGF/cm2</t>
  </si>
  <si>
    <t>PVC Pipe, 6kg/cm2, 90mm Dia.</t>
  </si>
  <si>
    <t>Providing and fixing PVC moulded fittings/accessories for Rigid PVC pipes, including jointing with PVC solvent cement -63 mm dia 45 degree Elbow (50.18.9.20.2)</t>
  </si>
  <si>
    <t>Beldar
Trenching and refilling etc.</t>
  </si>
  <si>
    <t>MR58</t>
  </si>
  <si>
    <t>PVC 45 degree Elbow 63 mm dia</t>
  </si>
  <si>
    <t>L4</t>
  </si>
  <si>
    <t>TOTAL (Labour)</t>
  </si>
  <si>
    <t>Providing and fixing PVC pipes including jointing of pipes with one step PVC solvent cement, trenching, refilling &amp; testing of joints complete as per direction of Engineer in Charge. 15 mm dia 10Kgf/cm2 (50.18.9.1.2)</t>
  </si>
  <si>
    <t>Details of cost for 10 metres</t>
  </si>
  <si>
    <t>PVC Pipe With Trenching</t>
  </si>
  <si>
    <t>PVC pipe 15 mm outer dia 10kgf/cm2
Add 15% for fittings and wastage etc.on(A)</t>
  </si>
  <si>
    <t>Providing and fixing PVC pipes includes jointing of pipes with one step PVC solvent cement, trenching, refilling &amp; testing of joints complete as per direction of Engineer in Charge. 140 mm dia 6 KGF/cm2</t>
  </si>
  <si>
    <t>Beldar
Trenching and refilling etc</t>
  </si>
  <si>
    <t>Providing and fixing PVC pipes, fittings including fixing the pipe with clamps at 1.00 m spacing. This included jointing of pipes &amp; fittings with one step PVC solvent cement and testing of joints compete as per direction of Engineer-in-Charge 15 mm dia 12 Kgf/cm2-External work - Exposed on wall (50.18.9.11.1)</t>
  </si>
  <si>
    <t>Trenching and refilling etc.</t>
  </si>
  <si>
    <t>Details of cost for 10.00 meter.</t>
  </si>
  <si>
    <t>Providing and fixing PVC moulded fittings/accessories for Rigid PVC pipes, including jointing with PVC solvent cement -63 mm dia Door Elbow (50.18.9.20.3)</t>
  </si>
  <si>
    <t>MR59</t>
  </si>
  <si>
    <t>Providing and fixing PVC pipes including jointing of pipes with one step PVC solvent cement, trenching, refilling &amp; testing of joints as per direction of Engineer in Charge.20 mm dia 12 Kgf/cm2 (50.18.9.2.1)</t>
  </si>
  <si>
    <t>PVC Door Elbow 63 mm dia</t>
  </si>
  <si>
    <t>PVC pipe 15 mm outer dia. 12kgf/cm2
(Adding 15% for fittings and wastage)</t>
  </si>
  <si>
    <t>PVC pipe 20 mm outer dia 12 kgf/cm2
Add 15% for fittings and wastage etc. on (A)</t>
  </si>
  <si>
    <t>Providing and fixing PVC pipes includes jointing of pipes with one step PVC solvent cement, trenching, refilling &amp; testing of joints complete as per direction of Engineer in Charge. 63 mm dia 10 KGF/cm2</t>
  </si>
  <si>
    <t>Providing and fixing PVC pipes includes jointing of pipes with one step PVC solvent cement, trenching, refilling &amp; testing of joints complete as per direction of Engineer in Charge. 90 mm dia 10 KGF/cm2</t>
  </si>
  <si>
    <t>Providing and fixing PVC pipes including of pipes with one step PVC solvent cement, trenching, refilling &amp; testing of joints complete as per direction of Engineer in Charge. 20 mm dia 10 Kgf/cm2 (50.18.9.2.2)</t>
  </si>
  <si>
    <t>PVC Pipe, 10kg/cm2, 90mm Dia</t>
  </si>
  <si>
    <t>PVC pipe 20 mm outer dia 10 kgf/cm2
Add 15% for fittings and wastage etc. on (A)</t>
  </si>
  <si>
    <t>Providing and fixing PVC moulded fittings/accessories for Rigid PVC pipes, including jointing with PVC solvent cement -75 mm dia Elbow (50.18.9.21.1)</t>
  </si>
  <si>
    <t>MR67</t>
  </si>
  <si>
    <t>PVC Elbow 75 mm dia</t>
  </si>
  <si>
    <t>Providing and fixing PVC pipes includes jointing of pipes with one step PVC solvent cement, trenching, refilling &amp; testing of joints complete as per direction of Engineer in Charge. 90 mm dia 6 KGF/cm2</t>
  </si>
  <si>
    <t>Providing and fixing PVC pipes, fittings including fixing the pipe with clamps at 1.00m spacing. This includes jointing of pipes &amp; fittings with one step PVC solvent cement and testing of joints complete as per direction of Engineer-in-Charge 15 mm dia 10 Kgf/cm2- External work - Exposed on wall (50.18.9.11.2)</t>
  </si>
  <si>
    <t>PVC Pipe, 6kg/cm2, 90mm Dia</t>
  </si>
  <si>
    <t>Providing and fixing PVC pipes including jointing of pipes with one step PVC solvent cement, trenching, refilling &amp; testing of joints complete as per direction of Engineer in Charge 25 mm dia 12kgf/cm2 (50.18.9.3.1)</t>
  </si>
  <si>
    <t>PVC pipe 25 mm outer dia . 12 kgf/cm2
Add 15% for fittings and wastage etc.on(A)</t>
  </si>
  <si>
    <t>Providing and fixing PVC moulded fittings/accessories for Rigid PVC pipes, including jointing with PVC solvent cement -75 mm dia 45 degree Elbow (50.18.9.21.2)</t>
  </si>
  <si>
    <t>MR68</t>
  </si>
  <si>
    <t>PVC 45 degree Elbow 75 mm dia</t>
  </si>
  <si>
    <t>Providing and fixing PVC pipes includes jointing of pipes with one step PVC solvent cement, trenching, refilling &amp; testing of joints complete as per direction of Engineer in Charge. 25 mm dia 10KGF/cm2 (50.18.9.3.2)</t>
  </si>
  <si>
    <t>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t>
  </si>
  <si>
    <t>PVC pipe 25 mm outer dia. 10kgf cm2
Add 15% for fittings and wastage etc. on (A)</t>
  </si>
  <si>
    <t>Sl. No</t>
  </si>
  <si>
    <t>Providing and fixing PVC pipes, fittings including fixing the pipe with clamps at 1.00 m spacing. This includes jointing of pipes &amp; fittings with one step PVC solvent cement and testing of joints complete as per direction of Engineer-in-Charge 20 mm dia 12 Kgf/cm2 - External work - Exposed on wall (50.18.9.12.1)</t>
  </si>
  <si>
    <t>1</t>
  </si>
  <si>
    <t>Hydrogeological Investigation (Domestic)</t>
  </si>
  <si>
    <t>2</t>
  </si>
  <si>
    <t>Hydrogeological Investigation (Institution)</t>
  </si>
  <si>
    <t>3</t>
  </si>
  <si>
    <t>Hydrogeological Investigation (Industrial)</t>
  </si>
  <si>
    <t>4</t>
  </si>
  <si>
    <t>Geophysical Logging</t>
  </si>
  <si>
    <t>5</t>
  </si>
  <si>
    <t>110mm (4.5") Borewell Drilling</t>
  </si>
  <si>
    <t>6</t>
  </si>
  <si>
    <t>150mm (6") Borewell Drilling</t>
  </si>
  <si>
    <t>7</t>
  </si>
  <si>
    <t>150mm (6") Tubewell Drilling</t>
  </si>
  <si>
    <t>8</t>
  </si>
  <si>
    <t>Tubewell Drilling 200mm (8")</t>
  </si>
  <si>
    <t>9</t>
  </si>
  <si>
    <t>110mm (4.5") Filterpoint Well Drilling</t>
  </si>
  <si>
    <t>10</t>
  </si>
  <si>
    <t>Flushing (Developing) Borewell</t>
  </si>
  <si>
    <t>11</t>
  </si>
  <si>
    <t>Flushing (Developing) Tubewell</t>
  </si>
  <si>
    <t>12</t>
  </si>
  <si>
    <t>Flushing (Developing) Filterpoint well</t>
  </si>
  <si>
    <t>13</t>
  </si>
  <si>
    <t>Water Quality Testing (Domestic)</t>
  </si>
  <si>
    <t>14</t>
  </si>
  <si>
    <t>Water Quality Testing (Industrial)</t>
  </si>
  <si>
    <t>15</t>
  </si>
  <si>
    <t>Water Quality Testing Including Bacteriology (Domestic)</t>
  </si>
  <si>
    <t>16</t>
  </si>
  <si>
    <t>Water Quality Testing Including Bacteriology (Industrial)</t>
  </si>
  <si>
    <t>17</t>
  </si>
  <si>
    <t>110mm (4.5") Borewell Drilling with Subsidy</t>
  </si>
  <si>
    <t>18</t>
  </si>
  <si>
    <t>Rotary cum DTH OB Drilling</t>
  </si>
  <si>
    <t>19</t>
  </si>
  <si>
    <t>20</t>
  </si>
  <si>
    <t>Rotary cum DTH OB Drilling with Subsidy</t>
  </si>
  <si>
    <t>21</t>
  </si>
  <si>
    <t>150mm (6") Borewell Drilling with Subsidy</t>
  </si>
  <si>
    <t>22</t>
  </si>
  <si>
    <t>150mm (6") Tubewell Drilling with Subsidy</t>
  </si>
  <si>
    <t>23</t>
  </si>
  <si>
    <t>Tubewell Drilling 200mm (8") with Subsidy</t>
  </si>
  <si>
    <t>24</t>
  </si>
  <si>
    <t>Water Quality Testing</t>
  </si>
  <si>
    <t>25</t>
  </si>
  <si>
    <t>Water Quality Testing Including Bacteriology</t>
  </si>
  <si>
    <t>26</t>
  </si>
  <si>
    <t>Slotting charge for 3m pipe, net, rope, pipe fittings and sundries for Filter Point Well Construction</t>
  </si>
  <si>
    <t>27</t>
  </si>
  <si>
    <t>Water Quality Testing for Additional Parameters (Fluoride and Phosphate)</t>
  </si>
  <si>
    <t>28</t>
  </si>
  <si>
    <t>Water Quality Testing for Heavy Metals</t>
  </si>
  <si>
    <t>Providing and fixing PVC moulded fittings/accessories for Rigid PVC pipes, including jointing with PVC solvent cement -75 mm dia Door Elbow (50.18.9.21.3)</t>
  </si>
  <si>
    <t>Providing and fixing PVC pipes including jointing of pipes with one step PVC solvent cement, trenching, refilling &amp; testing of joints complete as per direction of Engineer in Charge.32 mm dia 10.Kgf/cm2 (50.18.9.4.1)</t>
  </si>
  <si>
    <t>Details of cost for 10 .00 metre.</t>
  </si>
  <si>
    <t>MR69</t>
  </si>
  <si>
    <t>PVC Door Elbow 75 mm dia</t>
  </si>
  <si>
    <t>PVC pipe 32 mm outer dia. 10Kgf/cm2
Add 15% for fittings and wastage etc. on (A)</t>
  </si>
  <si>
    <t>Supply and drawing FRLS PVC insulated &amp; sheathed 650/1100 V grade 3 core copper conductor flat cable for submersible pump motor conforming to IS 694 part I 1990 as required including giving necessary connections of the following sizes. 1.50 sq mm (90.6.6.1)</t>
  </si>
  <si>
    <t>COST FOR 100 METERS RUN</t>
  </si>
  <si>
    <t>MR750</t>
  </si>
  <si>
    <t>22/0.30 sqmm three core ISI Marked FR LS PVC sheathed flat copper conductor cable</t>
  </si>
  <si>
    <t>Wastage @ 5% of :(M1)</t>
  </si>
  <si>
    <t>MR719</t>
  </si>
  <si>
    <t>Wireman Helper</t>
  </si>
  <si>
    <t>Hire charges for T &amp; P @ 2% of :(M1+L2+A1)</t>
  </si>
  <si>
    <t>Providing and fixing PVC pipes, fittings including fixing the pipe with clamps at 1.00 m spacing. This includes jointing of pipes &amp; fittings with one step PVC solvent cement and testing of joints complete as per direction of Engineer-in-Charge 20 mm dia 10Kgf/cm2 External work- Exposed on wall (50.18.9.12.2)</t>
  </si>
  <si>
    <t>Providing and fixing PVC pipes including joints of pipes with one step PVC solvent cement, trenching, refilling &amp; testing of joints complete as per direction of Engineer in Charge. 32 mm dia 6 Kgf/cm2 (50.18.9.4.2)</t>
  </si>
  <si>
    <t>Details of cost for 10.00 metre</t>
  </si>
  <si>
    <t>PVC pipe 32 mm outer dia 6Kgf/cm2
Add 15% for fittings and wastage etc. on (A)</t>
  </si>
  <si>
    <t>Hire charges for T &amp; P @ 2% of :(L1)</t>
  </si>
  <si>
    <t>Providing and fixing PVC moulded fittings / accessories for Rigid PVC pipes, including jointing with PVC solvent cement - 110 mm dia Elbow (50.18.9.22.1)</t>
  </si>
  <si>
    <t>A3</t>
  </si>
  <si>
    <t>MR77</t>
  </si>
  <si>
    <t>PVC Elbow 110 mm dia</t>
  </si>
  <si>
    <t>Supply and drawing FRLS PVC insulated &amp; sheathed 650/1100 V grade 3 core copper conductor flat cable for submersible pump motor conforming to IS 694 part I 1990 as required including giving necessary connections of the following sizes. 2.50 sq mm (90.6.6.2)</t>
  </si>
  <si>
    <t>MR751</t>
  </si>
  <si>
    <t>36/0.30 sqmm three core ISI Marked FR LS PVC sheathed flat copper conductor cable</t>
  </si>
  <si>
    <t>Sundries
Adhesive and sundries</t>
  </si>
  <si>
    <t>Providing and fixing PVC pipes including jointing of pipes with one step PVC solvent cement, trenching refilling &amp; testing of joints complete as per direction of Engineer in Charge 40 mm dia 10Kgf/cm2 (50.18.9.5.1)</t>
  </si>
  <si>
    <t>PVC pipe 40 mm outer dia. 10kgf/cm2
Add 15% for fittings and wastage etc. on</t>
  </si>
  <si>
    <t>Providing and fixing PVC pipes, fittings including fixing the pipe with clamps at 1.00 m spacing. This includes jointing of pipes &amp; fittings with one step PVC solvent cement and testing of joints complete as per direction of Engineer-in-Charge 25 mm dia 12 Kgf/ cm2- External work- exposed on wall (50.18.9.13.1)</t>
  </si>
  <si>
    <t>Providing and fixing PVC moulded fittings / accessories for Rigid PVC pipes, including jointing with PVC solvent cement - 110 mm dia 45 degree Elbow (50.18.9.22.2)</t>
  </si>
  <si>
    <t>Supply and drawing FRLS PVC insulated &amp; sheathed 650/1100 V grade 3 core copper conductor flat cable for submersible pump motor conforming to IS 694 part I 1990 as required including giving necessary connections of the following sizes. 4 sq mm (90.6.6.3)</t>
  </si>
  <si>
    <t>PVC pipe 25 mm outer dia . 12 kgf/cm2
( Adding 15% for fittings and wastage)</t>
  </si>
  <si>
    <t>MR752</t>
  </si>
  <si>
    <t>56/0.30 sqmm three core ISI Marked FR LS PVC sheathed flat copper conductor cable</t>
  </si>
  <si>
    <t>MR78</t>
  </si>
  <si>
    <t>PVC 45 degree Elbow 110 mm dia</t>
  </si>
  <si>
    <t>Providing and fixing PVC pipes including jointing of pipes with one step PVC solvent cement, trenching, refilling &amp; testing of joints compete as per direction of Engineer in Charge. 40 mm dia 6 Kgf/cm2 (50.18.9.5.2)</t>
  </si>
  <si>
    <t>PVC pipe 40 mm outer dia. 6kgf/cm2
Add 15% for fittings and wastage etc. on (A)</t>
  </si>
  <si>
    <t>Supply and drawing FRLS PVC insulated &amp; sheathed 650/1100 V grade 3 core copper conductor flat cable for submersible pump motor conforming to IS 694 part I 1990 as required including giving necessary connections of the following sizes. 6 sq mm (90.6.6.4)</t>
  </si>
  <si>
    <t>MR753</t>
  </si>
  <si>
    <t>85/0.30 sqmm three core ISI Marked FR LS PVC sheathed flat copper conductor cable</t>
  </si>
  <si>
    <t>Providing and fixing PVC pipes including jointing of pipes with one step PVC solvent cement, trenching, refilling &amp; testing of joints complete as per direction of Engineer in Charge. 50 mm dia 10Kgf/cm2 (50.18.9.6.1)</t>
  </si>
  <si>
    <t>PVC pipe 50 mm outer dia. 10 kgf/cm2
Add 15% for fittings and wastage etc. on</t>
  </si>
  <si>
    <t>Providing and fixing PVC moulded fittings / accessories for Rigid PVC pipes, including jointing with PVC solvent cement - 110 mm Door Elbow (50.18.9.22.3)</t>
  </si>
  <si>
    <t>MR79</t>
  </si>
  <si>
    <t>Providing and fixing PVC pipes, fittings including fixing the pipe with clamps at 1.00 m spacing. This includes jointing of pipes &amp; fittings with one step PVC solvent cement and testing of joints complete as per direction of Engineer-in-Charge 25 mm dia 10 Kgf/cm2- External work - Exposed on wall (50.18.9.13.2)</t>
  </si>
  <si>
    <t>PVC Door Elbow 110 mm dia</t>
  </si>
  <si>
    <t>Supply and drawing FRLS PVC insulated &amp; sheathed 650/1100 V grade 3 core copper conductor flat cable for submersible pump motor conforming to IS 694 part I 1990 as required including giving necessary connections of the following sizes. 10 sq mm (90.6.6.5)</t>
  </si>
  <si>
    <t>MR754</t>
  </si>
  <si>
    <t>140/0.30 sqmm three core ISI Marked FR LS PVC sheathed flat copper conductor cable</t>
  </si>
  <si>
    <t>Providing and fixing PVC pipes including jointing of pipes with one step PVC solvent cement, trenching, refilling &amp; testing of joints complete as per direction of Engineer in Charge. 50 mm dia 6 Kgf/cm2 (50.18.9.6.2)</t>
  </si>
  <si>
    <t>PVC pipe 50 mm outer dia.6kgf/cm2
Add 15% for fittings and wastage etc. on (A)</t>
  </si>
  <si>
    <t>Sundries
Scaffolding etc</t>
  </si>
  <si>
    <t>Providing and fixing PVC moulded fittings/ accessories for Rigid PVC pipes, including jointing with PVC solvent cement - 63 mm dia End cap (50.18.9.20.8)</t>
  </si>
  <si>
    <t>MR64</t>
  </si>
  <si>
    <t>PVC end cap 63 mm dia</t>
  </si>
  <si>
    <t>Supply and drawing FRLS PVC insulated &amp; sheathed 650/1100 V grade 3 core copper conductor flat cable for submersible pump motor conforming to IS 694 part I 1990 as required including giving necessary connections of the following sizes. 16 sq mm (90.6.6.6)</t>
  </si>
  <si>
    <t>MR755</t>
  </si>
  <si>
    <t>225/0.30 sqmm three core ISI Marked FR LS PVC sheathed flat copper conductor cable</t>
  </si>
  <si>
    <t>Providing and fixing PVC pipes, fittings including fixing the pipe with clamps at 1.00 m spacing. This includes jointing of pipes &amp; fittings with one step PVC solvent cement and testing of joints complete as per direction of Engineer-in-Charge 32 mm dia 10 Kgf/cm2 - External work- Exposed on wall (50.18.9.14.1)</t>
  </si>
  <si>
    <t>Providing and fixing PVC pipes including of pipes with one step PVC solvent cement, trenching refilling &amp; testing of joints complete as per direction of Engineer in Charge. 63 mm dia 6Kgf/cm2 (50.18.9.7.1)</t>
  </si>
  <si>
    <t>PVC pipe 63 mm outer dia . 6kgf/cm2</t>
  </si>
  <si>
    <t>Supply and drawing FRLS PVC insulated &amp; sheathed 650/1100 V grade 3 core copper conductor flat cable for submersible pump motor conforming to IS 694 part I 1990 as required including giving necessary connections of the following sizes. 25 sq mm (90.6.6.7)</t>
  </si>
  <si>
    <t>MR756</t>
  </si>
  <si>
    <t>354/.300 sqmm three core ISI Marked FR LS PVC sheathed flat copper conductor cable</t>
  </si>
  <si>
    <t>Providing and fixing PVC pipes including jointing of pipes with one step PVC solvent cement, trenching, refilling &amp; testing of joints complete as per direction of Engineer in Charge.63 mm dia 4 Kgf/cm2 (50.18.9.7.2)</t>
  </si>
  <si>
    <t>Providing and fixing PVC moulded fittings/ accessories for Rigid PVC pipes, including jointing with PVC solvent cement -75 mm dia End cap (50.18.9.21.8)</t>
  </si>
  <si>
    <t>PVC pipe 63 mm outer dia. 4 kgf/cm2
Add 5% for wastage etc. on (A)</t>
  </si>
  <si>
    <t>MR74</t>
  </si>
  <si>
    <t>PVC end cap 75 mm dia</t>
  </si>
  <si>
    <t>Providing and fixing PVC pipes, fittings including fixing the pipe with clamps at 1.00 m spacing. this includes jointing of pipes &amp; fittings with one step PVC solvent cement and testing of joints complete as per direction of Engineer-in-Charge 32 mm dia 6 Kgf/cm2 - External work - Exposed on wall (50.18.9.14.2)</t>
  </si>
  <si>
    <t>Details of cost for 10.00 metre.</t>
  </si>
  <si>
    <t>PVC pipe 32 mm outer dia 6Kgf/cm2
Add 15% for fitting and wastage etc on (A)</t>
  </si>
  <si>
    <t>Supply and drawing FRLS PVC insulated &amp; sheathed 650/1100 V grade 3 core copper conductor flat cable for submersible pump motor conforming to IS 694 part I 1990 as required including giving necessary connections of the following sizes. 35 sq mm (90.6.6.8)</t>
  </si>
  <si>
    <t>Providing and fixing PVC pipes including jointing of pipes with one step PVC solvent cement, trenching, refilling &amp; testing of joints complete as per direction of Engineer in Charge. 75 mm dia 6 Kgf/ cm2 50.18.9.8.1)</t>
  </si>
  <si>
    <t>MR757</t>
  </si>
  <si>
    <t>495/0.30 sqmm three core ISI Marked FR LS PVC sheathed flat copper conductor cable</t>
  </si>
  <si>
    <t>PVC pipe 75 mm outer dia 6kgf/cm2
Add 5% for wastage etc. on (A)</t>
  </si>
  <si>
    <t>Providing and fixing PVC moulded fittings/accessories for Rigid PVC pipes, including jointing with PVC solvent cement -110 mm dia End Cap (50.18.9.22.10)</t>
  </si>
  <si>
    <t>MR86</t>
  </si>
  <si>
    <t>PVC end cap 110 mm dia</t>
  </si>
  <si>
    <t>Providing and fixing PVC pipes including of pipes with one step PVC solvent cement, trenching and refilling &amp; testing of joints complete as per direction of Engineer in Charge. 75 mm dia 4 Kgf/cm2 50.18.9.8.2)</t>
  </si>
  <si>
    <t>PVC pipe 75 mm outer dia 4 kgf/cm2
Add 5% for wastage etc. on (A)</t>
  </si>
  <si>
    <t>Providing and fixing PVC pipes, fittings including fixing the pipe with clamps at 1.00 m spacing. This includes jointing of pipes &amp; fittings with one step PVC solvent cement and testing of joints complete as per direction of Engineer-in-Charge 40 mm dia 10Kgf/cm2- External work- Exposed on wall (50.18.9.15.1)</t>
  </si>
  <si>
    <t>₹65.81 no</t>
  </si>
  <si>
    <t>23.3.3</t>
  </si>
  <si>
    <t>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t>
  </si>
  <si>
    <t>23.4.3</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</si>
  <si>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t>
  </si>
  <si>
    <t>M.S. cap 200 mm dia (7748 - Water Charge and CPOH Added)</t>
  </si>
  <si>
    <t>Providing and fixing PVC moulded fittings/ accessories for Rigid PVC pipes, including jointing with PVC solvent cement - 63x50 mm dia Reducer (50.18.9.20.10)</t>
  </si>
  <si>
    <t>23.15.3</t>
  </si>
  <si>
    <t>Providing and fixing Bail plug / Bottom plug of required dia to the bottom of pipe assembly of tubewell as per IS : 2800 (part I). 200 mm dia (23.15.3)</t>
  </si>
  <si>
    <t>23.3.2</t>
  </si>
  <si>
    <t>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t>
  </si>
  <si>
    <t>23.4.2</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</si>
  <si>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t>
  </si>
  <si>
    <t>M.S. cap 150 mm dia (7747 - Water Charge and CPOH Added)</t>
  </si>
  <si>
    <t>23.15.2</t>
  </si>
  <si>
    <t>Providing and fixing Bail plug / Bottom plug of required dia to the bottom of pipe assembly of tubewell as per IS : 2800 (part I). 150 mm dia (23.15.2)</t>
  </si>
  <si>
    <t>23.3.1</t>
  </si>
  <si>
    <t>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(23.3.1)</t>
  </si>
  <si>
    <t>Providing and fixing PVC pipes including jointing of pipes with one step PVC solvent cement, trenching, refilling &amp; testing of Joints complete as per direction of engineer in charge.110 mm dia 6Kgf/cm2 (50.18.9.9.1)</t>
  </si>
  <si>
    <t>23.4.1</t>
  </si>
  <si>
    <t>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(23.4.1)</t>
  </si>
  <si>
    <t>M.S. cap 100 mm dia (7760 - Water Charge and CPOH Added)</t>
  </si>
  <si>
    <t>Details of cost for 10. meter</t>
  </si>
  <si>
    <t>23.15.1</t>
  </si>
  <si>
    <t>Providing and fixing Bail plug / Bottom plug of required dia to the bottom of pipe assembly of tubewell as per IS : 2800 (part I). 100 mm dia (23.15.1)</t>
  </si>
  <si>
    <t>MR66</t>
  </si>
  <si>
    <t>PVC pipe 110 mm outer dia 6kgf/cm2
Add 5% for wastage etc.on (A)</t>
  </si>
  <si>
    <t>PVC Reducer 63x50 mm dia</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</si>
  <si>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4 sq mm (90.12.37.1)</t>
  </si>
  <si>
    <t>COST FOR 50 METERS RUN A1 MATERIALS</t>
  </si>
  <si>
    <t>Material (M), Labour (L), Additional Charges (A), Subdata (S)</t>
  </si>
  <si>
    <t>MR826</t>
  </si>
  <si>
    <t>4 sqmm 2 core PVC/XLPE insulated armoured cable withcopper conductors for working voltages up to and including 1100 volts conforming IS 1584/part I/ 1988 for PVC IS 7098 part I for XLPE</t>
  </si>
  <si>
    <t>Providing and fixing PVC pipes includes joints of pipes with one step PVC solvent cement, trenching, refilling &amp; testing of joints complete as per direction of Engineer in CHarge. 110 mm dia 4 Kg/cm2 (50.18.9.9.2)</t>
  </si>
  <si>
    <t>PVC pipe 110 mm outer dia. 4kgf/cm2
Add 5% for wastage etc. on (A)</t>
  </si>
  <si>
    <t>Hire charges for T &amp; P @ 1% of :(M1+L2+A1)</t>
  </si>
  <si>
    <t>Providing and fixing PVC pipes, fittings including fixing the pipe with clamps at 1.00 m spacing. This includes jointing of pipes &amp; fittings with one step PVC solvent cement and testing of joints complete as per direction of Engineer-in-Charge 40 mm dia 6 Kgf/cm2 - External work - Exposed on wall (50.18.9.15.2)</t>
  </si>
  <si>
    <t>Providing and fixing PVC moulded fittings/ accessories for Rigid PVC pipes, including jointing with PVC solvent cement - 75x63 mm dia Reducer (50.18.9.21.10)</t>
  </si>
  <si>
    <t>MR76</t>
  </si>
  <si>
    <t>PVC Reducer 75x63 mm dia</t>
  </si>
  <si>
    <t>Hire charges for T &amp; P @ 1% of :(L1)</t>
  </si>
  <si>
    <t>Civil Items : Excavation for cable trenches in soft soil, depth upto 1.2 m including dressing of sides lift upto 1.5 m, including getting out the excavated soil, refilling with sand and or good soil after laying of cable/ pipe etc in layers of 20 cm, ramming, watering and disposal of surplus excavated soil as directed, within a lead of 50 metres.</t>
  </si>
  <si>
    <t>Providing and fixing PVC pipes including jointing of pipes with one step pvc solvent cement, trenching , refilling &amp; testing of joints complete as per direction of Engineer in Charge. 150 mm dia 6 Kgf/cm2 (50.18.9.10.1)</t>
  </si>
  <si>
    <t>PVC pipe 150 mm outer dia 6kgf/cm2
Add 5% for wastage etc. on (A)</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</si>
  <si>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6 sq mm (90.12.37.2)</t>
  </si>
  <si>
    <t>MR827</t>
  </si>
  <si>
    <t>6 sqmm 2 core PVC/XLPE insulated armoured cable with copper conductors for working Voltages up to and including 1100 volts conforming IS 1584/part I/ 1988 for PVC IS 7098 part I for XLPE</t>
  </si>
  <si>
    <t>Providing and fixing PVC moulded fittings/ accessories for Rigid PVC pipes, including jointing with PVC solvent cement - 110x75 mm dia Reducer (50.18.9.22.12)</t>
  </si>
  <si>
    <t>Providing and fixing PVC pipes, fittings including fixing the pipe with clamps at 1.00 m spacing. This includes jointing of pipes &amp; fittings with one step PVC solvent cement and testing of joints complete as per direction of Engineer-in-Charge 50 mm dia 10Kgf/cm2 - External work - Exposed on wall (50.18.9.16.1)</t>
  </si>
  <si>
    <t>MR88</t>
  </si>
  <si>
    <t>PVC Reducer 110x75 mm dia</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</si>
  <si>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10 sq mm (90.12.37.3)</t>
  </si>
  <si>
    <t>Providing and fixing Water meter for Rigid PVC pipes, including jointing with PVC solvent cement-15 mm water meter</t>
  </si>
  <si>
    <t>MR828</t>
  </si>
  <si>
    <t>10 sqmm 2 core PVC/XLPE insulated armoured cable with copper conductors for working Voltages up to and including 1100 volts conforming IS 1584/part I/ 1988 for PVC IS 7098 part I for XLPE</t>
  </si>
  <si>
    <t>MR11005</t>
  </si>
  <si>
    <t>Water Meter, Indian Standard, Class B, Multijet, 15mm ( ½")</t>
  </si>
  <si>
    <t>Providing and fixing Water meter for Rigid PVC pipes, including jointing with PVC solvent cement-20 mm water meter</t>
  </si>
  <si>
    <t>MR11006</t>
  </si>
  <si>
    <t>Water Meter, Indian Standard, Class B, Multijet, 20mm ( ¾" )</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</si>
  <si>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16 sq mm (90.12.37.4)</t>
  </si>
  <si>
    <t>MR829</t>
  </si>
  <si>
    <t>16 sqmm 2 core PVC/XLPE insulated armoured cable with copper conductors for working Voltages up to and including 1100 volts conforming IS 1584/part I/ 1988 for PVC IS 7098 part I for XLPE</t>
  </si>
  <si>
    <t>Providing and fixing PVC pipes, fittings including fixing the pipe with clamps at 1.00 m spacing. This includes jointing of pipes &amp; fittings with one step PVC solvent cement and testing of joints complete as per direction of Engineer-in-Charge 50 mm dia 6Kgf/cm2 - External work - Exposed on wall (50.18.9.16.2)</t>
  </si>
  <si>
    <t>Well Protection Cover</t>
  </si>
  <si>
    <t>Providing and placing on terrace (at all floor levels) polyethylene water storage tank ISI : 12701 marked, with cover and suitable locking arrangement and making necessary holes for inlet, outlet and overflow pipes but without fittings and the base support for tank as per (18.48)</t>
  </si>
  <si>
    <t>Earth work in excavation by mechanical means (Hydraulic excavator) / manual means in foundation trenches or drains (not exceeding 1.5 m in width or 10 sqm on plan), including dressing of sides and ramming of bottoms, lift up to 1.5 m, including getting out the excavated soil and disposal of surplus excavated soil as directed, within a lead of 50 m. All kinds of soil as per DSR item 2.8.1</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</si>
  <si>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t>
  </si>
  <si>
    <t>Providing and laying in position cement concrete All work up to plinth level: 1:4:8 (1 cement : 4 coarse sand : 8 graded stone aggregate 40 mm nominal size) as per DSR item 4.1.8</t>
  </si>
  <si>
    <t>MR830</t>
  </si>
  <si>
    <t>4 sqmm 3 core PVC/XLPE insulated armoured cable with copper conductors for working Voltages up to and including 1100 volts conforming IS 1584/part I/ 1988 for PVC IS 7098 part I for XLPE</t>
  </si>
  <si>
    <t>Deduction for Borewell</t>
  </si>
  <si>
    <r>
      <rPr>
        <rFont val="Cambria"/>
        <color theme="1"/>
        <sz val="12.0"/>
      </rPr>
      <t>m</t>
    </r>
    <r>
      <rPr>
        <rFont val="Cambria"/>
        <color theme="1"/>
        <sz val="12.0"/>
        <vertAlign val="superscript"/>
      </rPr>
      <t>3</t>
    </r>
  </si>
  <si>
    <t>Brick work with common burnt clay F.P.S. (non modular) bricks of class designation 7.5 in Cement mortar 1:6 as per DSR item 6.4.2</t>
  </si>
  <si>
    <t xml:space="preserve"> Side Wall</t>
  </si>
  <si>
    <t>GROUND WATER DEPARTMENT REVISED RATES FOR WATER TREATMENT PLANTS</t>
  </si>
  <si>
    <r>
      <rPr>
        <rFont val="Cambria"/>
        <color theme="1"/>
        <sz val="12.0"/>
      </rPr>
      <t>m</t>
    </r>
    <r>
      <rPr>
        <rFont val="Cambria"/>
        <color theme="1"/>
        <sz val="12.0"/>
        <vertAlign val="superscript"/>
      </rPr>
      <t>3</t>
    </r>
  </si>
  <si>
    <t>Providing and laying in position specified grade of reinforced cement concrete, excluding the cost of centering, shuttering, finishing and reinforcement - All work up to plinth level: 1:2:4 as per DSR item 5.1.3</t>
  </si>
  <si>
    <t>Slab</t>
  </si>
  <si>
    <r>
      <rPr>
        <rFont val="Cambria"/>
        <color theme="1"/>
        <sz val="12.0"/>
      </rPr>
      <t>m</t>
    </r>
    <r>
      <rPr>
        <rFont val="Cambria"/>
        <color theme="1"/>
        <sz val="12.0"/>
        <vertAlign val="superscript"/>
      </rPr>
      <t>3</t>
    </r>
  </si>
  <si>
    <t>I. FRP VESSEL - (Fibre Reinforced Polymer Vessel)</t>
  </si>
  <si>
    <t>Steel reinforcement for R.C.C. work including straightening, cutting, bending, placing in position and binding all complete above plinth level (Mild and Medium Tensile steel bars) as per DSR item 5.22.1</t>
  </si>
  <si>
    <t>Quantity as item 4</t>
  </si>
  <si>
    <r>
      <rPr>
        <rFont val="Cambria"/>
        <color theme="1"/>
        <sz val="12.0"/>
      </rPr>
      <t>m</t>
    </r>
    <r>
      <rPr>
        <rFont val="Cambria"/>
        <color theme="1"/>
        <sz val="12.0"/>
        <vertAlign val="superscript"/>
      </rPr>
      <t>3</t>
    </r>
  </si>
  <si>
    <t>at  80 kg/m3</t>
  </si>
  <si>
    <t>Supplying, assembling, fibre reinforced polymer vessel (FRP) size (14" Dia 65" Height) Weight - 21 kg, Tank Volume - 150 liter, Material- Polyethylene, Max Pressure -150 PSI, Max Vacuum- 5" Hg, Max temperature-49'c, Capacity- 1000-10000 L, opening at top &amp; bottom including hire &amp; labour charges, fittings &amp; accessories etc.complete, as per direction of Engineer-in-charge</t>
  </si>
  <si>
    <t>Centering and shuttering including strutting, propping etc. and removal of form for roofs etc. for mass concrete as per DSR item 5.9.3</t>
  </si>
  <si>
    <t>FRP-1465 vessel</t>
  </si>
  <si>
    <t>/e</t>
  </si>
  <si>
    <r>
      <rPr>
        <rFont val="Cambria"/>
        <color theme="1"/>
        <sz val="12.0"/>
      </rPr>
      <t>m</t>
    </r>
    <r>
      <rPr>
        <rFont val="Cambria"/>
        <color theme="1"/>
        <sz val="12.0"/>
        <vertAlign val="superscript"/>
      </rPr>
      <t>2</t>
    </r>
  </si>
  <si>
    <r>
      <rPr>
        <rFont val="Cambria"/>
        <color theme="1"/>
        <sz val="12.0"/>
      </rPr>
      <t>m</t>
    </r>
    <r>
      <rPr>
        <rFont val="Cambria"/>
        <color theme="1"/>
        <sz val="12.0"/>
        <vertAlign val="superscript"/>
      </rPr>
      <t>2</t>
    </r>
  </si>
  <si>
    <t>12 mm cement plaster of mix 1:4 as per DSR item  13.1.1</t>
  </si>
  <si>
    <t xml:space="preserve">Outside wall </t>
  </si>
  <si>
    <t xml:space="preserve">Inside wall </t>
  </si>
  <si>
    <t>Top of wall</t>
  </si>
  <si>
    <t>Slab top and bottom</t>
  </si>
  <si>
    <t xml:space="preserve">Total </t>
  </si>
  <si>
    <t>Providing and fixing PVC pipes including fixing the pipe with clamps/ clip at 1.00 m spacing . This includes jointing of pipes with one step PVC solvent cement and testing of joints complete as per direction of Engineer-in-Charge 63 mm dia 6 Kgf/cm2 - External work - Exposed on wall (50.18.9.17.1)</t>
  </si>
  <si>
    <t>Side of slab</t>
  </si>
  <si>
    <r>
      <rPr>
        <rFont val="Cambria"/>
        <color theme="1"/>
        <sz val="12.0"/>
      </rPr>
      <t>m</t>
    </r>
    <r>
      <rPr>
        <rFont val="Cambria"/>
        <color theme="1"/>
        <sz val="12.0"/>
        <vertAlign val="superscript"/>
      </rPr>
      <t>2</t>
    </r>
  </si>
  <si>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6 sq mm (90.12.37.6)</t>
  </si>
  <si>
    <t>PVC pipe 63 mm outer dia . 6kgf/cm2
(5% added for wastage etc)</t>
  </si>
  <si>
    <t>MR831</t>
  </si>
  <si>
    <t>6 sqmm 3 core PVC/XLPE insulated armoured cable with copper conductors for working Voltages up to and including 1100 volts conforming IS 1584/part I/ 1988 for PVC IS 7098 part I for XLPE</t>
  </si>
  <si>
    <t>Say Rs. 3800 x Index</t>
  </si>
  <si>
    <t>Supplying, assembling, fibre reinforced polymer vessel (FRP) size (16" Dia 65" Height) Weight - 22 kg, Tank Volume - 185 liter, Material- Polyethylene, Max Pressure -150 PSI, Max Vacuum- 5" Hg, Max temperature-49'c, Capacity- 1000-10000 L, opening at top &amp; bottom including hire &amp; labour charges, fittings &amp; accessories etc.complete, as per direction of Engineer-in-charge</t>
  </si>
  <si>
    <t>FRP-1665 vessel</t>
  </si>
  <si>
    <t>District</t>
  </si>
  <si>
    <t>TVM</t>
  </si>
  <si>
    <t>KLM</t>
  </si>
  <si>
    <t>PTA</t>
  </si>
  <si>
    <t>ALP</t>
  </si>
  <si>
    <t>KTM</t>
  </si>
  <si>
    <t>IDK</t>
  </si>
  <si>
    <t>EKM</t>
  </si>
  <si>
    <t>TSR</t>
  </si>
  <si>
    <t>PKD</t>
  </si>
  <si>
    <t>MLP</t>
  </si>
  <si>
    <t>KKD</t>
  </si>
  <si>
    <t>WYD</t>
  </si>
  <si>
    <t>KNR</t>
  </si>
  <si>
    <t>KGD</t>
  </si>
  <si>
    <t>LMR Based Derived Items</t>
  </si>
  <si>
    <t>Derived Code</t>
  </si>
  <si>
    <t>Spec</t>
  </si>
  <si>
    <t>Dia</t>
  </si>
  <si>
    <t>Rate (min 20)</t>
  </si>
  <si>
    <t>Support Data 1</t>
  </si>
  <si>
    <t>Support Data 2</t>
  </si>
  <si>
    <t>LMR Code</t>
  </si>
  <si>
    <t>(iii)</t>
  </si>
  <si>
    <t>Supplying, assembling, fibre reinforced polymer vessel (FRP) Size-(18" Dia 65" Height), Weight-30kg, Tank Volume - 242 liter , Material- Polyethylene, Max Pressure -150 PSI, Max Vacuum- 5" Hg, Max Temperature -49'c, Capacity- 1000-10000 L, opening at top &amp; bottom including hire &amp; labour charges, fittings &amp; accessories etc.complete, as per direction of Engineer-in-charge</t>
  </si>
  <si>
    <t>LMR Price</t>
  </si>
  <si>
    <t>FRP-1865 vessel</t>
  </si>
  <si>
    <t>PVC Pipe, 6kg/cm2, 160mm Dia.</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</si>
  <si>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10 sq mm (90.12.37.7)</t>
  </si>
  <si>
    <t>MR10217</t>
  </si>
  <si>
    <t>PVC Pipe, 6kg/cm2, 200mm Dia.</t>
  </si>
  <si>
    <t>Providing and fixing PVC pipes including fixing the pipe with clamps/clips at 1.00 m spacing. This includes jointing of pipes with one step PVC solvent cement and testing of joints complete as per direction of Engineer-in-Charge 63 mm dia 4 Kgf/cm2- External work - exposed on wall (50.18.9.17.2)</t>
  </si>
  <si>
    <t>MR832</t>
  </si>
  <si>
    <t>10 sqmm 3 core PVC/XLPE insulated armoured cable with copper conductors for working Voltages up to and including 1100 volts conforming IS 1584/part I/ 1988 for PVC IS 7098 part I for XLPE</t>
  </si>
  <si>
    <t>MR10239</t>
  </si>
  <si>
    <t>PVC Pipe, 10kg/cm2, 160mm Dia.</t>
  </si>
  <si>
    <t>PVC pipe 63 mm outer dia. 4 kgf/cm2
(5% added for wastage etc)</t>
  </si>
  <si>
    <t>MR10131</t>
  </si>
  <si>
    <t>HDPE Pipe PE 100 (IS
4984/1995), 8kg, 50mm Outer Dia.</t>
  </si>
  <si>
    <t>MR10132</t>
  </si>
  <si>
    <t>HDPE Pipe PE 100 (IS
4984/1995), 8kg, 63mm Outer Dia.</t>
  </si>
  <si>
    <t>(iv)</t>
  </si>
  <si>
    <t>Supplying, assembling, fibre reinforced polymer vessel (FRP) Size-(21" Dia 62" Height), Weight-43kg, Tank Volume -318 liter , Material- Polyethylene, Max Pressure -150 PSI, Max Vacuum- 5" Hg, Temperature-49'c, Capacity- 1000-10000 L, opening at top &amp; bottom including hire &amp; labour charges, fittings &amp; accessories etc.complete, as per direction of Engineer-in-charge</t>
  </si>
  <si>
    <t>FRP-2162 vessel</t>
  </si>
  <si>
    <t>PVC Pipe, 6kg/cm2, 140mm Dia.</t>
  </si>
  <si>
    <t>(v)</t>
  </si>
  <si>
    <t>Supplying, assembling, fibre reinforced polymer vessel (FRP) Size-(24" Dia 72" Height), Weight-49kg, Tank Volume -451 liter , Material- Polyethylene, Max Pressure -150 PSI, Max Vacuum- 5" Hg, Temperature-49'c, Capacity- 1000-10000 L, opening at top &amp; bottom including hire &amp; labour charges, fittings &amp; accessories etc.complete, as per direction of Engineer-in-charge</t>
  </si>
  <si>
    <t>FRP-2472 vessel</t>
  </si>
  <si>
    <t>MR10045</t>
  </si>
  <si>
    <t>Cost of pebble 12 mm to 20 mm.</t>
  </si>
  <si>
    <t>PVC Tap</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</si>
  <si>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16 sq mm (90.12.37.8)</t>
  </si>
  <si>
    <t>MR833</t>
  </si>
  <si>
    <t>16 sqmm 3 core PVC/XLPE insulated armoured cable with copper conductors for working Voltages up to and including 1100 volts conforming IS 1584/part I/ 1988 for PVC IS 7098 part I for XLPE</t>
  </si>
  <si>
    <t>(vi)</t>
  </si>
  <si>
    <t>Supplying, assembling, fibre reinforced polymer vessel (FRP) Size-(30" Dia 72" Height), Weight-90kg, Tank Volume -708 liter , Material- Polyethylene, Max Pressure -150 PSI, Max Vacuum- 5" Hg, Temperature-49'c, Capacity- 1000-10000 L, opening at top &amp; bottom including hire &amp; labour charges, fittings &amp; accessories etc.complete, as per direction of Engineer-in-charge</t>
  </si>
  <si>
    <t>Providing and fixing PVC pipes including fixing the pipe with clamps/clips at 1.00 m spacing. This included jointing of pipes with one step PVC solvent cement and testing of joints complete as per direction of Engineer-in-Charge 75 mm dia 6Kgf/cm2 - External work- Exposed on wall (50.18.9.18.1)</t>
  </si>
  <si>
    <t>FRP-3072 vessel</t>
  </si>
  <si>
    <t>Water Meter, Indian Standard, Class B, Multijet, 15mm ( ½? )</t>
  </si>
  <si>
    <t>Water Meter, Indian Standard, Class B, Multijet, 20mm ( ¾? )</t>
  </si>
  <si>
    <t>PVC pipe 75 mm outer dia 6kgf/cm2
(5% added for wastage etc)</t>
  </si>
  <si>
    <t>MR11045</t>
  </si>
  <si>
    <t>Air Valve, GM, Indian Standard, Class 2, 20mm ( ¾? )</t>
  </si>
  <si>
    <t>(vii)</t>
  </si>
  <si>
    <t>Supplying, assembling, fibre reinforced polymer vessel (FRP) Size-(36" Dia 72" Height), Weight-105kg, Tank Volume -1020 liter , Material- Polyethylene, Max Pressure -150 PSI, Max Vacuum- 5" Hg, Temperature-49'c, Capacity- 1000-10000 L, opening at top &amp; bottom including hire &amp; labour charges, fittings &amp; accessories etc.complete, as per direction of Engineer-in-charge</t>
  </si>
  <si>
    <t>FRP-3672 vessel</t>
  </si>
  <si>
    <t xml:space="preserve">II. MPV- (Multi port valve) </t>
  </si>
  <si>
    <t>Supplying, assembling, manually operated multi port valve 40 NB Material -PVC, Max pressure - 4kg/cm2, including hire &amp; labour charges, fittings &amp; accessories etc. all complete, as per direction of Engineer-in-charge</t>
  </si>
  <si>
    <t>MPV-40 NB</t>
  </si>
  <si>
    <t>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4 core 10 sq mm (90.12.37.33)</t>
  </si>
  <si>
    <t>MR858</t>
  </si>
  <si>
    <t>10 sqmm 4 core PVC /XLPE insulated armoured cable with copper conductors for working voltages up to and including 1100 volts conforming IS 1584/part I/ 1988 for PVC IS 7098 part I for XLPE</t>
  </si>
  <si>
    <t>9988</t>
  </si>
  <si>
    <t xml:space="preserve">Carriage and sundries of materials and fixing charge </t>
  </si>
  <si>
    <t>Providing and fixing PVC pipes including fixing the pipe with clamps/Clips at 1.00 m spacing. This included jointing of pipes with one step PVC solvent cement and testing of joints complete as per direction of Engineer-in-Charge 75 mm dia 4 kgf/cm2 - External work - Exposed on wall (50.18.9.18.2)</t>
  </si>
  <si>
    <t>PVC pipe 75 mm outer dia 4 kgf/cm2
(5% added for wastage etc)</t>
  </si>
  <si>
    <t>Supplying, assembling, manually operated multi port valve flower type 50NB Material -PVC, Max pressure - 4kg/cm2, including hire &amp; labour charges, fittings &amp; accessories etc. all complete, as per direction of Engineer-in-charge</t>
  </si>
  <si>
    <t>MPV-50 NB</t>
  </si>
  <si>
    <t>Sundries
carriage of materials</t>
  </si>
  <si>
    <t>Sundries
Adhesive,and sundries etc.</t>
  </si>
  <si>
    <t>Supplying, assembling, multi port valve 65 NB Manually Material -PVC, Max pressure - 4kg/cm2, including hire &amp; labour charges, fittings &amp; accessories etc. all complete, as per direction of Engineer-in-charge including hire &amp; labour charges, fittings &amp; accessories etc. all complete, as per direction of Engineer-in-charge</t>
  </si>
  <si>
    <t>MPV-65 NB</t>
  </si>
  <si>
    <t>Core Type</t>
  </si>
  <si>
    <t>Misc Type</t>
  </si>
  <si>
    <t>Valid From</t>
  </si>
  <si>
    <t>Valid To</t>
  </si>
  <si>
    <t>Published On</t>
  </si>
  <si>
    <t>MATERIAL</t>
  </si>
  <si>
    <t>OTHERMATERIALS</t>
  </si>
  <si>
    <t>MR1</t>
  </si>
  <si>
    <t>Solid blocks of size 40x20x20cm</t>
  </si>
  <si>
    <t>01-08-
2026</t>
  </si>
  <si>
    <t>01-01-
2060</t>
  </si>
  <si>
    <t>MR2</t>
  </si>
  <si>
    <t>Solid blocks of size 30x20x20cm</t>
  </si>
  <si>
    <t>III. Distributer</t>
  </si>
  <si>
    <t>MR3</t>
  </si>
  <si>
    <t>Solid blocks of size 40x20x15cm</t>
  </si>
  <si>
    <t>MR4</t>
  </si>
  <si>
    <t>Solid blocks of size 30x20x15cm</t>
  </si>
  <si>
    <t>Supplying, assembling, distributer 40 NB including hire &amp; labour charges, fittings &amp; accessories etc. all complete, as per direction of Engineer-in-charge</t>
  </si>
  <si>
    <t>MR5</t>
  </si>
  <si>
    <t>Solid blocks of size 40x20x10cm</t>
  </si>
  <si>
    <t>Providing and fixing PVC pipes including fixing the pipe with clamps/ clips/ at 1.00 m spacing . This includes jointing of pipes with one step PVC solvent cement and testing of joints complete as per direction of Engineer-in-Charge 110 mm dia 6 Kgf/cm2 - External work- Exposed on wall (50.18.9.19.1)</t>
  </si>
  <si>
    <t>MR6</t>
  </si>
  <si>
    <t>Hollow blocks of size 40x20x20cm</t>
  </si>
  <si>
    <t>MR7</t>
  </si>
  <si>
    <t>Hollow bloks oof size 40x20x15cm</t>
  </si>
  <si>
    <t>Distributer-40 NB</t>
  </si>
  <si>
    <t>MR8</t>
  </si>
  <si>
    <t>Hollow bloks oof size 40x20x10cm</t>
  </si>
  <si>
    <t>MR9</t>
  </si>
  <si>
    <t>laterate stone of size 40x20x15cm</t>
  </si>
  <si>
    <t>MR10</t>
  </si>
  <si>
    <t>Anjili wood scantls</t>
  </si>
  <si>
    <t>MR11</t>
  </si>
  <si>
    <t>Anjili wood planks</t>
  </si>
  <si>
    <t>MR12</t>
  </si>
  <si>
    <t>Pincoda wood scantls</t>
  </si>
  <si>
    <t>MR13</t>
  </si>
  <si>
    <t>PVC pipe 110 mm outer dia 6kgf/cm2
(5% added for wastage etc)</t>
  </si>
  <si>
    <t>Pincoda wood planks</t>
  </si>
  <si>
    <t>MR14</t>
  </si>
  <si>
    <t>Vengai wood scantls</t>
  </si>
  <si>
    <t>MR15</t>
  </si>
  <si>
    <t>Vengai wood planks</t>
  </si>
  <si>
    <t>MR16</t>
  </si>
  <si>
    <t>Multi wood board 12 mm thick</t>
  </si>
  <si>
    <t>MR17</t>
  </si>
  <si>
    <t>Multi wood board 18 mm thick</t>
  </si>
  <si>
    <t>MR18</t>
  </si>
  <si>
    <t>200 mm Aluminium aldrop</t>
  </si>
  <si>
    <t>MR19</t>
  </si>
  <si>
    <t>300 mm Aluminium aldrop</t>
  </si>
  <si>
    <t>MR20</t>
  </si>
  <si>
    <t>iron hooks &amp; eyes 200 mm</t>
  </si>
  <si>
    <t>1 nos</t>
  </si>
  <si>
    <t>MR21</t>
  </si>
  <si>
    <t>iron hooks &amp; eyes 150 mm</t>
  </si>
  <si>
    <t>MR22</t>
  </si>
  <si>
    <t>Iron hooks &amp; eyes 100 mm</t>
  </si>
  <si>
    <t>MR23</t>
  </si>
  <si>
    <t>PVC corrugated roofing sheets</t>
  </si>
  <si>
    <t>MR24</t>
  </si>
  <si>
    <t>PVC plain roofing sheets</t>
  </si>
  <si>
    <t>MR25</t>
  </si>
  <si>
    <t>poli carbonate multi wall sheet 4 mm thick</t>
  </si>
  <si>
    <t>MR26</t>
  </si>
  <si>
    <t>Poly carbonate multi wall plain sheet 5 mm</t>
  </si>
  <si>
    <t>MR27</t>
  </si>
  <si>
    <t>Poly carbonate multi wall plain sheet 6mm</t>
  </si>
  <si>
    <t>MR28</t>
  </si>
  <si>
    <t>Poly carbonate multi wall plain sheet 8 mm</t>
  </si>
  <si>
    <t>MR29</t>
  </si>
  <si>
    <t>Asbestos fibre cement corrugated sheet</t>
  </si>
  <si>
    <t>MR30</t>
  </si>
  <si>
    <t>7.5 mm thick PVC plain panel for ceilig work</t>
  </si>
  <si>
    <t>MR31</t>
  </si>
  <si>
    <t>7.5 mm thick PVC woodgen grains panel for</t>
  </si>
  <si>
    <t>MR32</t>
  </si>
  <si>
    <t>e board classic tile</t>
  </si>
  <si>
    <t>MR33</t>
  </si>
  <si>
    <t>Stainless steel soap dish</t>
  </si>
  <si>
    <t>MR34</t>
  </si>
  <si>
    <t>Supplying and fixing CP Towel rod 45cm or nearest available length</t>
  </si>
  <si>
    <t>MR35</t>
  </si>
  <si>
    <t>Supplying and fixing CP Towel rod 60cm or nearest availiable length</t>
  </si>
  <si>
    <t>MR36</t>
  </si>
  <si>
    <t>Health Faucet average quality</t>
  </si>
  <si>
    <t>MR37</t>
  </si>
  <si>
    <t>Health faucet superior quality</t>
  </si>
  <si>
    <t>PVC pipe 15 mm outer dia.
12kgf/cm2</t>
  </si>
  <si>
    <t>PVC pipe 15 mm outer dia 10kgf/cm2</t>
  </si>
  <si>
    <t>PVC pipe 20 mm outer dia 12 kgf/cm2</t>
  </si>
  <si>
    <t>PVC pipe 20 mm outer dia 10 kfg/cm2</t>
  </si>
  <si>
    <t>PVC pipe 25 mm outer dia . 12 kgf/cm2</t>
  </si>
  <si>
    <t>PVC pipe 32 mm outer dia.
10Kgf/cm2</t>
  </si>
  <si>
    <t>Supplying, assembling, distributer 50 NB including hire &amp; labour charges, fittings &amp; accessories etc. all complete, as per direction of Engineer-in-charge</t>
  </si>
  <si>
    <t>PVC pipe 32 mm outer dia 6Kgf/cm2</t>
  </si>
  <si>
    <t>PVC pipe 40 mm outer dia.
10kgf/cm2</t>
  </si>
  <si>
    <t>Distributer-50 NB</t>
  </si>
  <si>
    <t>PVC pipe 40 mm outer dia.
6kgf/cm2</t>
  </si>
  <si>
    <t>PVC pipe 50 mm outer dia. 10 kgf/cm2</t>
  </si>
  <si>
    <t>PVC pipe 50 mm outer dia.6kgf/cm2</t>
  </si>
  <si>
    <t>PVC pipe 63 mm outer dia .
6kgf/cm2</t>
  </si>
  <si>
    <t>PVC pipe 63 mm outer dia. 4 kgf/cm2</t>
  </si>
  <si>
    <t>PVC pipe 75 mm outer dia 6kgf/cm2</t>
  </si>
  <si>
    <t>PVC pipe 75 mm outer dia 4 kgf/cm2</t>
  </si>
  <si>
    <t>PVC pipe 110 mm outer dia 6kgf/cm2</t>
  </si>
  <si>
    <t>PVC pipe 110 mm outer dia.
4kgf/cm2</t>
  </si>
  <si>
    <t>PVC pipe 150 mm outer dia 6kgf/cm2</t>
  </si>
  <si>
    <t>PVC door Elbow 63 mm dia</t>
  </si>
  <si>
    <t>PVC door Tee 63 x63x63mm dia</t>
  </si>
  <si>
    <t>MR63</t>
  </si>
  <si>
    <t>PVC vent cowl 63 mm dia</t>
  </si>
  <si>
    <t>PVC door Elbow 75 mm dia</t>
  </si>
  <si>
    <t>PVC door Tee 75x75x75 mm dia</t>
  </si>
  <si>
    <t>MR73</t>
  </si>
  <si>
    <t>PVC vent cowl 75 mm dia</t>
  </si>
  <si>
    <t>PVC door Elbow 110 mm dia</t>
  </si>
  <si>
    <t>Supplying, assembling, distributer 65 NB including hire &amp; labour charges, fittings &amp; accessories etc. all complete, as per direction of Engineer-in-charge</t>
  </si>
  <si>
    <t>PVC door Tee 110x110x110 mm dia</t>
  </si>
  <si>
    <t>PVC door Tee 110x110x75 mm dia</t>
  </si>
  <si>
    <t>Distributer-65 NB</t>
  </si>
  <si>
    <t>MR84</t>
  </si>
  <si>
    <t>PVC vent cowl 110 mm dia</t>
  </si>
  <si>
    <t>MR85</t>
  </si>
  <si>
    <t>PVC offset 110 mm dia</t>
  </si>
  <si>
    <t>MR90</t>
  </si>
  <si>
    <t>Poly carbonate corrigated sheet 0.8 mm</t>
  </si>
  <si>
    <t>MR91</t>
  </si>
  <si>
    <t>Paving Asphalt VG-10 of approved quality</t>
  </si>
  <si>
    <t>MR92</t>
  </si>
  <si>
    <t>Shredded Plastic Incl Carriage</t>
  </si>
  <si>
    <t>MR94</t>
  </si>
  <si>
    <t>Quarry Waste</t>
  </si>
  <si>
    <t>MR95</t>
  </si>
  <si>
    <t>Antistripping Agent</t>
  </si>
  <si>
    <t>MR96</t>
  </si>
  <si>
    <t>PVC Septic Tank - 35 to 50 flush capacity</t>
  </si>
  <si>
    <t>MR97</t>
  </si>
  <si>
    <t>Water Proofing Compound</t>
  </si>
  <si>
    <t>MR98</t>
  </si>
  <si>
    <t>PVC Septic Tank - Below 15 flush capacity</t>
  </si>
  <si>
    <t>MR99</t>
  </si>
  <si>
    <t>PVC Septic Tank - 15 to below 25 flush capacity</t>
  </si>
  <si>
    <t>MR100</t>
  </si>
  <si>
    <t>PVC Septic Tank - 25 to below 35 flush capacity</t>
  </si>
  <si>
    <t>MR103</t>
  </si>
  <si>
    <t>Aluminium sheeting fixed with encapsulated lens type reflective sheeting including 2% towards lettering, cost of angle iron, cost of drilling holes, nuts, bolts etc.and signs as applicable</t>
  </si>
  <si>
    <t>MR104</t>
  </si>
  <si>
    <t>Bearing (Cost of parts)</t>
  </si>
  <si>
    <t>MR105</t>
  </si>
  <si>
    <t>Bearing (Cast steel rocker bearing assembly of 250 tonne</t>
  </si>
  <si>
    <t>MR106</t>
  </si>
  <si>
    <t>Bearing (Elastomeric bearing assembly consisting of 7 internal layers of elastomer bonded to 6 nos. internal reinforcing steel laminates by the process of vulcanisation,)</t>
  </si>
  <si>
    <t>MR107</t>
  </si>
  <si>
    <t>Bearing (Forged steel roller bearing of 250 tonne</t>
  </si>
  <si>
    <t>MR108</t>
  </si>
  <si>
    <t>Bearing (Pot type bearing assembly consisting of a metal piston supported by a disc, PTFE pads providing sliding surfaces against stainless steel mating together with cast steel assemblies/fabricated structural steel assemblies duly painted with all comp</t>
  </si>
  <si>
    <t>MR109</t>
  </si>
  <si>
    <t>Bearing (PTFE sliding plate bearing assembly of 80 tonnes )</t>
  </si>
  <si>
    <t>MR111</t>
  </si>
  <si>
    <t>Compressible Fibre Board(20mm thick)</t>
  </si>
  <si>
    <t>MR112</t>
  </si>
  <si>
    <t>Connectors/ Staples</t>
  </si>
  <si>
    <t>Providing and fixing PVC pipes including fixing the pipe with clamps/clips at 1.00 m spacing. This includes jointing of pipes with one step PVC solvent cement and testing of joints complete as per direction of Engineer-in-Charge 110 m dia 4 Kgf/cm2 - External work - Exposed on wall (50.18.9.19.2)</t>
  </si>
  <si>
    <t>MR113</t>
  </si>
  <si>
    <t>Elastomeric slab seal expansion joint assembly manufactured by using chloroprene, elastomer for elastomeric slab unit conforming to clause 915.1 of IRC: 83 (part II),</t>
  </si>
  <si>
    <t>MR114</t>
  </si>
  <si>
    <t>Epoxy primer</t>
  </si>
  <si>
    <t>MR115</t>
  </si>
  <si>
    <t>Epoxy resin-hardner mix for prime coat</t>
  </si>
  <si>
    <t>MR116</t>
  </si>
  <si>
    <t>Flag of red color cloth 600 x 600 mm</t>
  </si>
  <si>
    <t>MR117</t>
  </si>
  <si>
    <t>Flowering Plants</t>
  </si>
  <si>
    <t>Galvanised MS flat clamp</t>
  </si>
  <si>
    <t>MR119</t>
  </si>
  <si>
    <t>Galvanised steel wire crates of mesh size 100 mm x 100 mm woven with 4mm dia. GI wire in rolls of required size.</t>
  </si>
  <si>
    <t>MR120</t>
  </si>
  <si>
    <t>Galvanised structural steel plate 200 mm wide, 6 mm thick, 24 m long</t>
  </si>
  <si>
    <t>PVC pipe 110 mm outer dia. 4kgf/cm2
(5% added for wastage etc)</t>
  </si>
  <si>
    <t>MR122</t>
  </si>
  <si>
    <t>Geo grids</t>
  </si>
  <si>
    <t>MR124</t>
  </si>
  <si>
    <t>Geonets</t>
  </si>
  <si>
    <t>IV. Dosing pump</t>
  </si>
  <si>
    <t>MR125</t>
  </si>
  <si>
    <t>Geotextile filter fabric</t>
  </si>
  <si>
    <t>MR126</t>
  </si>
  <si>
    <t>Grouting pump with agitator</t>
  </si>
  <si>
    <t>hour</t>
  </si>
  <si>
    <t>Supplying, assembling, and fixing Electrically operated Diaphragm type dosing pump 10 lph including hire &amp; labour charges, fittings &amp; accessories etc. all complete, as per direction of Engineer-in-charge</t>
  </si>
  <si>
    <t>MR127</t>
  </si>
  <si>
    <t>Grass (Doob)</t>
  </si>
  <si>
    <t>MR128</t>
  </si>
  <si>
    <t>Grass (Fine)</t>
  </si>
  <si>
    <t>Dosing pump-10 lph</t>
  </si>
  <si>
    <t>MR129</t>
  </si>
  <si>
    <t>Geomembrane</t>
  </si>
  <si>
    <t>MR130</t>
  </si>
  <si>
    <t>HDPE pipes 75mm dia</t>
  </si>
  <si>
    <t>MR131</t>
  </si>
  <si>
    <t>HDPE pipes 90mm dia</t>
  </si>
  <si>
    <t>MR132</t>
  </si>
  <si>
    <t>Hedge plants</t>
  </si>
  <si>
    <t>MR133</t>
  </si>
  <si>
    <t>Helical pipes 600mm diameter</t>
  </si>
  <si>
    <t>MR134</t>
  </si>
  <si>
    <t>HTS Strand</t>
  </si>
  <si>
    <t>MR135</t>
  </si>
  <si>
    <t>Jute netting, open weave, 2.5 cm square opening for</t>
  </si>
  <si>
    <t>MR136</t>
  </si>
  <si>
    <t>Jute netting, open weave, 2.5 cm square opening for seeding and Mulching</t>
  </si>
  <si>
    <t>MR137</t>
  </si>
  <si>
    <t>LDO for steam curing</t>
  </si>
  <si>
    <t>Litre</t>
  </si>
  <si>
    <t>MR138</t>
  </si>
  <si>
    <t>Modular strip/box seal expansion joint including anchorage catering to a horizontal movement beyond 70 mm and upto 140mm assembly comprising of edge beams, central beam,2 modules chloroprene seal, anchorage elements, support and control system, all steel</t>
  </si>
  <si>
    <t>MR139</t>
  </si>
  <si>
    <t>Modular strip/box seal expansion joint</t>
  </si>
  <si>
    <t>MR140</t>
  </si>
  <si>
    <t>Polymer braids</t>
  </si>
  <si>
    <t>MR141</t>
  </si>
  <si>
    <t>Perforated geosynthetic pipe 150 mm dia</t>
  </si>
  <si>
    <t>MR142</t>
  </si>
  <si>
    <t>Perforated pipe of cement concrete, internal dia 100 mm</t>
  </si>
  <si>
    <t>MR143</t>
  </si>
  <si>
    <t>Plastic tubes 50 cm dia, 1.2 m high</t>
  </si>
  <si>
    <t>MR144</t>
  </si>
  <si>
    <t>MR146</t>
  </si>
  <si>
    <t>Preformed continuous chloroprene elastomer or closed cell foam sealing element with high tear strength, vulcanised in a single operation for the full length of a joint to ensure water tightness.</t>
  </si>
  <si>
    <t>MR148</t>
  </si>
  <si>
    <t>Pre-packed cement based polymer concrete of strength 45 Mpa at 28 days</t>
  </si>
  <si>
    <t>MR149</t>
  </si>
  <si>
    <t>Primer</t>
  </si>
  <si>
    <t>MR150</t>
  </si>
  <si>
    <t>Quick setting compound</t>
  </si>
  <si>
    <t>MR152</t>
  </si>
  <si>
    <t>Copper Strips</t>
  </si>
  <si>
    <t>MR153</t>
  </si>
  <si>
    <t>Galvanised carbon steel strips</t>
  </si>
  <si>
    <t>MR154</t>
  </si>
  <si>
    <t>Glass reinforced polymer/fibre reinforced polymer/polymeric strips</t>
  </si>
  <si>
    <t>MR155</t>
  </si>
  <si>
    <t>Stainless steel strips</t>
  </si>
  <si>
    <t>MR156</t>
  </si>
  <si>
    <t>Aluminium strips</t>
  </si>
  <si>
    <t>MR157</t>
  </si>
  <si>
    <t>Rivets</t>
  </si>
  <si>
    <t>MR158</t>
  </si>
  <si>
    <t>Sand bags</t>
  </si>
  <si>
    <t>MR159</t>
  </si>
  <si>
    <t>Sapling 2 m high 25 mm dia</t>
  </si>
  <si>
    <t>MR160</t>
  </si>
  <si>
    <t>Scrap tyres of size 900 x 20</t>
  </si>
  <si>
    <t>MR161</t>
  </si>
  <si>
    <t>Seeds</t>
  </si>
  <si>
    <t>MR162</t>
  </si>
  <si>
    <t>Shrubs</t>
  </si>
  <si>
    <t>MR163</t>
  </si>
  <si>
    <t>Sheathing duct</t>
  </si>
  <si>
    <t>MR164</t>
  </si>
  <si>
    <t>Sludge / Farm yard manure @ 0.18 cum per 100 sqm at site of work for turfing</t>
  </si>
  <si>
    <t>MR165</t>
  </si>
  <si>
    <t>Sodium vapour lamp</t>
  </si>
  <si>
    <t>MR166</t>
  </si>
  <si>
    <t>Steel circular hollow pole of standard specification for street lighting to mount light at 5 m height above deck level</t>
  </si>
  <si>
    <t>MR167</t>
  </si>
  <si>
    <t>Anti Stripping Additive(Zycosoil)</t>
  </si>
  <si>
    <t>MR168</t>
  </si>
  <si>
    <t>Steel drum 300 mm dia 1.2 m high/empty bitumen drum</t>
  </si>
  <si>
    <t>MR169</t>
  </si>
  <si>
    <t>Steel helmet and cushion block on top of pile head during driving.</t>
  </si>
  <si>
    <t>MR170</t>
  </si>
  <si>
    <t>Steel wire rope</t>
  </si>
  <si>
    <t>MR171</t>
  </si>
  <si>
    <t>Steel wire rope 40 mm</t>
  </si>
  <si>
    <t>MR172</t>
  </si>
  <si>
    <t>Synthetic Geogrids</t>
  </si>
  <si>
    <t>MR173</t>
  </si>
  <si>
    <t>Tie rods 20mm diameter</t>
  </si>
  <si>
    <t>Supplying, assembling, and fixing Electrically operated Diaphragm type dosing pump 40 lph including hire &amp; labour charges, fittings &amp; accessories etc. all complete, as per direction of Engineer-in-charge</t>
  </si>
  <si>
    <t>MR174</t>
  </si>
  <si>
    <t>Strip seal expansion join</t>
  </si>
  <si>
    <t>MR175</t>
  </si>
  <si>
    <t>Timber</t>
  </si>
  <si>
    <t>Dosing pump-40 lph</t>
  </si>
  <si>
    <t>MR176</t>
  </si>
  <si>
    <t>Traffic cones with 150 mm reflective sleeve</t>
  </si>
  <si>
    <t>MR177</t>
  </si>
  <si>
    <t>Water</t>
  </si>
  <si>
    <t>Kilo litre</t>
  </si>
  <si>
    <t>MR178</t>
  </si>
  <si>
    <t>Tube anchorage set complete with bearing plate</t>
  </si>
  <si>
    <t>MR181</t>
  </si>
  <si>
    <t>Wooden packing</t>
  </si>
  <si>
    <t>MR182</t>
  </si>
  <si>
    <t>Wooden staff for fastening of flag 25 mm dia, one m long</t>
  </si>
  <si>
    <t>MR183</t>
  </si>
  <si>
    <t>Joint Sealant Compound</t>
  </si>
  <si>
    <t>MR184</t>
  </si>
  <si>
    <t>MR188</t>
  </si>
  <si>
    <t>Residual Binder @ 13 per cent of mix = 60 x 2.2 x 0.13</t>
  </si>
  <si>
    <t>MR189</t>
  </si>
  <si>
    <t>G.I Pipe - 100 m dia</t>
  </si>
  <si>
    <t>MR196</t>
  </si>
  <si>
    <t>Stone spall</t>
  </si>
  <si>
    <t>HIRE</t>
  </si>
  <si>
    <t>MR200</t>
  </si>
  <si>
    <t>Air Compressor</t>
  </si>
  <si>
    <t>MR201</t>
  </si>
  <si>
    <t>Batching and Mixing Plant</t>
  </si>
  <si>
    <t>MR202</t>
  </si>
  <si>
    <t>Batching and Mixing Plant (b) 15-20cum capacity</t>
  </si>
  <si>
    <t>MR203</t>
  </si>
  <si>
    <t>Bitumen Pressure Distributor</t>
  </si>
  <si>
    <t>MR204</t>
  </si>
  <si>
    <t>Bitumen Boiler Oil fired</t>
  </si>
  <si>
    <t>MR205</t>
  </si>
  <si>
    <t>Concrete Paver Finisher with 40 HP Motor</t>
  </si>
  <si>
    <t>01-08-</t>
  </si>
  <si>
    <t>01-01-</t>
  </si>
  <si>
    <t>MR206</t>
  </si>
  <si>
    <t>Concrete Pump of 45 &amp; 30cum capacity</t>
  </si>
  <si>
    <t>MR207</t>
  </si>
  <si>
    <t>Concrete Bucket</t>
  </si>
  <si>
    <t>MR208</t>
  </si>
  <si>
    <t>Concrete Mixer (cap 0.4/0.28 cum)</t>
  </si>
  <si>
    <t>MR209</t>
  </si>
  <si>
    <t>Concrete Mixer (b) 1cum</t>
  </si>
  <si>
    <t>MR210</t>
  </si>
  <si>
    <t>Crane (a) 80 tonnes</t>
  </si>
  <si>
    <t>MR211</t>
  </si>
  <si>
    <t>Cranes 35 tonnes</t>
  </si>
  <si>
    <t>MR212</t>
  </si>
  <si>
    <t>Cranes (c) 3 tonnes</t>
  </si>
  <si>
    <t>MR213</t>
  </si>
  <si>
    <t>Dozer D - 80 - A 12</t>
  </si>
  <si>
    <t>MR214</t>
  </si>
  <si>
    <t>Dozer D -50 - A 15</t>
  </si>
  <si>
    <t>MR215</t>
  </si>
  <si>
    <t>Emulsion Pressure Distributor</t>
  </si>
  <si>
    <t>MR216</t>
  </si>
  <si>
    <t>Front End loader 1 cum bucket capacity</t>
  </si>
  <si>
    <t>MR217</t>
  </si>
  <si>
    <t>Generator (a) 125 KVA</t>
  </si>
  <si>
    <t>MR218</t>
  </si>
  <si>
    <t>Generator (b) 63 KVA</t>
  </si>
  <si>
    <t>MR219</t>
  </si>
  <si>
    <t>GSB Plant 50cum</t>
  </si>
  <si>
    <t>MR220</t>
  </si>
  <si>
    <t>Hotmix Plant - 120 TPH capacity</t>
  </si>
  <si>
    <t>MR221</t>
  </si>
  <si>
    <t>Hotmix Plant - 100 TPH capacity</t>
  </si>
  <si>
    <t>MR222</t>
  </si>
  <si>
    <t>Hotmix Plant -60 to 90 TPH capacity</t>
  </si>
  <si>
    <t>MR223</t>
  </si>
  <si>
    <t>Hotmix Plant -40 to 60TPH capacity</t>
  </si>
  <si>
    <t>MR224</t>
  </si>
  <si>
    <t>Hydraulic Chip Spreader</t>
  </si>
  <si>
    <t>MR225</t>
  </si>
  <si>
    <t>Hydraulic Excavator of 1 cum bucket</t>
  </si>
  <si>
    <t>MR226</t>
  </si>
  <si>
    <t>Integrated Stone Crusher 100TPH</t>
  </si>
  <si>
    <t>MR227</t>
  </si>
  <si>
    <t>Integrated Stone Crusher 200 HP</t>
  </si>
  <si>
    <t>MR228</t>
  </si>
  <si>
    <t>Kerb Casting Machine</t>
  </si>
  <si>
    <t>V. Feed pump</t>
  </si>
  <si>
    <t>MR229</t>
  </si>
  <si>
    <t>Mastic Cooker</t>
  </si>
  <si>
    <t>MR230</t>
  </si>
  <si>
    <t>Mechanical Broom Hydraulic</t>
  </si>
  <si>
    <t>Supplying, assembling, and fixing single Phase Pure Copper , Self priming monoblock feed pump 1Hp including hire &amp; labour charges, fittings &amp; accessories etc. all complete, as per direction of Engineer-in-charge</t>
  </si>
  <si>
    <t>MR231</t>
  </si>
  <si>
    <t>Motor Grader 3.35 mtr blade</t>
  </si>
  <si>
    <t>MR233</t>
  </si>
  <si>
    <t>Mobile Slurry seal equipment</t>
  </si>
  <si>
    <t>1 HP monoblock feed pump (ISI)</t>
  </si>
  <si>
    <t>MR234</t>
  </si>
  <si>
    <t>Paver Finisher Mechanical 100TPH</t>
  </si>
  <si>
    <t>MR235</t>
  </si>
  <si>
    <t>Pilling Rig with Bantonite Pump</t>
  </si>
  <si>
    <t>MR236</t>
  </si>
  <si>
    <t>Pneumatic Road Roller</t>
  </si>
  <si>
    <t>MR237</t>
  </si>
  <si>
    <t>Pneumatic Sinking Plant</t>
  </si>
  <si>
    <t>MR238</t>
  </si>
  <si>
    <t>Pot Hole Repair Machine</t>
  </si>
  <si>
    <t>MR239</t>
  </si>
  <si>
    <t>Prestressing Jack with Pump &amp; access</t>
  </si>
  <si>
    <t>MR240</t>
  </si>
  <si>
    <t>Ripper</t>
  </si>
  <si>
    <t>MR241</t>
  </si>
  <si>
    <t>Rotavator</t>
  </si>
  <si>
    <t>MR242</t>
  </si>
  <si>
    <t>Road marking machine</t>
  </si>
  <si>
    <t>MR243</t>
  </si>
  <si>
    <t>Smooth Wheeled Roller 8 tonne</t>
  </si>
  <si>
    <t>MR244</t>
  </si>
  <si>
    <t>Tandem Road Roller</t>
  </si>
  <si>
    <t>MR246</t>
  </si>
  <si>
    <t>Tipper- 5 cum</t>
  </si>
  <si>
    <t>tonne km</t>
  </si>
  <si>
    <t>MR247</t>
  </si>
  <si>
    <t>Tipper - 5 cum</t>
  </si>
  <si>
    <t>MR248</t>
  </si>
  <si>
    <t>Transit Mixer 4.0/4.5 cum</t>
  </si>
  <si>
    <t>MR250</t>
  </si>
  <si>
    <t>Transit Mixer 3. cum</t>
  </si>
  <si>
    <t>MR252</t>
  </si>
  <si>
    <t>Tractor</t>
  </si>
  <si>
    <t>MR253</t>
  </si>
  <si>
    <t>Tractor with Rotevator</t>
  </si>
  <si>
    <t>MR254</t>
  </si>
  <si>
    <t>Tractor with Ripper</t>
  </si>
  <si>
    <t>MR255</t>
  </si>
  <si>
    <t>Truck 5.5 cum per 10 tonnes</t>
  </si>
  <si>
    <t>MR256</t>
  </si>
  <si>
    <t>MR257</t>
  </si>
  <si>
    <t>MR258</t>
  </si>
  <si>
    <t>Vibratory Roller 8 tonne</t>
  </si>
  <si>
    <t>MR259</t>
  </si>
  <si>
    <t>Water Tanker</t>
  </si>
  <si>
    <t>MR260</t>
  </si>
  <si>
    <t>MR261</t>
  </si>
  <si>
    <t>Wet Mix Plant 60 TPH</t>
  </si>
  <si>
    <t>MR262</t>
  </si>
  <si>
    <t>Air compressor with pneumatic chisel attachment for cutting hard clay</t>
  </si>
  <si>
    <t>MR269</t>
  </si>
  <si>
    <t>Crane 5 tonne capacity</t>
  </si>
  <si>
    <t>MR270</t>
  </si>
  <si>
    <t>MS sheet 3 mm thick @ 24 kg/sqm</t>
  </si>
  <si>
    <t>MR273</t>
  </si>
  <si>
    <t>Crane 40 T capacity</t>
  </si>
  <si>
    <t>MR274</t>
  </si>
  <si>
    <t>Crane with grab 0.75 cum capacity</t>
  </si>
  <si>
    <t>MR275</t>
  </si>
  <si>
    <t>Compressor with guniting equipment along with accessories</t>
  </si>
  <si>
    <t>MR278</t>
  </si>
  <si>
    <t>Generator 33 KVA</t>
  </si>
  <si>
    <t>MR279</t>
  </si>
  <si>
    <t>Generator 100 KVA</t>
  </si>
  <si>
    <t>MR280</t>
  </si>
  <si>
    <t>Generator 250 KVA</t>
  </si>
  <si>
    <t>MR283</t>
  </si>
  <si>
    <t>Pre-moulded asphalt filler board</t>
  </si>
  <si>
    <t>MR293</t>
  </si>
  <si>
    <t>Wet Mix plant 75 TPH</t>
  </si>
  <si>
    <t>MR294</t>
  </si>
  <si>
    <t>Tractor - trolley</t>
  </si>
  <si>
    <t>MR295</t>
  </si>
  <si>
    <t>Tipper 5.5 tonnes capacity</t>
  </si>
  <si>
    <t>MR296</t>
  </si>
  <si>
    <t>Time taken for onward haulage with load</t>
  </si>
  <si>
    <t>Supplying, assembling, and fixing single Phase Pure Copper , Self priming monoblock feed pump 1.5Hp including hire &amp; labour charges, fittings &amp; accessories etc. all complete, as per direction of Engineer-in-charge</t>
  </si>
  <si>
    <t>MR297</t>
  </si>
  <si>
    <t>Time taken for empty return trip</t>
  </si>
  <si>
    <t>MR298</t>
  </si>
  <si>
    <t>Time taken for onward haulage</t>
  </si>
  <si>
    <t>1.5 HP monoblock feed pump (ISI)</t>
  </si>
  <si>
    <t>MR299</t>
  </si>
  <si>
    <t>Tipper 5.5 cum capacity, 4 trips per hour</t>
  </si>
  <si>
    <t>MR300</t>
  </si>
  <si>
    <t>Puddle clay</t>
  </si>
  <si>
    <t>MR301</t>
  </si>
  <si>
    <t>Empty cement bag</t>
  </si>
  <si>
    <t>LABOUR</t>
  </si>
  <si>
    <t>MR307</t>
  </si>
  <si>
    <t>Cutting charge for MS Pipes</t>
  </si>
  <si>
    <t>MR308</t>
  </si>
  <si>
    <t>Rolling cahrge for MS Pipe</t>
  </si>
  <si>
    <t>MR309</t>
  </si>
  <si>
    <t>Chipping charge for MS Pipes</t>
  </si>
  <si>
    <t>MR310</t>
  </si>
  <si>
    <t>Grinding</t>
  </si>
  <si>
    <t>MR311</t>
  </si>
  <si>
    <t>Making holes for pipes</t>
  </si>
  <si>
    <t>MR313</t>
  </si>
  <si>
    <t>Rubber packing</t>
  </si>
  <si>
    <t>MR315</t>
  </si>
  <si>
    <t>Hire charge for water testing equipment for permeability tests</t>
  </si>
  <si>
    <t>MR316</t>
  </si>
  <si>
    <t>Geo fabric filter GWF -26-130</t>
  </si>
  <si>
    <t>MR317</t>
  </si>
  <si>
    <t>Divers with diving set for shallow depth</t>
  </si>
  <si>
    <t>MR318</t>
  </si>
  <si>
    <t>Divers without diving set for Shallow depth</t>
  </si>
  <si>
    <t>MR319</t>
  </si>
  <si>
    <t>Hire for second class boat</t>
  </si>
  <si>
    <t>MR320</t>
  </si>
  <si>
    <t>Hire charge for pump for permeability tests</t>
  </si>
  <si>
    <t>MR321</t>
  </si>
  <si>
    <t>Hire charge for pressure testing equipment</t>
  </si>
  <si>
    <t>MR325</t>
  </si>
  <si>
    <t>Thambakam wood</t>
  </si>
  <si>
    <t>MR326</t>
  </si>
  <si>
    <t>Hire of Crow bar</t>
  </si>
  <si>
    <t>MR327</t>
  </si>
  <si>
    <t>FRP C Channel with accessories</t>
  </si>
  <si>
    <t>MR328</t>
  </si>
  <si>
    <t>FRP Shutter with accessories</t>
  </si>
  <si>
    <t>MR331</t>
  </si>
  <si>
    <t>Granite Stone of size 150 to 300 kg for ASE work-Thiruvananthapuram</t>
  </si>
  <si>
    <t>MR332</t>
  </si>
  <si>
    <t>Granite stones of size 150 to 300 kg for ASE works - Kollam</t>
  </si>
  <si>
    <t>MR333</t>
  </si>
  <si>
    <t>Granite Stones of size 150 to 300 kg for ASE work -Alleppey</t>
  </si>
  <si>
    <t>MR334</t>
  </si>
  <si>
    <t>Granite stone of size 150 to 300 kg for ASE works - Ernakulam</t>
  </si>
  <si>
    <t>MR335</t>
  </si>
  <si>
    <t>Granite stones of size 150 to 300 kg for ASE work - Thrissur</t>
  </si>
  <si>
    <t>MR336</t>
  </si>
  <si>
    <t>Granite stones of size 150 to 300 kg for ASE work - Malappuram</t>
  </si>
  <si>
    <t>MR337</t>
  </si>
  <si>
    <t>Granite stones of size 150 to 300 kg for ASE work - Calicut</t>
  </si>
  <si>
    <t>MR338</t>
  </si>
  <si>
    <t>Granite stone of size 150 to 300 kg for ASE work - Kannur</t>
  </si>
  <si>
    <t>MR339</t>
  </si>
  <si>
    <t>Granite stone of size 150 to 300 kg for ASE work - Kasargode</t>
  </si>
  <si>
    <t>MR341</t>
  </si>
  <si>
    <t>Granite stones of size 300 to 400 kg for ASE work - Thiruvananthapuram</t>
  </si>
  <si>
    <t>MR342</t>
  </si>
  <si>
    <t>Granite stones of size 300 to 400 kg for ASE work - Kollam</t>
  </si>
  <si>
    <t>MR343</t>
  </si>
  <si>
    <t>Granite stones of size 300 to 400kg for ASE work -Alleppey</t>
  </si>
  <si>
    <t>MR344</t>
  </si>
  <si>
    <t>Granite stones of size 300 to 400 kg for ASE work - Ernakulam</t>
  </si>
  <si>
    <t>MR345</t>
  </si>
  <si>
    <t>Granite stones of size 300 to 400 kg for ASE work - Thrissur</t>
  </si>
  <si>
    <t>MR346</t>
  </si>
  <si>
    <t>Supplying, assembling, and fixing single Phase Pure Copper , Self priming monoblock feed pump 2Hp including hire &amp; labour charges, fittings &amp; accessories etc. all complete, as per direction of Engineer-in-charge</t>
  </si>
  <si>
    <t>Granite stone of size 300 to 400 kg for ASE work - Malappuram</t>
  </si>
  <si>
    <t>MR347</t>
  </si>
  <si>
    <t>Granite stones of size 300 to 400 kg for ASE work - Calicut</t>
  </si>
  <si>
    <t>2 HP monoblock feed pump (ISI)</t>
  </si>
  <si>
    <t>MR348</t>
  </si>
  <si>
    <t>Granite stones of size 300 to 400 kg for ASE work - Kannur</t>
  </si>
  <si>
    <t>MR349</t>
  </si>
  <si>
    <t>Granite stones of size 300 to 400 kg for ASE work - Kasargode</t>
  </si>
  <si>
    <t>MR350</t>
  </si>
  <si>
    <t>Hire charge of dredger capacity 100cum</t>
  </si>
  <si>
    <t>MR351</t>
  </si>
  <si>
    <t>Soling stone for ASE work - Thiruvananthapuram</t>
  </si>
  <si>
    <t>MR352</t>
  </si>
  <si>
    <t>Soling stone for ASE work - Kollam</t>
  </si>
  <si>
    <t>MR353</t>
  </si>
  <si>
    <t>Soling stone for ASE work - Alleppey</t>
  </si>
  <si>
    <t>MR354</t>
  </si>
  <si>
    <t>Soling stone for ASE work - Ernakulam</t>
  </si>
  <si>
    <t>MR355</t>
  </si>
  <si>
    <t>Soling stone for ASE work - Thrissur</t>
  </si>
  <si>
    <t>MR356</t>
  </si>
  <si>
    <t>Soling stone for ASE work - Malappuram</t>
  </si>
  <si>
    <t>MR357</t>
  </si>
  <si>
    <t>Soling stone for ASE work - Calicut</t>
  </si>
  <si>
    <t>MR358</t>
  </si>
  <si>
    <t>Soling stone for ASE work - Kannur</t>
  </si>
  <si>
    <t>MR359</t>
  </si>
  <si>
    <t>Soling stone for ASE work - Kasargode</t>
  </si>
  <si>
    <t>MR360</t>
  </si>
  <si>
    <t>MR361</t>
  </si>
  <si>
    <t>Quarry run for ASE work - Thiruvananthapuram</t>
  </si>
  <si>
    <t>MR362</t>
  </si>
  <si>
    <t>Quarry run for ASE work - Kollam</t>
  </si>
  <si>
    <t>MR363</t>
  </si>
  <si>
    <t>Quarry run for ASE work - Alleppey</t>
  </si>
  <si>
    <t>MR364</t>
  </si>
  <si>
    <t>Quarry run for ASE work - Ernakulam</t>
  </si>
  <si>
    <t>MR365</t>
  </si>
  <si>
    <t>Quarry run for ASE work - Thrissur</t>
  </si>
  <si>
    <t>MR366</t>
  </si>
  <si>
    <t>Quarry run for ASE work - Malappuram</t>
  </si>
  <si>
    <t>MR367</t>
  </si>
  <si>
    <t>Quarry run for ASE work - Calicut</t>
  </si>
  <si>
    <t>MR368</t>
  </si>
  <si>
    <t>Quarry run for ASE work - Kannur</t>
  </si>
  <si>
    <t>MR369</t>
  </si>
  <si>
    <t>Quarry run for ASE work - Kasargode</t>
  </si>
  <si>
    <t>MR371</t>
  </si>
  <si>
    <t>Granite stone 20 to 40 dm3 for ASE work - Thiruvananthapuram</t>
  </si>
  <si>
    <t>MR372</t>
  </si>
  <si>
    <t>Granite stone 20 to 40dm3 for ASE work - Kollam</t>
  </si>
  <si>
    <t>MR373</t>
  </si>
  <si>
    <t>Granite stone 20 to 40dm3 for ASE work - Alleppey</t>
  </si>
  <si>
    <t>MR374</t>
  </si>
  <si>
    <t>Granite stone 20 to 40 dm3 for ASE work - Ernakulam</t>
  </si>
  <si>
    <t>MR375</t>
  </si>
  <si>
    <t>Granite stone 20 to 40 dm3for ASE work -Thrissur</t>
  </si>
  <si>
    <t>MR376</t>
  </si>
  <si>
    <t>Granite stone 20 to 40 dm3 for ASE work - Malappuram</t>
  </si>
  <si>
    <t>MR377</t>
  </si>
  <si>
    <t>Granite stone 20 to 40 dm3 for ASE work - Calicut</t>
  </si>
  <si>
    <t>MR378</t>
  </si>
  <si>
    <t>Granite stone 20 to 40 dm3 for ASE work -Kannur</t>
  </si>
  <si>
    <t>MR379</t>
  </si>
  <si>
    <t>Granite stone 20 to 40 dm3 for ASE work - Kasargode</t>
  </si>
  <si>
    <t>MR383</t>
  </si>
  <si>
    <t>Wet mix plant @75 tonne capacity per hour</t>
  </si>
  <si>
    <t>MR384</t>
  </si>
  <si>
    <t>Tipper 10 tonne</t>
  </si>
  <si>
    <t>MR385</t>
  </si>
  <si>
    <t>Batch mix HMP 100-120 TPH @ 75 tonne per hour actual output</t>
  </si>
  <si>
    <t>MR386</t>
  </si>
  <si>
    <t>Tipper 5.5 cum capacity for carriage of aggregate from stockpile on road side to slurry equipment, bitumen emulsion and filler.</t>
  </si>
  <si>
    <t>MR388</t>
  </si>
  <si>
    <t>Paver finisher hydrostactic with sensor control @ 75 cum per hour</t>
  </si>
  <si>
    <t>MR389</t>
  </si>
  <si>
    <t>Motor Grader 110HP@ 50 cum per hour</t>
  </si>
  <si>
    <t>MR390</t>
  </si>
  <si>
    <t>Aluminium sheeting fixed with Type IV reflective sheeting of size
0.9 sqm</t>
  </si>
  <si>
    <t>VI. Sludge pump</t>
  </si>
  <si>
    <t>MR391</t>
  </si>
  <si>
    <t>Alunminium sheeting fixed with Type IV reflective sheeting of size
1.5 sqm</t>
  </si>
  <si>
    <t>MR392</t>
  </si>
  <si>
    <t>Aluminium Sheeting fixed with Type IV reflecting Sheeting</t>
  </si>
  <si>
    <t>Supplying, assembling, and fixing sludge pump 1Hp, 220v, Max head 20m , 750W, Max flw 15000 lph including hire &amp; labour charges, fittings &amp; accessories etc. all complete, as per direction of Engineer-in-charge</t>
  </si>
  <si>
    <t>MR400</t>
  </si>
  <si>
    <t>Plate compactor</t>
  </si>
  <si>
    <t>MR401</t>
  </si>
  <si>
    <t>Drum mix plant for cold mixes of appropriate capacity but not less than 75 tonnes/hour.</t>
  </si>
  <si>
    <t>1 HP sludge pump(ISI)</t>
  </si>
  <si>
    <t>MR402</t>
  </si>
  <si>
    <t>Paver Finisher Hydrostatic with sensor control 100 TPH</t>
  </si>
  <si>
    <t>MR403</t>
  </si>
  <si>
    <t>Batch type cold mixing plant 100-120 TPH capacity producing an average output of 75 tonne per hour</t>
  </si>
  <si>
    <t>MR404</t>
  </si>
  <si>
    <t>Cement concrete batch mix plant</t>
  </si>
  <si>
    <t>MR405</t>
  </si>
  <si>
    <t>HMP of appropicate capacity</t>
  </si>
  <si>
    <t>MR406</t>
  </si>
  <si>
    <t>Wet Mix plant @75 tonne per hour</t>
  </si>
  <si>
    <t>MR407</t>
  </si>
  <si>
    <t>Tipper</t>
  </si>
  <si>
    <t>MR408</t>
  </si>
  <si>
    <t>MR409</t>
  </si>
  <si>
    <t>Transit truck agitator 5 cum capacity.</t>
  </si>
  <si>
    <t>MR410</t>
  </si>
  <si>
    <t>Batch mix HMP @ 75 tonne per hour</t>
  </si>
  <si>
    <t>MR411</t>
  </si>
  <si>
    <t>Crane 10 tonne capacity</t>
  </si>
  <si>
    <t>MR412</t>
  </si>
  <si>
    <t>Vibrating Pile driving hammer complete with power unit and accessories.</t>
  </si>
  <si>
    <t>MR413</t>
  </si>
  <si>
    <t>Piling rig Including double acting pile driving hammer (Hydraulic rig)</t>
  </si>
  <si>
    <t>MR414</t>
  </si>
  <si>
    <t>Joint Cutting Machine with 2-3 blades (for rigid pavement)</t>
  </si>
  <si>
    <t>MR415</t>
  </si>
  <si>
    <t>Texturing machine (for rigid pavement)</t>
  </si>
  <si>
    <t>MR416</t>
  </si>
  <si>
    <t>Cement concrete batch mix plant @ 175 cum per hour (effective output)</t>
  </si>
  <si>
    <t>MR417</t>
  </si>
  <si>
    <t>Crane 20 tonne capacity</t>
  </si>
  <si>
    <t>MR418</t>
  </si>
  <si>
    <t>MR419</t>
  </si>
  <si>
    <t>Aluminium sheeting fixed with ASTM Type IV retroreflective sheeting</t>
  </si>
  <si>
    <t>MR420</t>
  </si>
  <si>
    <t>AC pipe 100 mm dia</t>
  </si>
  <si>
    <t>MR421</t>
  </si>
  <si>
    <t>Acrylic polymer bonding coat</t>
  </si>
  <si>
    <t>MR422</t>
  </si>
  <si>
    <t>Alluminium Paint</t>
  </si>
  <si>
    <t>MR423</t>
  </si>
  <si>
    <t>Aluminium alloy plate 2mm Thick</t>
  </si>
  <si>
    <t>MR424</t>
  </si>
  <si>
    <t>Retro reflective tape</t>
  </si>
  <si>
    <t>MR425</t>
  </si>
  <si>
    <t>Joint Cutting Machine with 2-3 blades</t>
  </si>
  <si>
    <t>MR426</t>
  </si>
  <si>
    <t>Wooden ballies 8</t>
  </si>
  <si>
    <t>MR427</t>
  </si>
  <si>
    <t>Wooden ballies 2</t>
  </si>
  <si>
    <t>MR428</t>
  </si>
  <si>
    <t>Texturing machine</t>
  </si>
  <si>
    <t>MR429</t>
  </si>
  <si>
    <t>HMP 100-110 TPH Capacity</t>
  </si>
  <si>
    <t>MR430</t>
  </si>
  <si>
    <t>Snow blower equipment 140 HP</t>
  </si>
  <si>
    <t>MR431</t>
  </si>
  <si>
    <t>Batching Plant @ 20 cum/hour</t>
  </si>
  <si>
    <t>MR432</t>
  </si>
  <si>
    <t>Aluminium sheeting fixed with ASTM Type XI retroreflective sheeting</t>
  </si>
  <si>
    <t>MR433</t>
  </si>
  <si>
    <t>Induction, deinduction and erection of plant and equipment including all components and accessories for pneumatic method of well sinking.</t>
  </si>
  <si>
    <t>MR434</t>
  </si>
  <si>
    <t>collar for AC pipe</t>
  </si>
  <si>
    <t>MR437</t>
  </si>
  <si>
    <t>Tube anchorage set complete with bearing plate, permanent wedges etc</t>
  </si>
  <si>
    <t>MR445</t>
  </si>
  <si>
    <t>Aluminium sheeting fixed with Type XI reflective sheeting</t>
  </si>
  <si>
    <t>MR446</t>
  </si>
  <si>
    <t>Tipper 10 tonne capacity for carriage of stone chips from stockpile on road side to chip spreader</t>
  </si>
  <si>
    <t>MR447</t>
  </si>
  <si>
    <t>Gelatin</t>
  </si>
  <si>
    <t>MR448</t>
  </si>
  <si>
    <t>Tipper10 tonne capacity</t>
  </si>
  <si>
    <t>MR450</t>
  </si>
  <si>
    <t>Welded steel wire fabric 75x50 mm mesh @ 5 kg/sqm, 4x30x2.3+5 per cent wastage</t>
  </si>
  <si>
    <t>MR451</t>
  </si>
  <si>
    <t>Motor Grader for grading</t>
  </si>
  <si>
    <t>VII. UV Plant</t>
  </si>
  <si>
    <t>MR453</t>
  </si>
  <si>
    <t>Crane 15 tonne capacity</t>
  </si>
  <si>
    <t>MR454</t>
  </si>
  <si>
    <t>Boat to carry atleast 20 persons</t>
  </si>
  <si>
    <t>MR455</t>
  </si>
  <si>
    <t>Supplying, assembling, and fixing 5000 lph Stainless Steel UV Plant including hire &amp; labour charges, fittings &amp; accessories etc. all complete, as per direction of Engineer-in-charge</t>
  </si>
  <si>
    <t>Induction and deinduction</t>
  </si>
  <si>
    <t>MR456</t>
  </si>
  <si>
    <t>Erection at site and commissioning</t>
  </si>
  <si>
    <t>UV plant- 5000 lph</t>
  </si>
  <si>
    <t>MR457</t>
  </si>
  <si>
    <t>Hire and running of pilling rig including double acting pile driving hammer complete with power unit and accessories.</t>
  </si>
  <si>
    <t>MR458</t>
  </si>
  <si>
    <t>MR459</t>
  </si>
  <si>
    <t>MR460</t>
  </si>
  <si>
    <t>MR461</t>
  </si>
  <si>
    <t>Epoxy Injection gun</t>
  </si>
  <si>
    <t>MR462</t>
  </si>
  <si>
    <t>Hire charges for jack</t>
  </si>
  <si>
    <t>MR464</t>
  </si>
  <si>
    <t>Sealant primer</t>
  </si>
  <si>
    <t>MR465</t>
  </si>
  <si>
    <t>Permeable synthetic geotextile including 5 per cent for overlap and wastage</t>
  </si>
  <si>
    <t>MR466</t>
  </si>
  <si>
    <t>Galvanization cost for structural steel for W Beam</t>
  </si>
  <si>
    <t>MR467</t>
  </si>
  <si>
    <t>Galvanization cost for structural steel for Thrie Beam</t>
  </si>
  <si>
    <t>MR468</t>
  </si>
  <si>
    <t>Steel circular hollow pole of standard specification for street lighting to mount light at 9 m height above road level</t>
  </si>
  <si>
    <t>MR469</t>
  </si>
  <si>
    <t>Transit Mixer</t>
  </si>
  <si>
    <t>cum per km</t>
  </si>
  <si>
    <t>MR470</t>
  </si>
  <si>
    <t>Truck Trailor 30 tonne capacity</t>
  </si>
  <si>
    <t>MR471</t>
  </si>
  <si>
    <t>MR472</t>
  </si>
  <si>
    <t>Batch type HMP 30/40 TPH</t>
  </si>
  <si>
    <t>MR473</t>
  </si>
  <si>
    <t>Bitumen boiler oil fired (200 litre)</t>
  </si>
  <si>
    <t>MR475</t>
  </si>
  <si>
    <t>HMP of appropriate capacity</t>
  </si>
  <si>
    <t>MR476</t>
  </si>
  <si>
    <t>Wet mix plant</t>
  </si>
  <si>
    <t>MR477</t>
  </si>
  <si>
    <t>Dozer D-50</t>
  </si>
  <si>
    <t>MR478</t>
  </si>
  <si>
    <t>Truck</t>
  </si>
  <si>
    <t>MR479</t>
  </si>
  <si>
    <t>Crow bars</t>
  </si>
  <si>
    <t>MR480</t>
  </si>
  <si>
    <t>Cost of Resin and hardner adhesive</t>
  </si>
  <si>
    <t>Kit</t>
  </si>
  <si>
    <t>MR481</t>
  </si>
  <si>
    <t>Jack Hammer with Tractor</t>
  </si>
  <si>
    <t>MR482</t>
  </si>
  <si>
    <t>Fevicol</t>
  </si>
  <si>
    <t>MR483</t>
  </si>
  <si>
    <t>Corbelling Stones</t>
  </si>
  <si>
    <t>MR484</t>
  </si>
  <si>
    <t>Loose stone</t>
  </si>
  <si>
    <t>MR485</t>
  </si>
  <si>
    <t>Jute Netting</t>
  </si>
  <si>
    <t>MR486</t>
  </si>
  <si>
    <t>Edge Stone (450mm x 350mm x 100mm)</t>
  </si>
  <si>
    <t>MR487</t>
  </si>
  <si>
    <t>MR491</t>
  </si>
  <si>
    <t>Tractor Mount Grader</t>
  </si>
  <si>
    <t>MR492</t>
  </si>
  <si>
    <t>Elastomeric slab seal expansion joint assembly</t>
  </si>
  <si>
    <t>MR493</t>
  </si>
  <si>
    <t>Galvanized Angle</t>
  </si>
  <si>
    <t>MR494</t>
  </si>
  <si>
    <t>Preformed continuous Chlorprene Elastomer</t>
  </si>
  <si>
    <t>MR495</t>
  </si>
  <si>
    <t>Compressible fibre board</t>
  </si>
  <si>
    <t>MR497</t>
  </si>
  <si>
    <t>Shredded waste plastic</t>
  </si>
  <si>
    <t>MR501</t>
  </si>
  <si>
    <t>Blasted Granite stones 1to 10kg for Groynes -Thiruvananthapuram</t>
  </si>
  <si>
    <t>Supplying, assembling, and fixing 10000 lph UV Plant including hire &amp; labour charges, fittings &amp; accessories etc. all complete, as per direction of Engineer-in-charge</t>
  </si>
  <si>
    <t>MR502</t>
  </si>
  <si>
    <t>Blasted Granite stone 1to 10Kg for Groynes - Kollam</t>
  </si>
  <si>
    <t>MR503</t>
  </si>
  <si>
    <t>Blasted Granite stone 1 to 10 kg for Groynes - Alleppey</t>
  </si>
  <si>
    <t>UV plant- 10000 lph</t>
  </si>
  <si>
    <t>MR504</t>
  </si>
  <si>
    <t>Blasted Granite stones 1 to 10kg for Groynes - Ernakulam</t>
  </si>
  <si>
    <t>MR505</t>
  </si>
  <si>
    <t>Blasted granite stone 1 to 10Kg for Groynes - Thrissur</t>
  </si>
  <si>
    <t>MR506</t>
  </si>
  <si>
    <t>Blasted Granite stone 1 to 10 kg for Groynes - malappuram</t>
  </si>
  <si>
    <t>MR507</t>
  </si>
  <si>
    <t>Blasted Granite stone 1 to 10 KG for Groynes - Calicut</t>
  </si>
  <si>
    <t>MR508</t>
  </si>
  <si>
    <t>Blasted granite stone 1 to 10 Kg for Groynes - Kannur</t>
  </si>
  <si>
    <t>MR509</t>
  </si>
  <si>
    <t>Blasted granite stone 1 to 10kg for Groynes - Kasargode</t>
  </si>
  <si>
    <t>MR510</t>
  </si>
  <si>
    <t>Z steel sheet pile</t>
  </si>
  <si>
    <t>MR511</t>
  </si>
  <si>
    <t>Blasted granite stone 10 to 300Kg for Groynes - Thiruvananthapuram</t>
  </si>
  <si>
    <t>MR512</t>
  </si>
  <si>
    <t>Blasted granite stone 10 to 300 Kg for groynes - Kollam</t>
  </si>
  <si>
    <t>MR513</t>
  </si>
  <si>
    <t>Blasted granite stone 10 to 300Kg for Groynes - Alleppey</t>
  </si>
  <si>
    <t>MR514</t>
  </si>
  <si>
    <t>Blasted Granite stone 10 to 300Kg for Groynes -Ernakulam</t>
  </si>
  <si>
    <t>MR515</t>
  </si>
  <si>
    <t>Blasted Granite stone 10 to 300Kg for Groynes - Thrissur</t>
  </si>
  <si>
    <t>MR516</t>
  </si>
  <si>
    <t>Blasted Granite stone 10 to 300 Kg for Groynes - Malappuram</t>
  </si>
  <si>
    <t>MR517</t>
  </si>
  <si>
    <t>Blasted granite stone 10 to 300Kg for Groynes - Calicut</t>
  </si>
  <si>
    <t>MR518</t>
  </si>
  <si>
    <t>Blasted granite stones 10 to 300Kg for Groyne - Kannurs</t>
  </si>
  <si>
    <t>MR519</t>
  </si>
  <si>
    <t>Blasted Granite stone 10 to 300Kg for Groynes - Kasargode</t>
  </si>
  <si>
    <t>MR520</t>
  </si>
  <si>
    <t>Hire charge of 5 HP engine and pump set</t>
  </si>
  <si>
    <t>MR521</t>
  </si>
  <si>
    <t>Blasted Granite stone 300Kg and above for groynes - Thiruvananthapuram</t>
  </si>
  <si>
    <t>MR522</t>
  </si>
  <si>
    <t>Blasted Granite stone 300Kg and above for Groynes - Kollam</t>
  </si>
  <si>
    <t>MR523</t>
  </si>
  <si>
    <t>Blasted Granite stones 300Kg and above for Groynes - Aleppey</t>
  </si>
  <si>
    <t>MR524</t>
  </si>
  <si>
    <t>Blasted Granite stone 300Kg and above for Groynes - Ernakulam</t>
  </si>
  <si>
    <t>MR525</t>
  </si>
  <si>
    <t>Blasted Granite stone 300Kg and above for Groynes - Thrissur</t>
  </si>
  <si>
    <t>MR526</t>
  </si>
  <si>
    <t>Blasted Granite stone 300Kg and above for Groynes - Malappuram</t>
  </si>
  <si>
    <t>MR527</t>
  </si>
  <si>
    <t>Blasted Granite stones for Groynes 300Kg and above - Calicut</t>
  </si>
  <si>
    <t>MR528</t>
  </si>
  <si>
    <t>Blasted Granite stone 300Kg and above for Groynes - Kannur</t>
  </si>
  <si>
    <t>MR529</t>
  </si>
  <si>
    <t>Blasted Granite stone300kg and above for Groynes - Kasaragod</t>
  </si>
  <si>
    <t>MR532</t>
  </si>
  <si>
    <t>Av.25cm dia cocunut post</t>
  </si>
  <si>
    <t>MR539</t>
  </si>
  <si>
    <t>Geotubes</t>
  </si>
  <si>
    <t>MR540</t>
  </si>
  <si>
    <t>Water pumps- Submersible pump - 20 HP</t>
  </si>
  <si>
    <t>MR541</t>
  </si>
  <si>
    <t>Sand slurry pumps - with in built agitator- 30 to 35 HP CAPEX</t>
  </si>
  <si>
    <t>MR550</t>
  </si>
  <si>
    <t>Hire charge of 10 HP engine and pump set</t>
  </si>
  <si>
    <t>MR551</t>
  </si>
  <si>
    <t>Hire charge ofengine and pump set above 10HP and up to 30HP</t>
  </si>
  <si>
    <t>MR552</t>
  </si>
  <si>
    <t>Hire charge ofengine and pump set above 30HP and up to 40HP</t>
  </si>
  <si>
    <t>MR561</t>
  </si>
  <si>
    <t>Granite stone 45dm3-Thiruvananthapuram</t>
  </si>
  <si>
    <t>MR562</t>
  </si>
  <si>
    <t>Granite stone 45 dm3 - Kollam</t>
  </si>
  <si>
    <t>MR563</t>
  </si>
  <si>
    <t>Granite stones 45 dm3 - Alleppey</t>
  </si>
  <si>
    <t>MR564</t>
  </si>
  <si>
    <t>Granite stones 45 dm3 - Ernakulam</t>
  </si>
  <si>
    <t>MR565</t>
  </si>
  <si>
    <t>Granite stones 45 dm3- Thrissur</t>
  </si>
  <si>
    <t>MR566</t>
  </si>
  <si>
    <t>Granite stones 45 dm3 - Malappuram</t>
  </si>
  <si>
    <t>MR567</t>
  </si>
  <si>
    <t>Granite stones 45 dm3 - Calicut</t>
  </si>
  <si>
    <t>MR568</t>
  </si>
  <si>
    <t>Granite stones 45 dm3 - Kannur</t>
  </si>
  <si>
    <t>MR569</t>
  </si>
  <si>
    <t>Granite stones 45 dm3 - Kasaragod</t>
  </si>
  <si>
    <t>MR571</t>
  </si>
  <si>
    <t>200 dm3 granite rubble - Thiruvananthapurm</t>
  </si>
  <si>
    <t>MR572</t>
  </si>
  <si>
    <t>200 dm3 granite rubble- Kollam</t>
  </si>
  <si>
    <t>MR573</t>
  </si>
  <si>
    <t>200 dm3 granite rubble- Alleppey</t>
  </si>
  <si>
    <t>MR574</t>
  </si>
  <si>
    <t>200dm3 granite rubble- Ernakulam</t>
  </si>
  <si>
    <t>MR575</t>
  </si>
  <si>
    <t>200dm3 granite rubble - Thrissur</t>
  </si>
  <si>
    <t>MR576</t>
  </si>
  <si>
    <t>200 dm3 granite rubble-Malappurm</t>
  </si>
  <si>
    <t>MR577</t>
  </si>
  <si>
    <t>200dm3 granite rubble - Calicut</t>
  </si>
  <si>
    <t>MR578</t>
  </si>
  <si>
    <t>200dm3 granite rubble - Kannur</t>
  </si>
  <si>
    <t>MR579</t>
  </si>
  <si>
    <t>200dm3 granite rubble- Kasaragod</t>
  </si>
  <si>
    <t>MR600</t>
  </si>
  <si>
    <t>Cost of AFP including cost of primer and Sealer</t>
  </si>
  <si>
    <t>MR601</t>
  </si>
  <si>
    <t>Cost of Median marker</t>
  </si>
  <si>
    <t>MR602</t>
  </si>
  <si>
    <t>Modular rubber speed hump</t>
  </si>
  <si>
    <t>MR604</t>
  </si>
  <si>
    <t>Auto pick up</t>
  </si>
  <si>
    <t>MR608</t>
  </si>
  <si>
    <t>Cold milling machine</t>
  </si>
  <si>
    <t>MR609</t>
  </si>
  <si>
    <t>Trailot 30 tonne capacity</t>
  </si>
  <si>
    <t>MR610</t>
  </si>
  <si>
    <t>Bearing (Supply of sliding plate bearing of 80 tonne)</t>
  </si>
  <si>
    <t>MR612</t>
  </si>
  <si>
    <t>Interlocking CC paver block (100 mm thick M 40)</t>
  </si>
  <si>
    <t>MR613</t>
  </si>
  <si>
    <t>Shredded plastic @7% of Bitumen</t>
  </si>
  <si>
    <t>MR614</t>
  </si>
  <si>
    <t>Bituminous sealant</t>
  </si>
  <si>
    <t>MR615</t>
  </si>
  <si>
    <t>Jute rope 12mm dia</t>
  </si>
  <si>
    <t>MR616</t>
  </si>
  <si>
    <t>Debonding strips</t>
  </si>
  <si>
    <t>MR617</t>
  </si>
  <si>
    <t>Polythene sheathing</t>
  </si>
  <si>
    <t>MR618</t>
  </si>
  <si>
    <t>Plasticizer</t>
  </si>
  <si>
    <t>MR619</t>
  </si>
  <si>
    <t>curing compound</t>
  </si>
  <si>
    <t>MR621</t>
  </si>
  <si>
    <t>M.S. shoes @ 35 Kg per pile of 15 m</t>
  </si>
  <si>
    <t>Supplying, assembling, and fixing 15000 lph UV Plant including hire &amp; labour charges, fittings &amp; accessories etc. all complete, as per direction of Engineer-in-charge</t>
  </si>
  <si>
    <t>MR622</t>
  </si>
  <si>
    <t>Acrylic polymer paint</t>
  </si>
  <si>
    <t>MR623</t>
  </si>
  <si>
    <t>Acrylic polymer primer</t>
  </si>
  <si>
    <t>MR624</t>
  </si>
  <si>
    <t>Coir Geo-Textile H2 M5 740 GSM</t>
  </si>
  <si>
    <t>UV plant- 15000 lph</t>
  </si>
  <si>
    <t>MR625</t>
  </si>
  <si>
    <t>Pugmill</t>
  </si>
  <si>
    <t>MR626</t>
  </si>
  <si>
    <t>Cement,Sand,Brick,Boulders etc</t>
  </si>
  <si>
    <t>MR627</t>
  </si>
  <si>
    <t>Cement,Sand,Bricks,Stone Boulders etc</t>
  </si>
  <si>
    <t>MR628</t>
  </si>
  <si>
    <t>Supply of Cement,Paint, Sand,Aggregate, Boulders etc</t>
  </si>
  <si>
    <t>MR629</t>
  </si>
  <si>
    <t>Synthetic Enamel Paint, Engineering grade tape, welding machine etc.</t>
  </si>
  <si>
    <t>MR630</t>
  </si>
  <si>
    <t>Geocell of size 150X356 including all transportation</t>
  </si>
  <si>
    <t>MR631</t>
  </si>
  <si>
    <t>MR632</t>
  </si>
  <si>
    <t>Jute netting, open weave, 2.5 cm square opening</t>
  </si>
  <si>
    <t>MR633</t>
  </si>
  <si>
    <t>Pre-cast RCC M-35 facing elements of size as per the design and 18 cm thick for 75 sqm</t>
  </si>
  <si>
    <t>MR634</t>
  </si>
  <si>
    <t>Non-Woven geotextile behind the fascia element to avoid leaching out of backfill material</t>
  </si>
  <si>
    <t>MR636</t>
  </si>
  <si>
    <t>Centralizer</t>
  </si>
  <si>
    <t>MR638</t>
  </si>
  <si>
    <t>Spherical Dome Nut</t>
  </si>
  <si>
    <t>MR639</t>
  </si>
  <si>
    <t>Mobile slurry seal/ Microsurfacing equipment</t>
  </si>
  <si>
    <t>MR640</t>
  </si>
  <si>
    <t>Cement spreader</t>
  </si>
  <si>
    <t>MR641</t>
  </si>
  <si>
    <t>Pulveriser/stabilizer</t>
  </si>
  <si>
    <t>MR642</t>
  </si>
  <si>
    <t>Stabilizer (Stabil road)</t>
  </si>
  <si>
    <t>MR643</t>
  </si>
  <si>
    <t>Trailer 30 tonne capacity</t>
  </si>
  <si>
    <t>MR644</t>
  </si>
  <si>
    <t>Addititves @ 2% of Aggregate</t>
  </si>
  <si>
    <t>MR645</t>
  </si>
  <si>
    <t>Welding Set</t>
  </si>
  <si>
    <t>MR646</t>
  </si>
  <si>
    <t>Cost of quarry muck</t>
  </si>
  <si>
    <t>MR647</t>
  </si>
  <si>
    <t>Hire and labour for GI pipes-for hanging staging platform</t>
  </si>
  <si>
    <t>MR648</t>
  </si>
  <si>
    <t>Hire and labour for plastic Ropes-for hanging staging platform</t>
  </si>
  <si>
    <t>MR649</t>
  </si>
  <si>
    <t>Hire and labour for 30m long cat walk-for working platform</t>
  </si>
  <si>
    <t>MR1200</t>
  </si>
  <si>
    <t>pneumatic rock drill</t>
  </si>
  <si>
    <t>MR1201</t>
  </si>
  <si>
    <t>Hire charge of drill rod</t>
  </si>
  <si>
    <t>MR1202</t>
  </si>
  <si>
    <t>Cost of link chain and shackle</t>
  </si>
  <si>
    <t>MR1203</t>
  </si>
  <si>
    <t>Chain</t>
  </si>
  <si>
    <t>MR1204</t>
  </si>
  <si>
    <t>Hire of leads</t>
  </si>
  <si>
    <t>MR1205</t>
  </si>
  <si>
    <t>Cost of gelatine</t>
  </si>
  <si>
    <t>MR1206</t>
  </si>
  <si>
    <t>Daily hire of boat with boatmen/Second class country boat with boatmen</t>
  </si>
  <si>
    <t>MR1207</t>
  </si>
  <si>
    <t>Divers without diving set</t>
  </si>
  <si>
    <t>MR1208</t>
  </si>
  <si>
    <t>Divers using diving set</t>
  </si>
  <si>
    <t>MR1209</t>
  </si>
  <si>
    <t>MR1210</t>
  </si>
  <si>
    <t>Cost of crane hook</t>
  </si>
  <si>
    <t>MR1211</t>
  </si>
  <si>
    <t>Cost of echo-sounder with DGPS</t>
  </si>
  <si>
    <t>MR1212</t>
  </si>
  <si>
    <t>Cost of two way transistor</t>
  </si>
  <si>
    <t>MR1213</t>
  </si>
  <si>
    <t>Cost of current meter</t>
  </si>
  <si>
    <t>MR1214</t>
  </si>
  <si>
    <t>Rent of Total station</t>
  </si>
  <si>
    <t>MR1215</t>
  </si>
  <si>
    <t>Skilled Assistant (Diploma holder)</t>
  </si>
  <si>
    <t>MR1216</t>
  </si>
  <si>
    <t>Skilled Assistant (ITI holder)</t>
  </si>
  <si>
    <t>MR1217</t>
  </si>
  <si>
    <t>Cost of Sample bottle (500ml)</t>
  </si>
  <si>
    <t>MR1218</t>
  </si>
  <si>
    <t>Hire of fibre boat with OBM of size 3m to 6m with 2 boatmen</t>
  </si>
  <si>
    <t>MR1219</t>
  </si>
  <si>
    <t>Hire of fibre boat with OBM of size 3m with 1 boatman</t>
  </si>
  <si>
    <t>MR1220</t>
  </si>
  <si>
    <t>Hire of mechanised fishing vessel (MFV)/trawlers of max OAL 10m with 2 boat men</t>
  </si>
  <si>
    <t>MR1221</t>
  </si>
  <si>
    <t>Hire of mechanised fishing vessel (MFV)/trawlers of max OAL 10m to 15m with 2 boat men</t>
  </si>
  <si>
    <t>MR1222</t>
  </si>
  <si>
    <t>Fibre boat without OBM of size 3m to 6m with 2 boatmen</t>
  </si>
  <si>
    <t>MR1223</t>
  </si>
  <si>
    <t>Fibre boat without OBM of size 3m with 2 boatmen</t>
  </si>
  <si>
    <t>VIII. Automatic plant controller</t>
  </si>
  <si>
    <t>MR1224</t>
  </si>
  <si>
    <t>Hire for tools and plants for assembling the boring plant, boring tower, wooden platform, pumset engine etc.</t>
  </si>
  <si>
    <t>MR1225</t>
  </si>
  <si>
    <t>Boatman for loading the changadam</t>
  </si>
  <si>
    <t>MR1226</t>
  </si>
  <si>
    <t>Hire for wire rope 16mm dia (1/4 of the cost market rate)</t>
  </si>
  <si>
    <t>Supplying, assembling, and fixing automatic treatment plant controller including automation of plant, hire &amp; labour charges, fittings &amp; accessories etc. all complete, as per direction of Engineer-in-charge</t>
  </si>
  <si>
    <t>MR1227</t>
  </si>
  <si>
    <t>Boring machine operator</t>
  </si>
  <si>
    <t>MR1228</t>
  </si>
  <si>
    <t>Royalty of stone</t>
  </si>
  <si>
    <t>MR1229</t>
  </si>
  <si>
    <t>Full automatic controller kit</t>
  </si>
  <si>
    <t>Cost of 5 to 10kg stones including conveyance from quarry to sorting area, sorting,loading and unloading and conveyance from sorting yard to breakwater site-Thiruvananthapuram District</t>
  </si>
  <si>
    <t>MR1230</t>
  </si>
  <si>
    <t>Cost of 10 to 200kg, 300 to 500kg and above 500kg stones including loading charges at quarry,conveyance from quarry to sorting area, sorting and conveyance from sorting yard to breakwater site-Thiruvananthapuram District</t>
  </si>
  <si>
    <t>MR1231</t>
  </si>
  <si>
    <t>Cost of 5 to 10kg stones including conveyance from quarry to sorting area, sorting,loading and unloading and conveyance from sorting yard to breakwater site- Kollam District</t>
  </si>
  <si>
    <t>MR1232</t>
  </si>
  <si>
    <t>Cost of 10 to 200kg, 300 to 500kg and above 500kg stones including loading charges at quarry,conveyance from quarry to sorting area, sorting,and conveyance from sorting yard to breakwater site- Kollam District</t>
  </si>
  <si>
    <t>MR1233</t>
  </si>
  <si>
    <t>Cost of 5 to 10kg stones including conveyance from quarry to sorting area, loading and unloading and conveyance from sorting yard to breakwater site- Alappuzha District</t>
  </si>
  <si>
    <t>MR1234</t>
  </si>
  <si>
    <t>Cost of 10 to 200kg, 300 to 500kg and above 500kg stones including loading charges at quarry,conveyance from quarry to sorting area, sorting and conveyance from sorting yard to breakwater site- Alappuzha District</t>
  </si>
  <si>
    <t>MR1235</t>
  </si>
  <si>
    <t>Cost of 5 to 10kg stones including conveyance from quarry to sorting area, loading and unloading and conveyance from sorting yard to breakwater site- Eranakulam District</t>
  </si>
  <si>
    <t>MR1236</t>
  </si>
  <si>
    <t>Cost of 10 to 200kg, 300 to 500kg and above 500kg stones including loading charges at quarry,conveyance from quarry to sorting area, sorting, and conveyance from sorting yard to breakwater site- Eranakulam District</t>
  </si>
  <si>
    <t>MR1237</t>
  </si>
  <si>
    <t>Cost of 5 to 10kg stones including conveyance from quarry to sorting area, loading and unloading and conveyance from sorting yard to breakwater site- Thrissur District</t>
  </si>
  <si>
    <t>MR1238</t>
  </si>
  <si>
    <t>Cost of 10 to 200kg, 300 to 500kg and above 500kg stones including loading charges at quarry,conveyance from quarry to sorting area, sorting, and conveyance from sorting yard to breakwater site- Thrissur District</t>
  </si>
  <si>
    <t>MR1239</t>
  </si>
  <si>
    <t>Cost of 5 to 10kg stones including conveyance from quarry to sorting area, loading and unloading and conveyance from sorting yard to breakwater site- Malappuram District</t>
  </si>
  <si>
    <t>MR1240</t>
  </si>
  <si>
    <t>Cost of 10 to 200kg, 300 to 500kg and above 500kg stones including loading charges at quarry,conveyance from quarry to sorting area,sorting, and conveyance from sorting yard to breakwater site-MalappuramDistrict</t>
  </si>
  <si>
    <t>MR1241</t>
  </si>
  <si>
    <t>Cost of 5 to 10kg stones including conveyance from quarry to sorting area, loading and unloading and conveyance from sorting yard to breakwater site- Kozhikkode District</t>
  </si>
  <si>
    <t>MR1242</t>
  </si>
  <si>
    <t>Cost of 10 to 200kg, 300 to 500kg and above 500kg stones including loading charges at quarry,conveyance from quarry to sorting area,sorting, and conveyance from sorting yard to breakwater site- Kozhikkode District</t>
  </si>
  <si>
    <t>MR1243</t>
  </si>
  <si>
    <t>Cost of 5 to 10kg stones including conveyance from quarry to sorting area, loading and unloading and conveyance from sorting yard to breakwater site- Kannur District</t>
  </si>
  <si>
    <t>MR1244</t>
  </si>
  <si>
    <t>Cost of 10 to 200kg, 300 to 500kg and above 500kg stones including loading charges at quarry,conveyance from quarry to sorting area, sorting, and conveyance from sorting yard to breakwater site- Kannur District</t>
  </si>
  <si>
    <t>MR1245</t>
  </si>
  <si>
    <t>Cost of 5 to 10kg stones including conveyance from quarry to sorting area, loading and unloading and conveyance from sorting yard to breakwater site- Kasaragod District</t>
  </si>
  <si>
    <t>MR1246</t>
  </si>
  <si>
    <t>Cost of 10 to 200kg, 300 to 500kg and above 500kg stones including loading charges at quarry,conveyance from quarry to sorting area, sorting, and conveyance from sorting yard to breakwater site- Kasaragode District</t>
  </si>
  <si>
    <t>MR1247</t>
  </si>
  <si>
    <t>Hire of sand pump per day @ 28.33% of cost of sand pump for 200 days a year</t>
  </si>
  <si>
    <t>MR1248</t>
  </si>
  <si>
    <t>Hire charges of 250 mm HDPE pipe and hire charges of MS float supporting the pipe @ 50% Hire charges of sand pump</t>
  </si>
  <si>
    <t>MR1249</t>
  </si>
  <si>
    <t>Hire charge of Mechanised Fishing Vessel of OAL 10 to 15 m</t>
  </si>
  <si>
    <t>MR1250</t>
  </si>
  <si>
    <t>Mobilisation charges of sand pump</t>
  </si>
  <si>
    <t>MR1251</t>
  </si>
  <si>
    <t>Hire charge of cutter suction dredger @ 28.33% of cost of dredger for 200 days a year ( flow rate of 700 to 1000m3 slurry per hour)</t>
  </si>
  <si>
    <t>MR1252</t>
  </si>
  <si>
    <t>Hire charge of 250 mm HDPE pipe and hire charges of MS float supporting the pipe @ 25% of hire charge of dredger ( flow rate of 700 to 1000m3 slurry per hour)</t>
  </si>
  <si>
    <t>MR1253</t>
  </si>
  <si>
    <t>Labour charges for pipe laying, dredging operation and shifting of dredger as and when required (flow rate of 700 to 1000m3 slurry per hour)</t>
  </si>
  <si>
    <t>MR1254</t>
  </si>
  <si>
    <t>Mobilisation charge of dredger</t>
  </si>
  <si>
    <t>MR1255</t>
  </si>
  <si>
    <t>Hire charge of cutter suction dredger @ 28.33% of cost of dredger for 200 days a year ( flow rate of 1000 to 1400m3 slurry per hour)</t>
  </si>
  <si>
    <t>MR1256</t>
  </si>
  <si>
    <t>Hire charge of 250 mm HDPE pipe and hire charges of MS float supporting the pipe @ 15% hire charge of dredger (flow of 1000 to 1400m3 slurry per hour)</t>
  </si>
  <si>
    <t>MR1257</t>
  </si>
  <si>
    <t>Labour charges for pipe laying, dredging operation and shifting of dredger as and when required ( flow rate of 1000 to 1400 m3 slurry
/hour)</t>
  </si>
  <si>
    <t>MR1258</t>
  </si>
  <si>
    <t>Hire charge of cutter suction dredger @ 28.33% of cost for 200 days a year ( flow rate of 1750 to 2250 m3 slurry per hour)</t>
  </si>
  <si>
    <t>MR1259</t>
  </si>
  <si>
    <t>Hire charge of 250 mm HDPE pipe and hire charges of MS float supporting the pipe @ 12% of hire charge of dredger (flow rate of 1750 to 2250 m3 slurry per hour)</t>
  </si>
  <si>
    <t>MR1260</t>
  </si>
  <si>
    <t>Labour charges for pipe laying, dredging operation and shifting of dredger as and when required (flow rate of 1750 to 2250 m3 slurry per hour)</t>
  </si>
  <si>
    <t>MR1262</t>
  </si>
  <si>
    <t>Hire charge of Pontoon to mount the excavator</t>
  </si>
  <si>
    <t>MR1263</t>
  </si>
  <si>
    <t>Hire charge of bottom open barge</t>
  </si>
  <si>
    <t>MR1264</t>
  </si>
  <si>
    <t>Cost of mould for casting 2T tetrapod</t>
  </si>
  <si>
    <t>MR1265</t>
  </si>
  <si>
    <t>Hire of pulley block</t>
  </si>
  <si>
    <t>Cost of Charcoal</t>
  </si>
  <si>
    <t>MR1267</t>
  </si>
  <si>
    <t>Cost of mould for casting 5T tetrapod</t>
  </si>
  <si>
    <t>MR1268</t>
  </si>
  <si>
    <t>Cost of mould for casting 8T tetrapod</t>
  </si>
  <si>
    <t>MR4000</t>
  </si>
  <si>
    <t>Drill bit</t>
  </si>
  <si>
    <t>IX. Pressure Gauge</t>
  </si>
  <si>
    <t>MR4001</t>
  </si>
  <si>
    <t>Ventilation blower</t>
  </si>
  <si>
    <t>MR4003</t>
  </si>
  <si>
    <t>Bending Machine</t>
  </si>
  <si>
    <t>MR4004</t>
  </si>
  <si>
    <t>Welding set</t>
  </si>
  <si>
    <t>Supplying, assembling, and fixing 63mm pressure gauge including hire &amp; labour charges, fittings &amp; accessories etc. all complete, as per direction of Engineer-in-charge</t>
  </si>
  <si>
    <t>MR4005</t>
  </si>
  <si>
    <t>Grinding Machine</t>
  </si>
  <si>
    <t>MR4006</t>
  </si>
  <si>
    <t>Grinding stone</t>
  </si>
  <si>
    <t>MR4007</t>
  </si>
  <si>
    <t>Pressure gauge- 63mm</t>
  </si>
  <si>
    <t>Radio graphic Testing Machine</t>
  </si>
  <si>
    <t>MR4008</t>
  </si>
  <si>
    <t>Radio Graphic film</t>
  </si>
  <si>
    <t>MR4009</t>
  </si>
  <si>
    <t>Jack Hammer</t>
  </si>
  <si>
    <t>MR4010</t>
  </si>
  <si>
    <t>Front End Loader 0.5 cum bucket capacity</t>
  </si>
  <si>
    <t>MR6006</t>
  </si>
  <si>
    <t>Al checquered plate</t>
  </si>
  <si>
    <t>MR6007</t>
  </si>
  <si>
    <t>MS bolts and nuts</t>
  </si>
  <si>
    <t>MR6008</t>
  </si>
  <si>
    <t>SS bolts and nuts</t>
  </si>
  <si>
    <t>MR6009</t>
  </si>
  <si>
    <t>Line shaft-Materials MS rolled/forged steel</t>
  </si>
  <si>
    <t>MR6010</t>
  </si>
  <si>
    <t>Cast steel thrust roller</t>
  </si>
  <si>
    <t>MR6011</t>
  </si>
  <si>
    <t>Self aligned spherical roller bearing 22313-E</t>
  </si>
  <si>
    <t>MR6012</t>
  </si>
  <si>
    <t>Self aligned spherical roller bearing 22314-E</t>
  </si>
  <si>
    <t>MR6013</t>
  </si>
  <si>
    <t>Self aligned spherical roller bearing 22315-E</t>
  </si>
  <si>
    <t>MR6014</t>
  </si>
  <si>
    <t>Self aligned spherical roller bearing 22316-E</t>
  </si>
  <si>
    <t>MR6015</t>
  </si>
  <si>
    <t>Roller axle SS304</t>
  </si>
  <si>
    <t>MR6016</t>
  </si>
  <si>
    <t>Plummer block SNA 512+2212K+H312</t>
  </si>
  <si>
    <t>MR6017</t>
  </si>
  <si>
    <t>Plummer block SNA 513+2213K+H313</t>
  </si>
  <si>
    <t>MR6018</t>
  </si>
  <si>
    <t>Plummer block SNA 515+2215K+H315</t>
  </si>
  <si>
    <t>MR6019</t>
  </si>
  <si>
    <t>Hexagonal bolts , nuts and washers</t>
  </si>
  <si>
    <t>MR6020</t>
  </si>
  <si>
    <t>SS Cover plate-2nos (SS 304 gr)</t>
  </si>
  <si>
    <t>MR6021</t>
  </si>
  <si>
    <t>Bearing Retainer-2nos</t>
  </si>
  <si>
    <t>MR6022</t>
  </si>
  <si>
    <t>Spacer-2nos</t>
  </si>
  <si>
    <t>MR6023</t>
  </si>
  <si>
    <t>SS Hexagonal screw M12x35</t>
  </si>
  <si>
    <t>MR6024</t>
  </si>
  <si>
    <t>SS screws M8x15</t>
  </si>
  <si>
    <t>MR6025</t>
  </si>
  <si>
    <t>Oil seal</t>
  </si>
  <si>
    <t>MR6026</t>
  </si>
  <si>
    <t>Oil ring</t>
  </si>
  <si>
    <t>MR6027</t>
  </si>
  <si>
    <t>Gasket ( material: non asbestos fibre)</t>
  </si>
  <si>
    <t>MR6028</t>
  </si>
  <si>
    <t>Flat type Teflon cladded rubber seal confirming to IS 11855</t>
  </si>
  <si>
    <t>MR6029</t>
  </si>
  <si>
    <t>Angular type Teflon cladded rubber seal confirming to IS11855</t>
  </si>
  <si>
    <t>MR6030</t>
  </si>
  <si>
    <t>L-type /bulb nose Teflon cladded rubber seal confirming to IS11855</t>
  </si>
  <si>
    <t>MR6031</t>
  </si>
  <si>
    <t>Copper slag</t>
  </si>
  <si>
    <t>MR6032</t>
  </si>
  <si>
    <t>Zinc rich primer</t>
  </si>
  <si>
    <t>MR6033</t>
  </si>
  <si>
    <t>Oxygen gas</t>
  </si>
  <si>
    <t>MR6034</t>
  </si>
  <si>
    <t>Acetylene gas</t>
  </si>
  <si>
    <t>MR6035</t>
  </si>
  <si>
    <t>Welding electrodes confirming to IS 814 E 4212</t>
  </si>
  <si>
    <t>MR6036</t>
  </si>
  <si>
    <t>Welding electrodes (LH) confirming to IS 814 E 4212</t>
  </si>
  <si>
    <t>MR6037</t>
  </si>
  <si>
    <t>Welding electrodes (SS) confirming to AWS E-308-16</t>
  </si>
  <si>
    <t>MR6038</t>
  </si>
  <si>
    <t>Use rate welding holder set</t>
  </si>
  <si>
    <t>MR6039</t>
  </si>
  <si>
    <t>Use rate gas cutting torch set</t>
  </si>
  <si>
    <t>MR6040</t>
  </si>
  <si>
    <t>Wire brush</t>
  </si>
  <si>
    <t>MR6041</t>
  </si>
  <si>
    <t>cotton waste</t>
  </si>
  <si>
    <t>MR6042</t>
  </si>
  <si>
    <t>Cardium compound</t>
  </si>
  <si>
    <t>MR6044</t>
  </si>
  <si>
    <t>Earth wire</t>
  </si>
  <si>
    <t>X. Filter Medium (MR)</t>
  </si>
  <si>
    <t>MR6045</t>
  </si>
  <si>
    <t>Welding transformer with fuel charge</t>
  </si>
  <si>
    <t>MR6046</t>
  </si>
  <si>
    <t>Planing machine with fuel and crew charges</t>
  </si>
  <si>
    <t>MR6047</t>
  </si>
  <si>
    <t>Pug cutting machine with fuel and crew charge</t>
  </si>
  <si>
    <t>MR6048</t>
  </si>
  <si>
    <t>Mobile crane 16T with fuel and crew charge</t>
  </si>
  <si>
    <t>MR6049</t>
  </si>
  <si>
    <t>Stationary derrick crane with fuel charge</t>
  </si>
  <si>
    <t>MR6050</t>
  </si>
  <si>
    <t>shearing machine with fuel and crew charge</t>
  </si>
  <si>
    <t>Supplying and filling, Silex, Fine sand and Pressure sand including hire &amp; labour charges, carriage etc complete, as per direction of Engineer-in-charge</t>
  </si>
  <si>
    <t>MR6051</t>
  </si>
  <si>
    <t>Drilling machine with fuel and crew charge</t>
  </si>
  <si>
    <t>MR6052</t>
  </si>
  <si>
    <t>Truck mounted derrick crane 5T with fuel and crew charge</t>
  </si>
  <si>
    <t>Silex, Fine sand and Pressure sand</t>
  </si>
  <si>
    <t>Kg</t>
  </si>
  <si>
    <t>MR6053</t>
  </si>
  <si>
    <t>Tower crane 5T with fuel and crew charge</t>
  </si>
  <si>
    <t>MR6054</t>
  </si>
  <si>
    <t>Tower crane 16T with fuel and crew charge</t>
  </si>
  <si>
    <t>MR6055</t>
  </si>
  <si>
    <t>Mobile crane 30T with fuel and crew charge</t>
  </si>
  <si>
    <t>MR6056</t>
  </si>
  <si>
    <t>Grit blasting equipment including fuel charges and operator</t>
  </si>
  <si>
    <t>MR6057</t>
  </si>
  <si>
    <t>Buffing machine including energy charges</t>
  </si>
  <si>
    <t>MR6058</t>
  </si>
  <si>
    <t>Chain block</t>
  </si>
  <si>
    <t>MR6059</t>
  </si>
  <si>
    <t>12.5KVA generator</t>
  </si>
  <si>
    <t>MR6060</t>
  </si>
  <si>
    <t>Tripod</t>
  </si>
  <si>
    <t>MR6062</t>
  </si>
  <si>
    <t>Grease nipple</t>
  </si>
  <si>
    <t>MR6063</t>
  </si>
  <si>
    <t>1.5HP ( Hoist duty type) induction motor,700rpm F/L foot mounted , output shaft extends on both sides</t>
  </si>
  <si>
    <t>MR6064</t>
  </si>
  <si>
    <t>2HP ( Hoist duty type) induction motor, 920rpm F/L foot mounted, Output shaft extends on both sides</t>
  </si>
  <si>
    <t>MR6065</t>
  </si>
  <si>
    <t>3HP( Hoist duty type) induction motor, 920 rpm F/L foot mounted, Output shaft extends on both sides</t>
  </si>
  <si>
    <t>MR6066</t>
  </si>
  <si>
    <t>5HP( Hoist duty type) induction motor, 920 rpm F/L foot mounted, Output shaft extends on both sides</t>
  </si>
  <si>
    <t>MR6067</t>
  </si>
  <si>
    <t>Main switch</t>
  </si>
  <si>
    <t>MR6068</t>
  </si>
  <si>
    <t>Worm reducer, Reduction 70:1 under driven, input hp1.66, input speed 750rpm, output torque 70kgm output shaft extends on both sides with U type handling of shaft mounted unit</t>
  </si>
  <si>
    <t>MR6069</t>
  </si>
  <si>
    <t>Worm reducer, Reduction 60:1 under driven, input hp 2.3, input speed 1000rpm, output torque 69kgm self locking,output shaft extends on both sides</t>
  </si>
  <si>
    <t>MR6070</t>
  </si>
  <si>
    <t>Worm reducer, Reduction 70:1 under driven, input hp 3.58, input speed 1000rpm, output torque 122kgm self locking, output shaft extends on both sides</t>
  </si>
  <si>
    <t>MR6071</t>
  </si>
  <si>
    <t>Worm reducer, Reduction 70:1,size 6", input hp 5.11, input speed 1000rpm, output torque 182kgm self locking with running efficiency 72% and standing efficiency 43%, output shaft extends on both sides</t>
  </si>
  <si>
    <t>MR6072</t>
  </si>
  <si>
    <t>Electro magnetic thruster brake , drum dia 150, 100 coil rating, Class Bm, 400/440AC , braking torque capacity 6.5kgm</t>
  </si>
  <si>
    <t>MR6073</t>
  </si>
  <si>
    <t>Transmission system assy splined shaft-MS rolled/ forged steel-(motor to worm reducer for dog clutch)</t>
  </si>
  <si>
    <t>MR6074</t>
  </si>
  <si>
    <t>Transmission system assy(motor to worm reducer) -coupling flange</t>
  </si>
  <si>
    <t>MR6075</t>
  </si>
  <si>
    <t>Transmission system assy( motor to worm reducer) -dog clutch with lever</t>
  </si>
  <si>
    <t>MR6077</t>
  </si>
  <si>
    <t>Pinion 1st reduction, forged steel 24 teeth of PCD 96mm</t>
  </si>
  <si>
    <t>MR6078</t>
  </si>
  <si>
    <t>Gear wheel IInd reduction, cast steel 150teeth of PCD 600mm</t>
  </si>
  <si>
    <t>MR6079</t>
  </si>
  <si>
    <t>Pinion 1st reduction, forged steel 22 teeth of PCD 176mm, face width 70mm</t>
  </si>
  <si>
    <t>MR6080</t>
  </si>
  <si>
    <t>Pinion 2nd reduction, forged steel 22 teeth of PCD 110mm, face width 50mm</t>
  </si>
  <si>
    <t>MR6081</t>
  </si>
  <si>
    <t>Gear wheel 1st reduction, cast steel 95 teeth of PCD 475mm, face width 50mm</t>
  </si>
  <si>
    <t>MR6082</t>
  </si>
  <si>
    <t>Gear wheel IInd reduction, cast steel of 102 teeth of PCD 816mm of face width 70mm</t>
  </si>
  <si>
    <t>MR6083</t>
  </si>
  <si>
    <t>Pinion 1st reduction, forged steel 24 teeth of PCD 120mm, face width 60mm</t>
  </si>
  <si>
    <t>MR6084</t>
  </si>
  <si>
    <t>Pinion 2nd reduction, forged steel 24 teeth of PCD 192mm, face width 80mm</t>
  </si>
  <si>
    <t>MR6085</t>
  </si>
  <si>
    <t>Gear wheel 1st reduction, cast steel 90teeth of PCD 450mm, face width 60mm</t>
  </si>
  <si>
    <t>MR6086</t>
  </si>
  <si>
    <t>Gear wheel IInd reduction, cast steel 106 teeth of PCD 848 mm, face width 80mm</t>
  </si>
  <si>
    <t>MR6087</t>
  </si>
  <si>
    <t>Pinion 1st reduction, forged steel 24 teeth of PCD 144mm, face width 60mm and module 6</t>
  </si>
  <si>
    <t>MR6088</t>
  </si>
  <si>
    <t>Pinion 2nd reduction, forged steel 28 teeth of PCD 224mm, face width 80mm and module 8</t>
  </si>
  <si>
    <t>MR6089</t>
  </si>
  <si>
    <t>Gear wheel 1st reduction, cast steel 74 teeth of PCD 444mm, face width 60mm and module 6</t>
  </si>
  <si>
    <t>MR6090</t>
  </si>
  <si>
    <t>Gear wheel 2nd reduction, cast steel 94 teeth of PCD 752mm, face width 80mm and module 8</t>
  </si>
  <si>
    <t>MR6091</t>
  </si>
  <si>
    <t>Pinion 1st reduction, forged steel 22 teeth of PCD 132mm, face width 60mm and module6</t>
  </si>
  <si>
    <t>MR6092</t>
  </si>
  <si>
    <t>Pinion 2nd reduction, forged steel 24 teeth of PCD 192mm, face width 80mm and module 8</t>
  </si>
  <si>
    <t>MR6093</t>
  </si>
  <si>
    <t>Supplying and filling, Katalox iron remover including hire &amp; labour charges, carriage etc. all complete, as per direction of Engineer-in-charge</t>
  </si>
  <si>
    <t>Gear wheel 1st reduction, cast steel 64 teeth of PCD 384mm, face width 60mm and module 6</t>
  </si>
  <si>
    <t>MR6094</t>
  </si>
  <si>
    <t>Gear wheel IInd reduction, cast steel 98 teeth of PCD 784mm, face width 80mm and module 8</t>
  </si>
  <si>
    <t>MR6095</t>
  </si>
  <si>
    <t>Katalox iron remover</t>
  </si>
  <si>
    <t>Pinion 1st reduction, forged steel 22 teeth of PCD 132mm, face width 60mm and module 6</t>
  </si>
  <si>
    <t>MR6096</t>
  </si>
  <si>
    <t>Pinion 2nd reduction, forged steel 24 teeth of PCD 192mm, face width 90mm and module 6</t>
  </si>
  <si>
    <t>MR6097</t>
  </si>
  <si>
    <t>Gear wheel 1st reduction, cast steel 76 teeth of PCD 456mm, face width 60mm and module 6</t>
  </si>
  <si>
    <t>MR6098</t>
  </si>
  <si>
    <t>Gear wheel 2nd reduction, cast steel 108 teeth of PCD 864mm, face width 90mm and module 6</t>
  </si>
  <si>
    <t>MR6099</t>
  </si>
  <si>
    <t>Rope drum, 2 nos</t>
  </si>
  <si>
    <t>MR6100</t>
  </si>
  <si>
    <t>Clamping plate-2nos</t>
  </si>
  <si>
    <t>MR6101</t>
  </si>
  <si>
    <t>Lock plate - 2nos</t>
  </si>
  <si>
    <t>MR6102</t>
  </si>
  <si>
    <t>Coupling Flange-8nos</t>
  </si>
  <si>
    <t>MR6103</t>
  </si>
  <si>
    <t>Drum shaft</t>
  </si>
  <si>
    <t>MR6104</t>
  </si>
  <si>
    <t>Leaded tin bronze bush</t>
  </si>
  <si>
    <t>MR6105</t>
  </si>
  <si>
    <t>Al bronze bush</t>
  </si>
  <si>
    <t>MR6106</t>
  </si>
  <si>
    <t>M20 fit bolt</t>
  </si>
  <si>
    <t>MR6107</t>
  </si>
  <si>
    <t>Grub screw M8x12</t>
  </si>
  <si>
    <t>MR6108</t>
  </si>
  <si>
    <t>Washer M20x60N</t>
  </si>
  <si>
    <t>MR6109</t>
  </si>
  <si>
    <t>Gun metal retainer-2 nos</t>
  </si>
  <si>
    <t>MR6110</t>
  </si>
  <si>
    <t>Keys</t>
  </si>
  <si>
    <t>MR6111</t>
  </si>
  <si>
    <t>Cast steel pulley block, cast steel IS 1030, with gun metal bush, pin EN8 and bracket</t>
  </si>
  <si>
    <t>MR6112</t>
  </si>
  <si>
    <t>Limit Switch</t>
  </si>
  <si>
    <t>MR6113</t>
  </si>
  <si>
    <t>Manual operating mechanism</t>
  </si>
  <si>
    <t>MR6114</t>
  </si>
  <si>
    <t>Gear wheel 1st reduction, cast steel 64 teeth of PCD 384mm, facewidth 60mm and module 6</t>
  </si>
  <si>
    <t>MR6115</t>
  </si>
  <si>
    <t>Gear wheel 2nd reduction, cast steel 98teeth of PCD 784mm of face width 80mm and module8</t>
  </si>
  <si>
    <t>MR6116</t>
  </si>
  <si>
    <t>Flat type rubber insertion sheet</t>
  </si>
  <si>
    <t>MR6117</t>
  </si>
  <si>
    <t>Light duty Worm and pinion assembly</t>
  </si>
  <si>
    <t>MR6118</t>
  </si>
  <si>
    <t>Heavy duty Worm and pinon assemblyy</t>
  </si>
  <si>
    <t>MR6119</t>
  </si>
  <si>
    <t>12 mm? testes galvanized wire rope 6/36 construction, fibre coreconfirming to IS2266-2002</t>
  </si>
  <si>
    <t>MR6120</t>
  </si>
  <si>
    <t>14 mm ? testes galvanized wire rope 6/36 construction, fibre coreconfirming to IS2266-2002</t>
  </si>
  <si>
    <t>MR6121</t>
  </si>
  <si>
    <t>16 mm ? testes galvanized wire rope 6/36 construction, fibre coreconfirming to IS2266-2002</t>
  </si>
  <si>
    <t>MR6122</t>
  </si>
  <si>
    <t>18 mm ? testes galvanized wire rope 6/36 construction, fibrecorecon firming to IS2266-2002</t>
  </si>
  <si>
    <t>MR6123</t>
  </si>
  <si>
    <t>20 mm ? testes galvanized wire rope 6/36 construction, fibrecorecon firming to IS2266-2002</t>
  </si>
  <si>
    <t>MR6124</t>
  </si>
  <si>
    <t>22 mm ? testes galvanized wire rope 6/36 construction, fibrecorecon firming to IS2266-2002</t>
  </si>
  <si>
    <t>MR6125</t>
  </si>
  <si>
    <t>24 mm ? testes galvanized wire rope 6/36 construction, fibre coreconfirming to IS2266-2002</t>
  </si>
  <si>
    <t>MR6126</t>
  </si>
  <si>
    <t>26 mm ? testes galvanized wire rope 6/36 construction, fibre coreconfirming to IS2266-2002</t>
  </si>
  <si>
    <t>MR6127</t>
  </si>
  <si>
    <t>28 mm ? testes galvanized wire rope 6/36 construction, fibre coreconfirming to IS2266-2002</t>
  </si>
  <si>
    <t>MR6128</t>
  </si>
  <si>
    <t>150 mm NB cast iron non teturn valve</t>
  </si>
  <si>
    <t>MR6129</t>
  </si>
  <si>
    <t>150 mm MS class black pipes P/E conforming to IS:1239 part 1(2004)</t>
  </si>
  <si>
    <t>MR6130</t>
  </si>
  <si>
    <t>Electrician</t>
  </si>
  <si>
    <t>MR6131</t>
  </si>
  <si>
    <t>25/32 A FP MCB isolator</t>
  </si>
  <si>
    <t>Supplying and filling, Activated carbon IV 1050 including hire &amp; labour charges, carriage etc. all complete, as per direction of Engineer-in-charge</t>
  </si>
  <si>
    <t>MR6132</t>
  </si>
  <si>
    <t>MR6133</t>
  </si>
  <si>
    <t>1 KVAR , Power Capacitors, 3 Phase delta connected</t>
  </si>
  <si>
    <t>Activated carbon IV 1050</t>
  </si>
  <si>
    <t>MR6134</t>
  </si>
  <si>
    <t>25/32 A rating, 4 pole, 30 mA RCCB</t>
  </si>
  <si>
    <t>MR6135</t>
  </si>
  <si>
    <t>6 sqmm 4 core PVC/XLPE insulated armoured cable with aluminium conductors for working voltages up to and including 1100 volts conforming IS 1584/part I/1988 for PVC IS 7098 part I for XLPE</t>
  </si>
  <si>
    <t>MR6136</t>
  </si>
  <si>
    <t>Three phase DOL starters for 0.25 to 7.5 HP motor</t>
  </si>
  <si>
    <t>MR6137</t>
  </si>
  <si>
    <t>2 KVAR, Power Capacitors , 3 Phase delta connected</t>
  </si>
  <si>
    <t>MR7000</t>
  </si>
  <si>
    <t>Insulation Varnish Air Drying</t>
  </si>
  <si>
    <t>per litre</t>
  </si>
  <si>
    <t>MR7002</t>
  </si>
  <si>
    <t>Oxygen Gas</t>
  </si>
  <si>
    <t>MR7003</t>
  </si>
  <si>
    <t>Acetylene Gas</t>
  </si>
  <si>
    <t>MR7004</t>
  </si>
  <si>
    <t>Cutting to attain required shape</t>
  </si>
  <si>
    <t>per metre</t>
  </si>
  <si>
    <t>MR7005</t>
  </si>
  <si>
    <t>Cutting cost = Cost of edge preparation by V cut on mating</t>
  </si>
  <si>
    <t>MR7006</t>
  </si>
  <si>
    <t>ML 6 Contactor</t>
  </si>
  <si>
    <t>MR7007</t>
  </si>
  <si>
    <t>GI sheet 1.6mm thick</t>
  </si>
  <si>
    <t>per kg</t>
  </si>
  <si>
    <t>MR7008</t>
  </si>
  <si>
    <t>Thermocoal Pane 12mm</t>
  </si>
  <si>
    <t>mm</t>
  </si>
  <si>
    <t>MR7009</t>
  </si>
  <si>
    <t>Synthetic Adhesive</t>
  </si>
  <si>
    <t>MR7010</t>
  </si>
  <si>
    <t>GI Sheet 1.25mm thick</t>
  </si>
  <si>
    <t>MR7011</t>
  </si>
  <si>
    <t>Armoured Glass</t>
  </si>
  <si>
    <t>MR7012</t>
  </si>
  <si>
    <t>Marine Synthetic Enamel Paint</t>
  </si>
  <si>
    <t>MR7013</t>
  </si>
  <si>
    <t>Revolving Cushioned stool</t>
  </si>
  <si>
    <t>MR7014</t>
  </si>
  <si>
    <t>Mild Steel pipe 230mm dia and 10mm thick</t>
  </si>
  <si>
    <t>MR7015</t>
  </si>
  <si>
    <t>Shuttering plywood (water resistant 6mm thick)</t>
  </si>
  <si>
    <t>MR7016</t>
  </si>
  <si>
    <t>Glass Beading per channel</t>
  </si>
  <si>
    <t>MR7017</t>
  </si>
  <si>
    <t>Mild steel pipe 180mm dai and 8mm thick</t>
  </si>
  <si>
    <t>MR7018</t>
  </si>
  <si>
    <t>Cutting the plate for Fabrication</t>
  </si>
  <si>
    <t>MR7019</t>
  </si>
  <si>
    <t>Bolt and Nut with washers</t>
  </si>
  <si>
    <t>MR7020</t>
  </si>
  <si>
    <t>G.I pipe 1 inch dia</t>
  </si>
  <si>
    <t>MR7021</t>
  </si>
  <si>
    <t>Tarpaulin cover for winch</t>
  </si>
  <si>
    <t>MR7023</t>
  </si>
  <si>
    <t>Cost of Cutlas bushes</t>
  </si>
  <si>
    <t>MR7024</t>
  </si>
  <si>
    <t>G.I Pipe 2 inch dia</t>
  </si>
  <si>
    <t>MR7025</t>
  </si>
  <si>
    <t>Cost of Gland Packing</t>
  </si>
  <si>
    <t>MR7026</t>
  </si>
  <si>
    <t>1x20 Watts tube lights fittings sealed type</t>
  </si>
  <si>
    <t>MR7027</t>
  </si>
  <si>
    <t>13 Watt CFL with water tight bulcuket</t>
  </si>
  <si>
    <t>MR7028</t>
  </si>
  <si>
    <t>24 V DC Navigator Bulb with holder</t>
  </si>
  <si>
    <t>MR7029</t>
  </si>
  <si>
    <t>Navigation light fittings with full accessories - port and starboard side.</t>
  </si>
  <si>
    <t>MR7030</t>
  </si>
  <si>
    <t>24V DC Bulb</t>
  </si>
  <si>
    <t>MR7031</t>
  </si>
  <si>
    <t>24V DC Horn</t>
  </si>
  <si>
    <t>MR7032</t>
  </si>
  <si>
    <t>24V DC Emergency lights</t>
  </si>
  <si>
    <t>MR7033</t>
  </si>
  <si>
    <t>Change over switch (Rotory type)</t>
  </si>
  <si>
    <t>MR7034</t>
  </si>
  <si>
    <t>XI. Dosing Chemicals</t>
  </si>
  <si>
    <t>Rotory Marine switch</t>
  </si>
  <si>
    <t>MR7035</t>
  </si>
  <si>
    <t>PVC Gland - 13.5mm, 11mm</t>
  </si>
  <si>
    <t>MR7036</t>
  </si>
  <si>
    <t>Cable Tray 50mm</t>
  </si>
  <si>
    <t>Supplying and filling, liquid chlorine including hire &amp; labour charges, carriage etc. all complete, as per direction of Engineer-in-charge</t>
  </si>
  <si>
    <t>MR7037</t>
  </si>
  <si>
    <t>Cable Tray 75 mm</t>
  </si>
  <si>
    <t>MR7038</t>
  </si>
  <si>
    <t>Cable Tray 25mm</t>
  </si>
  <si>
    <t>MR7039</t>
  </si>
  <si>
    <t>Hrc Fuse Holder (16 amps)</t>
  </si>
  <si>
    <t>Liquid chlorine</t>
  </si>
  <si>
    <t>MR7040</t>
  </si>
  <si>
    <t>HRC Fuse (16 amps)</t>
  </si>
  <si>
    <t>MR7041</t>
  </si>
  <si>
    <t>HRC Fuse (6 amps)</t>
  </si>
  <si>
    <t>MR7042</t>
  </si>
  <si>
    <t>HRC Fuse (2 amps)</t>
  </si>
  <si>
    <t>MR7043</t>
  </si>
  <si>
    <t>Search Light with accessories</t>
  </si>
  <si>
    <t>MR7044</t>
  </si>
  <si>
    <t>Cabine Fan / Wall Fan 220V</t>
  </si>
  <si>
    <t>MR7045</t>
  </si>
  <si>
    <t>Battery Terminal +ve and -ve (Brass make)</t>
  </si>
  <si>
    <t>MR7046</t>
  </si>
  <si>
    <t>Battery cable ring sockets (50sq.mm)</t>
  </si>
  <si>
    <t>MR7047</t>
  </si>
  <si>
    <t>Battery Terminal Cable copper core 50sq.mm (Heavy duty) with inter linked cables (4 nos.)</t>
  </si>
  <si>
    <t>MR7048</t>
  </si>
  <si>
    <t>Starter DOL Type 3 phase suitable for 3HP motor</t>
  </si>
  <si>
    <t>MR7049</t>
  </si>
  <si>
    <t>Triplex Glass</t>
  </si>
  <si>
    <t>MR7050</t>
  </si>
  <si>
    <t>Adhesive</t>
  </si>
  <si>
    <t>MR7051</t>
  </si>
  <si>
    <t>Gopal Varnish</t>
  </si>
  <si>
    <t>MR7053</t>
  </si>
  <si>
    <t>Calibration Charges</t>
  </si>
  <si>
    <t>MR7054</t>
  </si>
  <si>
    <t>Sea Water Pump</t>
  </si>
  <si>
    <t>MR7055</t>
  </si>
  <si>
    <t>G.I Bend 1 Inch dia</t>
  </si>
  <si>
    <t>MR7056</t>
  </si>
  <si>
    <t>Hose Clip</t>
  </si>
  <si>
    <t>MR7057</t>
  </si>
  <si>
    <t>Lead Free Petrol</t>
  </si>
  <si>
    <t>MR7058</t>
  </si>
  <si>
    <t>Air Drying Varnish</t>
  </si>
  <si>
    <t>MR7059</t>
  </si>
  <si>
    <t>Alternator</t>
  </si>
  <si>
    <t>MR7060</t>
  </si>
  <si>
    <t>Pulley and V belt</t>
  </si>
  <si>
    <t>MR7061</t>
  </si>
  <si>
    <t>Holding Bracket (Alternator)</t>
  </si>
  <si>
    <t>MR7062</t>
  </si>
  <si>
    <t>RPM Guage</t>
  </si>
  <si>
    <t>MR7063</t>
  </si>
  <si>
    <t>Pressure Guage</t>
  </si>
  <si>
    <t>MR7064</t>
  </si>
  <si>
    <t>Temperature Guage</t>
  </si>
  <si>
    <t>MR7065</t>
  </si>
  <si>
    <t>Cable (For Guage Operation)</t>
  </si>
  <si>
    <t>MR7066</t>
  </si>
  <si>
    <t>G.I Pipe B class. 50mm</t>
  </si>
  <si>
    <t>MR7067</t>
  </si>
  <si>
    <t>Asbestos Rope</t>
  </si>
  <si>
    <t>MR7068</t>
  </si>
  <si>
    <t>12 Volt, 100 Ah Battery</t>
  </si>
  <si>
    <t>MR7069</t>
  </si>
  <si>
    <t>Grease Nipple</t>
  </si>
  <si>
    <t>MR7070</t>
  </si>
  <si>
    <t>Allied Packing 3mm</t>
  </si>
  <si>
    <t>MR7071</t>
  </si>
  <si>
    <t>Banyan Waste</t>
  </si>
  <si>
    <t>MR7072</t>
  </si>
  <si>
    <t>Transparent Glass Tube</t>
  </si>
  <si>
    <t>MR7073</t>
  </si>
  <si>
    <t>Steel Scale for Calibration (For Diesel Tank)</t>
  </si>
  <si>
    <t>MR7074</t>
  </si>
  <si>
    <t>Sounding Rod with hook</t>
  </si>
  <si>
    <t>MR7075</t>
  </si>
  <si>
    <t>GI Socket 40mm</t>
  </si>
  <si>
    <t>MR7076</t>
  </si>
  <si>
    <t>Yellow Zincromate Primer</t>
  </si>
  <si>
    <t>MR7077</t>
  </si>
  <si>
    <t>Supplying and filling, liquid alum including hire &amp; labour charges, fittings &amp; accessories etc. all complete, as per direction of Engineer-in-charge</t>
  </si>
  <si>
    <t>Coir Matress with Rexin Cloth</t>
  </si>
  <si>
    <t>MR7078</t>
  </si>
  <si>
    <t>Antifouling paint</t>
  </si>
  <si>
    <t>MR7079</t>
  </si>
  <si>
    <t>Pillow with cover</t>
  </si>
  <si>
    <t>Liquid alum</t>
  </si>
  <si>
    <t>MR7080</t>
  </si>
  <si>
    <t>CO2 Fire extinguisher 4.5 kg</t>
  </si>
  <si>
    <t>MR7081</t>
  </si>
  <si>
    <t>ABC Fire Extinguisher 6kg</t>
  </si>
  <si>
    <t>MR7082</t>
  </si>
  <si>
    <t>Foam Type 9Litre (Fire Extinguisher)</t>
  </si>
  <si>
    <t>MR7083</t>
  </si>
  <si>
    <t>One tonne Air Conditioner</t>
  </si>
  <si>
    <t>MR7084</t>
  </si>
  <si>
    <t>Battery 12V 180 Ah</t>
  </si>
  <si>
    <t>MR7085</t>
  </si>
  <si>
    <t>Cost of wash Basin (Steel Make)</t>
  </si>
  <si>
    <t>MR7086</t>
  </si>
  <si>
    <t>Cableend Socket (copper) 70mm sq</t>
  </si>
  <si>
    <t>MR7087</t>
  </si>
  <si>
    <t>Cable wire 70mm sq</t>
  </si>
  <si>
    <t>MR7088</t>
  </si>
  <si>
    <t>Hauling up and Launching of Tug</t>
  </si>
  <si>
    <t>MR7089</t>
  </si>
  <si>
    <t>1 st Day Dock charge</t>
  </si>
  <si>
    <t>MR7090</t>
  </si>
  <si>
    <t>Cleaning of Slipway</t>
  </si>
  <si>
    <t>MR7091</t>
  </si>
  <si>
    <t>Rent of Dock for one day (Date setting from second day to 43 days)</t>
  </si>
  <si>
    <t>MR7092</t>
  </si>
  <si>
    <t>Dock charge for Sea growth removal of under water hull position (starting on second day)</t>
  </si>
  <si>
    <t>MR7093</t>
  </si>
  <si>
    <t>Dock charge for Chipping , scrapping of outer hull</t>
  </si>
  <si>
    <t>MR7094</t>
  </si>
  <si>
    <t>Dock charge for Guaging and Inspection</t>
  </si>
  <si>
    <t>MR7095</t>
  </si>
  <si>
    <t>Dock charge for Plate changing for 40 qtl @ 3 qtl/day</t>
  </si>
  <si>
    <t>MR7096</t>
  </si>
  <si>
    <t>Dock charge for Primer cotting for outer hull</t>
  </si>
  <si>
    <t>MR7097</t>
  </si>
  <si>
    <t>Dock charge for Painting of outer hull</t>
  </si>
  <si>
    <t>MR7098</t>
  </si>
  <si>
    <t>Dock charge for Anti fouling of under water position</t>
  </si>
  <si>
    <t>MR7099</t>
  </si>
  <si>
    <t>Dock charge for Curing</t>
  </si>
  <si>
    <t>MR7100</t>
  </si>
  <si>
    <t>Hire charges for Ultra Sound Thickness Gauge</t>
  </si>
  <si>
    <t>MR7101</t>
  </si>
  <si>
    <t>Energy Charges per hour</t>
  </si>
  <si>
    <t>MR7102</t>
  </si>
  <si>
    <t>For Soldering and Crimping charges</t>
  </si>
  <si>
    <t>MR7103</t>
  </si>
  <si>
    <t>Hire Charges for Lathe (Heavy Duty)</t>
  </si>
  <si>
    <t>MR7104</t>
  </si>
  <si>
    <t>Cost of Cleaning Liquid (Acid Wash)</t>
  </si>
  <si>
    <t>MR7105</t>
  </si>
  <si>
    <t>For Joints and Packing</t>
  </si>
  <si>
    <t>MR7106</t>
  </si>
  <si>
    <t>For Grease, lubricating oil, emery paper</t>
  </si>
  <si>
    <t>MR7107</t>
  </si>
  <si>
    <t>For Growler testing</t>
  </si>
  <si>
    <t>MR7108</t>
  </si>
  <si>
    <t>Fire hose 2 1/2 inch dia size with couplings (15 Metres Hose )</t>
  </si>
  <si>
    <t>MR7109</t>
  </si>
  <si>
    <t>Arc Welder / Gas Welder</t>
  </si>
  <si>
    <t>MR7111</t>
  </si>
  <si>
    <t>Hire charges for Welding Machine</t>
  </si>
  <si>
    <t>MR7112</t>
  </si>
  <si>
    <t>Welding Electrode 8 Guage</t>
  </si>
  <si>
    <t>MR7113</t>
  </si>
  <si>
    <t>Welding Electrode 10 Guage</t>
  </si>
  <si>
    <t>MR7114</t>
  </si>
  <si>
    <t>Welding Electrode 12 Guage</t>
  </si>
  <si>
    <t>MR7116</t>
  </si>
  <si>
    <t>Zinc anode</t>
  </si>
  <si>
    <t>MR7117</t>
  </si>
  <si>
    <t>Rubber Fender</t>
  </si>
  <si>
    <t>MR7118</t>
  </si>
  <si>
    <t>Mild Steel Chain 12mm dia</t>
  </si>
  <si>
    <t>XII. Plant Installation</t>
  </si>
  <si>
    <t>MR7119</t>
  </si>
  <si>
    <t>Red Oxide Metal Primer (Marine Quality)</t>
  </si>
  <si>
    <t>MR7120</t>
  </si>
  <si>
    <t>2 Core x 1.5 sqmm cable</t>
  </si>
  <si>
    <t>Plant installation charges including labour and materials for supports, stand, PVC connection pipes, PVC valves, air valves etc complete. all complete</t>
  </si>
  <si>
    <t>MR7121</t>
  </si>
  <si>
    <t>2 core x 2.5 sqmm cable</t>
  </si>
  <si>
    <t>MR7122</t>
  </si>
  <si>
    <t>15 amps power plug</t>
  </si>
  <si>
    <t>MR7123</t>
  </si>
  <si>
    <t>Electric Bell ( for engine room)</t>
  </si>
  <si>
    <t>MR7124</t>
  </si>
  <si>
    <t>For unforseen items (clamps, clips, screws, nut and Bolts, sockets, Tee, L-bow, etc..)</t>
  </si>
  <si>
    <t>MR7125</t>
  </si>
  <si>
    <t>Cost of rubber beading</t>
  </si>
  <si>
    <t>MR7126</t>
  </si>
  <si>
    <t>Cost of PVC fresh Water Tank (capacity 300 ltr)</t>
  </si>
  <si>
    <t>MR7127</t>
  </si>
  <si>
    <t>G I Pipe B Class 32 mm dia</t>
  </si>
  <si>
    <t>Materials 1</t>
  </si>
  <si>
    <t>MR7128</t>
  </si>
  <si>
    <t>Pad Lock 7 lever 65mm</t>
  </si>
  <si>
    <t>MR7129</t>
  </si>
  <si>
    <t>Cost of PVC acessories such as taps,sockets,Union,adaptor.etc.</t>
  </si>
  <si>
    <t>MR7130</t>
  </si>
  <si>
    <t>Cost of PVC pipe size 16mm,20mm,32mm</t>
  </si>
  <si>
    <t>MR7131</t>
  </si>
  <si>
    <t>Rasin</t>
  </si>
  <si>
    <t>Providing and fixing PVC pipes includes jointing of pipes with one step PVC solvent cement &amp; testing of joints complete as per direction of Engineer in Charge. 
50 mm dia 10 KGF/cm2</t>
  </si>
  <si>
    <t>MR7132</t>
  </si>
  <si>
    <t>Fiber Mat</t>
  </si>
  <si>
    <t>MR7133</t>
  </si>
  <si>
    <t>Catalyst</t>
  </si>
  <si>
    <t>MR7134</t>
  </si>
  <si>
    <t>Accelerator</t>
  </si>
  <si>
    <t>MR7135</t>
  </si>
  <si>
    <t>Pigment</t>
  </si>
  <si>
    <t>MR7136</t>
  </si>
  <si>
    <t>Thinner</t>
  </si>
  <si>
    <t>MR7137</t>
  </si>
  <si>
    <t>Grey Paint</t>
  </si>
  <si>
    <t>MR7138</t>
  </si>
  <si>
    <t>Chock Powder</t>
  </si>
  <si>
    <t>MR7139</t>
  </si>
  <si>
    <t>Marine Plywood (Water Resistant,Good Quality)</t>
  </si>
  <si>
    <t>MR7140</t>
  </si>
  <si>
    <t>Spark Plug, 98069-57756</t>
  </si>
  <si>
    <t>MR7141</t>
  </si>
  <si>
    <t>Head Cover Packing, 12391ZV5010</t>
  </si>
  <si>
    <t>MR7142</t>
  </si>
  <si>
    <t>Head Gasket(Cylinder Head),12251-ZW4-H01</t>
  </si>
  <si>
    <t>MR7143</t>
  </si>
  <si>
    <t>Connecting Rod, 13210ZZ5000</t>
  </si>
  <si>
    <t>MR7144</t>
  </si>
  <si>
    <t>Ring Set(std.)13011-ZV5-010</t>
  </si>
  <si>
    <t>MR7145</t>
  </si>
  <si>
    <t>Exhaust Valve,14721ZV5000</t>
  </si>
  <si>
    <t>MR7146</t>
  </si>
  <si>
    <t>Inlet Valve, 14711ZW4000</t>
  </si>
  <si>
    <t>MR7147</t>
  </si>
  <si>
    <t>Oil Seal 30x42x8(91201ZV5003)</t>
  </si>
  <si>
    <t>MR7148</t>
  </si>
  <si>
    <t>Pump Unit Assembly (16735ZZ5003)</t>
  </si>
  <si>
    <t>Providing and fixing PVC pipes includes jointing of pipes with one step PVC solvent cement &amp; testing of joints complete as per direction of Engineer in Charge. 
40 mm dia 10 KGF/cm2</t>
  </si>
  <si>
    <t>MR7149</t>
  </si>
  <si>
    <t>Holder Comp,Brush(31231ZV5013)</t>
  </si>
  <si>
    <t>MR7150</t>
  </si>
  <si>
    <t>SW Assembly Start.(Magnetic) 35850ZZ5003</t>
  </si>
  <si>
    <t>MR7151</t>
  </si>
  <si>
    <t>Impeller(Pump),19210-ZV5-003</t>
  </si>
  <si>
    <t>MR7152</t>
  </si>
  <si>
    <t>Gasket B (Impeller),19233ZV5000</t>
  </si>
  <si>
    <t>MR7153</t>
  </si>
  <si>
    <t>Gasket (Water Pump),19242ZV5000</t>
  </si>
  <si>
    <t>MR7154</t>
  </si>
  <si>
    <t>Seal (Water Pump),91251-ZW4-H11</t>
  </si>
  <si>
    <t>MR7155</t>
  </si>
  <si>
    <t>Oil Filter (15400-PFB-014)</t>
  </si>
  <si>
    <t>MR7156</t>
  </si>
  <si>
    <t>Upper Crank Shaft Oil Seal (1101E60000)</t>
  </si>
  <si>
    <t>MR7157</t>
  </si>
  <si>
    <t>Piston Pin Clip</t>
  </si>
  <si>
    <t>Providing and fixing PVC pipes includes jointing of pipes with one step PVC solvent cement &amp; testing of joints complete as per direction of Engineer in Charge. 
32 mm dia 10 KGF/cm2</t>
  </si>
  <si>
    <t>MR7158</t>
  </si>
  <si>
    <t>Piston Pin (13111-PWA-000)</t>
  </si>
  <si>
    <t>MR7159</t>
  </si>
  <si>
    <t>Mechinist</t>
  </si>
  <si>
    <t>MR7161</t>
  </si>
  <si>
    <t>G.I Hook</t>
  </si>
  <si>
    <t>MR7162</t>
  </si>
  <si>
    <t>Crane Control Lever Boot</t>
  </si>
  <si>
    <t>MR7163</t>
  </si>
  <si>
    <t>Electrical Hooter, 230 volt AC</t>
  </si>
  <si>
    <t>MR7164</t>
  </si>
  <si>
    <t>Welding rode (Hard Steel)</t>
  </si>
  <si>
    <t>MR10001</t>
  </si>
  <si>
    <t>Rubber Insertion for 700mm dia Pipe Joints.</t>
  </si>
  <si>
    <t>MR10002</t>
  </si>
  <si>
    <t>Rubber Insertion for 750mm dia Pipe Joints.</t>
  </si>
  <si>
    <t>MR10003</t>
  </si>
  <si>
    <t>Rubber Insertion for 800mm dia Pipe Joints.</t>
  </si>
  <si>
    <t>Providing and fixing PVC pipes includes jointing of pipes with one step PVC solvent cement &amp; testing of joints complete as per direction of Engineer in Charge. 
25 mm dia 10 KGF/cm2</t>
  </si>
  <si>
    <t>MR10004</t>
  </si>
  <si>
    <t>Rubber Insertion for 900mm dia Pipe Joints.</t>
  </si>
  <si>
    <t>MR10005</t>
  </si>
  <si>
    <t>Rubber Insertion for 1000mm dia Pipe Joints.</t>
  </si>
  <si>
    <t>MR10006</t>
  </si>
  <si>
    <t>Rubber Insertion for1100mm dia Pipe Joints.</t>
  </si>
  <si>
    <t>MR10007</t>
  </si>
  <si>
    <t>Rubber Insertion for 1200mm dia Pipe Joints.</t>
  </si>
  <si>
    <t>MR10008</t>
  </si>
  <si>
    <t>Cost of Potable Water</t>
  </si>
  <si>
    <t>MR10009</t>
  </si>
  <si>
    <t>Lead Wool</t>
  </si>
  <si>
    <t>MR10010</t>
  </si>
  <si>
    <t>Hemp</t>
  </si>
  <si>
    <t>MR10011</t>
  </si>
  <si>
    <t>Rubber Gasket 80mm Dia.</t>
  </si>
  <si>
    <t>MR10012</t>
  </si>
  <si>
    <t>Rubber Gasket 1100mm Dia.</t>
  </si>
  <si>
    <t>90.14.28.1</t>
  </si>
  <si>
    <t>S &amp; F Motor starters of the following ratings Single phase DOL starters for 0.25HP to 3HP motor</t>
  </si>
  <si>
    <t>MR10013</t>
  </si>
  <si>
    <t>Rubber Gasket 1200mm Dia.</t>
  </si>
  <si>
    <t>MR10014</t>
  </si>
  <si>
    <t>Casuarina Pole girth 15cm to 24cm.</t>
  </si>
  <si>
    <t>MR10015</t>
  </si>
  <si>
    <t>Red Coloured Flourescent caution tape</t>
  </si>
  <si>
    <t>MR10016</t>
  </si>
  <si>
    <t>Coir yarn</t>
  </si>
  <si>
    <t>MR10017</t>
  </si>
  <si>
    <t>Empty bag for Earth Filling.</t>
  </si>
  <si>
    <t>MR10018</t>
  </si>
  <si>
    <t>Quarry Muck</t>
  </si>
  <si>
    <t>MR10019</t>
  </si>
  <si>
    <t>Bolts and Nuts 27mm dia 120mm long</t>
  </si>
  <si>
    <t>MR10020</t>
  </si>
  <si>
    <t>Bolts and Nuts 27mm dia 130mm long</t>
  </si>
  <si>
    <t>MR10021</t>
  </si>
  <si>
    <t>Bolts and Nuts 30mm dia 130mm long</t>
  </si>
  <si>
    <t>MR10022</t>
  </si>
  <si>
    <t>Bolts and Nuts 33mm dia 140mm long</t>
  </si>
  <si>
    <t>Total Material</t>
  </si>
  <si>
    <t>MR10024</t>
  </si>
  <si>
    <t>PVC Coupling 110mm, 8 kg/cm2</t>
  </si>
  <si>
    <t>Total Labour</t>
  </si>
  <si>
    <t>MR10031</t>
  </si>
  <si>
    <t>Materials 2</t>
  </si>
  <si>
    <t>GI Threaded Coupling, 40mm.</t>
  </si>
  <si>
    <t>MR10032</t>
  </si>
  <si>
    <t>GI Threaded Coupling, 50mm.</t>
  </si>
  <si>
    <t>MR10033</t>
  </si>
  <si>
    <t>GI Threaded Coupling, 65mm.</t>
  </si>
  <si>
    <t>MR10034</t>
  </si>
  <si>
    <t>GI Threaded Coupling, 80mm.</t>
  </si>
  <si>
    <t>10% for fittings</t>
  </si>
  <si>
    <t>MR10035</t>
  </si>
  <si>
    <t>GI Threaded Coupling, 100mm.</t>
  </si>
  <si>
    <t>MR10036</t>
  </si>
  <si>
    <t>GI Threaded Coupling, 125mm.</t>
  </si>
  <si>
    <t>MR10037</t>
  </si>
  <si>
    <t>GI Threaded Coupling, 150mm.</t>
  </si>
  <si>
    <t>MR10038</t>
  </si>
  <si>
    <t>GI Union, 100mm.</t>
  </si>
  <si>
    <t>MR10039</t>
  </si>
  <si>
    <t>GI Union, 125mm.</t>
  </si>
  <si>
    <t>MR10040</t>
  </si>
  <si>
    <t>GI Union, 150mm.</t>
  </si>
  <si>
    <t>MR10041</t>
  </si>
  <si>
    <t>GI Plug, 20mm.</t>
  </si>
  <si>
    <t>MR10042</t>
  </si>
  <si>
    <t>Air Valve, GM, Indian Standard, Class 2, 20mm ( ¾" )</t>
  </si>
  <si>
    <t>GI Socket, 20mm.</t>
  </si>
  <si>
    <t>MR10043</t>
  </si>
  <si>
    <t>Bamboo.</t>
  </si>
  <si>
    <t>MR10046</t>
  </si>
  <si>
    <t>Cost of pebble 20 mm to 40 mm.</t>
  </si>
  <si>
    <t>MR10047</t>
  </si>
  <si>
    <t>Filter Media Sand</t>
  </si>
  <si>
    <t>MR10049</t>
  </si>
  <si>
    <t>Cost of PVC Saddle Piece (Average rate of 200/160/140/110/90/75/ 63/ 50
mm).</t>
  </si>
  <si>
    <t>Screw, nail, Nut &amp; Bolt etc</t>
  </si>
  <si>
    <t>MR10052</t>
  </si>
  <si>
    <t>RCC Pipe NP2 Class, 200mm Dia.</t>
  </si>
  <si>
    <t>MR10053</t>
  </si>
  <si>
    <t>RCC Pipe NP2 Class, 225mm Dia.</t>
  </si>
  <si>
    <t>Wire 4 mm</t>
  </si>
  <si>
    <t>MR10056</t>
  </si>
  <si>
    <t>RCC Pipe NP2 Class, 350mm Dia.</t>
  </si>
  <si>
    <t>20 W LED tube light</t>
  </si>
  <si>
    <t>MR10057</t>
  </si>
  <si>
    <t>RCC Pipe NP2 Class, 400mm Dia.</t>
  </si>
  <si>
    <t>252x 5 MS angle for support and stand (20m)</t>
  </si>
  <si>
    <t>MR10066</t>
  </si>
  <si>
    <t>RCC Flush Pipe NP3 Class, 100mm Dia.</t>
  </si>
  <si>
    <t>MR10067</t>
  </si>
  <si>
    <t>RCC Flush Pipe NP3 Class, 150mm Dia.</t>
  </si>
  <si>
    <t>MR10068</t>
  </si>
  <si>
    <t>RCC Flush Pipe NP3 Class, 200mm Dia.</t>
  </si>
  <si>
    <t>MR10069</t>
  </si>
  <si>
    <t>RCC Flush Pipe NP3 Class, 225mm Dia.</t>
  </si>
  <si>
    <t>MR10070</t>
  </si>
  <si>
    <t>RCC Flush Pipe NP3 Class, 250mm Dia.</t>
  </si>
  <si>
    <t>MR10071</t>
  </si>
  <si>
    <t>RCC Flush Pipe NP3 Class, 300mm Dia.</t>
  </si>
  <si>
    <t>MR10072</t>
  </si>
  <si>
    <t>RCC Flush Pipe NP3 Class, 350mm Dia.</t>
  </si>
  <si>
    <t>MR10073</t>
  </si>
  <si>
    <t>RCC Flush Pipe NP3 Class, 400mm Dia.</t>
  </si>
  <si>
    <t>MR10074</t>
  </si>
  <si>
    <t>RCC Flush Pipe NP3 Class, 450mm Dia.</t>
  </si>
  <si>
    <t>MR10075</t>
  </si>
  <si>
    <t>RCC Flush Pipe NP3 Class, 500mm Dia.</t>
  </si>
  <si>
    <t>MR10076</t>
  </si>
  <si>
    <t>RCC Flush Pipe NP3 Class, 600mm Dia.</t>
  </si>
  <si>
    <t>MR10077</t>
  </si>
  <si>
    <t>RCC Flush Pipe NP3 Class, 700mm Dia.</t>
  </si>
  <si>
    <t>MR10078</t>
  </si>
  <si>
    <t>RCC Flush Pipe NP3 Class, 800mm Dia.</t>
  </si>
  <si>
    <t>MR10079</t>
  </si>
  <si>
    <t>RCC Flush Pipe NP3 Class, 900mm Dia.</t>
  </si>
  <si>
    <t>MR10080</t>
  </si>
  <si>
    <t>RCC Flush Pipe NP3 Class, 1000mm Dia.</t>
  </si>
  <si>
    <t>MR10081</t>
  </si>
  <si>
    <t>RCC Flush Pipe NP3 Class, 1200mm Dia.</t>
  </si>
  <si>
    <t>MR10082</t>
  </si>
  <si>
    <t>RCC S&amp;S Pipe NP3 Class, 100mm Dia.</t>
  </si>
  <si>
    <t>MR10083</t>
  </si>
  <si>
    <t>RCC S&amp;S Pipe NP3 Class, 150mm Dia.</t>
  </si>
  <si>
    <t>MR10084</t>
  </si>
  <si>
    <t>RCC S&amp;S Pipe NP3 Class, 200mm Dia.</t>
  </si>
  <si>
    <t>MR10085</t>
  </si>
  <si>
    <t>RCC S&amp;S Pipe NP3 Class, 225mm Dia.</t>
  </si>
  <si>
    <t xml:space="preserve">0160 </t>
  </si>
  <si>
    <t>Technician</t>
  </si>
  <si>
    <t>MR10086</t>
  </si>
  <si>
    <t>RCC S&amp;S Pipe NP3 Class, 250mm Dia.</t>
  </si>
  <si>
    <t>MR10087</t>
  </si>
  <si>
    <t>RCC S&amp;S Pipe NP3 Class, 300mm Dia.</t>
  </si>
  <si>
    <t>MR10088</t>
  </si>
  <si>
    <t>RCC S&amp;S Pipe NP3 Class, 350mm Dia.</t>
  </si>
  <si>
    <t>MR10089</t>
  </si>
  <si>
    <t>RCC S&amp;S Pipe NP3 Class, 400mm Dia.</t>
  </si>
  <si>
    <t>MR10091</t>
  </si>
  <si>
    <t>RCC S&amp;S Pipe NP3 Class, 500mm Dia.</t>
  </si>
  <si>
    <t>MR10093</t>
  </si>
  <si>
    <t>RCC S&amp;S Pipe NP3 Class, 700mm Dia.</t>
  </si>
  <si>
    <t>MR10094</t>
  </si>
  <si>
    <t>RCC S&amp;S Pipe NP3 Class, 800mm Dia.</t>
  </si>
  <si>
    <t>MR10099</t>
  </si>
  <si>
    <t>SW Pipe 250mm, 0.6m long.</t>
  </si>
  <si>
    <t xml:space="preserve"> 0114</t>
  </si>
  <si>
    <t>MR10101</t>
  </si>
  <si>
    <t>DI K7 Pipe Conforming to IS 8329/2000, 100mm Dia.</t>
  </si>
  <si>
    <t>MR10102</t>
  </si>
  <si>
    <t>DI K7 Pipe Conforming to IS 8329/2000, 150mm Dia.</t>
  </si>
  <si>
    <t>MR10103</t>
  </si>
  <si>
    <t>DI K7 Pipe Conforming to IS 8329/2000, 200mm Dia.</t>
  </si>
  <si>
    <t>MR10104</t>
  </si>
  <si>
    <t>DI K7 Pipe Conforming to IS 8329/2000, 250mm Dia.</t>
  </si>
  <si>
    <t>MR10105</t>
  </si>
  <si>
    <t>DI K7 Pipe Conforming to IS 8329/2000, 300mm Dia.</t>
  </si>
  <si>
    <t>MR10106</t>
  </si>
  <si>
    <t>DI K7 Pipe Conforming to IS 8329/2000, 350mm Dia.</t>
  </si>
  <si>
    <t>MR10107</t>
  </si>
  <si>
    <t>DI K7 Pipe Conforming to IS 8329/2000, 400mm Dia.</t>
  </si>
  <si>
    <t>MR10108</t>
  </si>
  <si>
    <t>DI K7 Pipe Conforming to IS 8329/2000, 450mm Dia.</t>
  </si>
  <si>
    <t>MR10109</t>
  </si>
  <si>
    <t>DI K7 Pipe Conforming to IS 8329/2000, 500mm Dia.</t>
  </si>
  <si>
    <t>MR10110</t>
  </si>
  <si>
    <t>DI K7 Pipe Conforming to IS 8329/2000, 600mm Dia.</t>
  </si>
  <si>
    <t>MR10111</t>
  </si>
  <si>
    <t>DI K7 Pipe Conforming to IS 8329/2000, 700mm Dia.</t>
  </si>
  <si>
    <t>MR10112</t>
  </si>
  <si>
    <t>DI K7 Pipe Conforming to IS 8329/2000, 800mm Dia.</t>
  </si>
  <si>
    <t>MR10113</t>
  </si>
  <si>
    <t>DI K7 Pipe Conforming to IS 8329/2000, 900mm Dia.</t>
  </si>
  <si>
    <t>MR10114</t>
  </si>
  <si>
    <t>DI K7 Pipe Conforming to IS 8329/2000, 1000mm Dia.</t>
  </si>
  <si>
    <t>MR10115</t>
  </si>
  <si>
    <t>DI K9 Pipe Conforming to IS 8329/2000, 100mm Dia.</t>
  </si>
  <si>
    <t>MR10116</t>
  </si>
  <si>
    <t>DI K9 Pipe Conforming to IS 8329/2000, 150mm Dia.</t>
  </si>
  <si>
    <t>MR10117</t>
  </si>
  <si>
    <t>DI K9 Pipe Conforming to IS 8329/2000, 200mm Dia.</t>
  </si>
  <si>
    <t>MR10118</t>
  </si>
  <si>
    <t>DI K9 Pipe Conforming to IS 8329/2000, 250mm Dia.</t>
  </si>
  <si>
    <t>MR10119</t>
  </si>
  <si>
    <t>DI K9 Pipe Conforming to IS 8329/2000, 300mm Dia.</t>
  </si>
  <si>
    <t>MR10120</t>
  </si>
  <si>
    <t>DI K9 Pipe Conforming to IS 8329/2000, 350mm Dia.</t>
  </si>
  <si>
    <t>MR10121</t>
  </si>
  <si>
    <t>DI K9 Pipe Conforming to IS 8329/2000, 400mm Dia.</t>
  </si>
  <si>
    <t>MR10122</t>
  </si>
  <si>
    <t>DI K9 Pipe Conforming to IS 8329/2000, 450mm Dia.</t>
  </si>
  <si>
    <t>MR10123</t>
  </si>
  <si>
    <t>DI K9 Pipe Conforming to IS 8329/2000, 500mm Dia.</t>
  </si>
  <si>
    <t>MR10124</t>
  </si>
  <si>
    <t>DI K9 Pipe Conforming to IS 8329/2000, 600mm Dia.</t>
  </si>
  <si>
    <t>MR10125</t>
  </si>
  <si>
    <t>DI K9 Pipe Conforming to IS 8329/2000, 700mm Dia.</t>
  </si>
  <si>
    <t>MR10126</t>
  </si>
  <si>
    <t>DI K9 Pipe Conforming to IS 8329/2000, 750mm Dia. (With Excise Duty)</t>
  </si>
  <si>
    <t>MR10127</t>
  </si>
  <si>
    <t>DI K9 Pipe Conforming to IS 8329/2000, 800mm Dia.</t>
  </si>
  <si>
    <t>MR10128</t>
  </si>
  <si>
    <t>DI K9 Pipe Conforming to IS 8329/2000, 900mm Dia.</t>
  </si>
  <si>
    <t>MR10129</t>
  </si>
  <si>
    <t>DI K9 Pipe Conforming to IS 8329/2000, 1000mm Dia.</t>
  </si>
  <si>
    <t>MR10130</t>
  </si>
  <si>
    <t>DI K9 Pipe Conforming to IS 8329/2000, 1100mm Dia.</t>
  </si>
  <si>
    <t>HDPE Pipe PE 100 (IS
4984/1995), 8kg, 50mm Outer Dia.</t>
  </si>
  <si>
    <t>XIII. Plant Maintenance/ AMC</t>
  </si>
  <si>
    <t>MR10133</t>
  </si>
  <si>
    <t>HDPE Pipe PE 100 (IS
4984/1995), 8kg, 75mm Outer Dia.</t>
  </si>
  <si>
    <t>MR10134</t>
  </si>
  <si>
    <t>HDPE Pipe PE 100 (IS
4984/1995), 8kg, 90mm Outer Dia.</t>
  </si>
  <si>
    <t>MR10135</t>
  </si>
  <si>
    <t>HDPE Pipe PE 100 (IS
4984/1995), 8kg, 110mm Outer Dia.</t>
  </si>
  <si>
    <t>Plant inspection, maintenance, cleaning, back wash, sludge removal, sample collection and correction of Dosing etc complete, and water quality checking (except filling chemicals)</t>
  </si>
  <si>
    <t>MR10136</t>
  </si>
  <si>
    <t>HDPE Pipe PE 100 (IS
4984/1995), 8kg, 125mm Outer Dia.</t>
  </si>
  <si>
    <t>MR10137</t>
  </si>
  <si>
    <t>HDPE Pipe PE 100 (IS
4984/1995), 8kg, 140mm Outer Dia.</t>
  </si>
  <si>
    <t>Water quality checking (Govt. Approved lab)</t>
  </si>
  <si>
    <t>MR10138</t>
  </si>
  <si>
    <t>HDPE Pipe PE 100 (IS
4984/1995), 8kg, 160mm Outer Dia.</t>
  </si>
  <si>
    <t>MR10139</t>
  </si>
  <si>
    <t>HDPE Pipe PE 100 (IS
4984/1995), 8kg, 180mm Outer Dia.</t>
  </si>
  <si>
    <t>MR10140</t>
  </si>
  <si>
    <t>HDPE Pipe PE 100 (IS
4984/1995), 8kg, 200mm Outer Dia.</t>
  </si>
  <si>
    <t>Conveyance and carriage charges</t>
  </si>
  <si>
    <t>MR10141</t>
  </si>
  <si>
    <t>HDPE Pipe PE 100 (IS
4984/1995), 8kg, 225mm Outer Dia.</t>
  </si>
  <si>
    <t>MR10142</t>
  </si>
  <si>
    <t>HDPE Pipe PE 100 (IS
4984/1995), 8kg, 250mm Outer Dia.</t>
  </si>
  <si>
    <t>MR10143</t>
  </si>
  <si>
    <t>HDPE Pipe PE 100 (IS
4984/1995), 8kg, 280mm Outer Dia.</t>
  </si>
  <si>
    <t>MR10144</t>
  </si>
  <si>
    <t>HDPE Pipe PE 100 (IS
4984/1995), 8kg, 315mm Outer Dia.</t>
  </si>
  <si>
    <t>MR10145</t>
  </si>
  <si>
    <t>HDPE Pipe PE 100 (IS
4984/1995), 8kg, 355mm Outer Dia.</t>
  </si>
  <si>
    <t>MR10146</t>
  </si>
  <si>
    <t>HDPE Pipe PE 100 (IS
4984/1995), 8kg, 400mm Outer Dia.</t>
  </si>
  <si>
    <t>MR10147</t>
  </si>
  <si>
    <t>HDPE Pipe PE 100 (IS
4984/1995), 8kg, 450mm Outer Dia.</t>
  </si>
  <si>
    <t>MR10148</t>
  </si>
  <si>
    <t>HDPE Pipe PE 100 (IS
4984/1995), 8kg, 500mm Outer Dia.</t>
  </si>
  <si>
    <t>MR10149</t>
  </si>
  <si>
    <t>HDPE Pipe PE 100 (IS
4984/1995), 8kg, 560mm Outer Dia.</t>
  </si>
  <si>
    <t>MR10150</t>
  </si>
  <si>
    <t>HDPE Pipe PE 100 (IS
4984/1995), 8kg, 630mm Outer Dia.</t>
  </si>
  <si>
    <t>MR10151</t>
  </si>
  <si>
    <t>HDPE Pipe PE 100 (IS
4984/1995), 10kg, 50mm Outer Dia.</t>
  </si>
  <si>
    <t>MR10152</t>
  </si>
  <si>
    <t>HDPE Pipe PE 100 (IS
4984/1995), 10kg, 63mm Outer Dia.</t>
  </si>
  <si>
    <t>MR10153</t>
  </si>
  <si>
    <t>HDPE Pipe PE 100 (IS
4984/1995), 10kg, 75mm Outer Dia.</t>
  </si>
  <si>
    <t>MR10154</t>
  </si>
  <si>
    <t>HDPE Pipe PE 100 (IS
4984/1995), 10kg, 90mm Outer Dia.</t>
  </si>
  <si>
    <t>MR10155</t>
  </si>
  <si>
    <t>HDPE Pipe PE 100 (IS
4984/1995), 10kg, 110mm Outer Dia.</t>
  </si>
  <si>
    <t>MR10156</t>
  </si>
  <si>
    <t>HDPE Pipe PE 100 (IS
4984/1995), 10kg, 125mm Outer Dia.</t>
  </si>
  <si>
    <t>MR10157</t>
  </si>
  <si>
    <t>HDPE Pipe PE 100 (IS
4984/1995), 10kg, 140mm Outer Dia.</t>
  </si>
  <si>
    <t>MR10158</t>
  </si>
  <si>
    <t>HDPE Pipe PE 100 (IS
4984/1995), 10kg, 160mm Outer Dia.</t>
  </si>
  <si>
    <t>MR10159</t>
  </si>
  <si>
    <t>HDPE Pipe PE 100 (IS
4984/1995), 10kg, 180mm Outer Dia.</t>
  </si>
  <si>
    <t>MR10160</t>
  </si>
  <si>
    <t>HDPE Pipe PE 100 (IS
4984/1995), 10kg, 200mm Outer Dia.</t>
  </si>
  <si>
    <t>MR10161</t>
  </si>
  <si>
    <t>HDPE Pipe PE 100 (IS
4984/1995), 10kg, 225mm Outer Dia.</t>
  </si>
  <si>
    <t>MR10162</t>
  </si>
  <si>
    <t>HDPE Pipe PE 100 (IS
4984/1995), 10kg, 250mm Outer Dia.</t>
  </si>
  <si>
    <t>MR10163</t>
  </si>
  <si>
    <t>HDPE Pipe PE 100 (IS
4984/1995), 10kg, 280mm Outer Dia.</t>
  </si>
  <si>
    <t>MR10164</t>
  </si>
  <si>
    <t>HDPE Pipe PE 100 (IS
4984/1995), 10kg, 315mm Outer Dia.</t>
  </si>
  <si>
    <t>MR10165</t>
  </si>
  <si>
    <t>HDPE Pipe PE 100 (IS
4984/1995), 10kg, 355mm Outer Dia.</t>
  </si>
  <si>
    <t>MR10166</t>
  </si>
  <si>
    <t>HDPE Pipe PE 100 (IS
4984/1995), 10kg, 400mm Outer Dia.</t>
  </si>
  <si>
    <t>MR10167</t>
  </si>
  <si>
    <t>HDPE Pipe PE 100 (IS
4984/1995), 10kg, 450mm Outer Dia.</t>
  </si>
  <si>
    <t>MR10168</t>
  </si>
  <si>
    <t>HDPE Pipe PE 100 (IS
4984/1995), 10kg, 500mm Outer Dia.</t>
  </si>
  <si>
    <t>MR10169</t>
  </si>
  <si>
    <t>HDPE Pipe PE 100 (IS
4984/1995), 10kg, 560mm Outer Dia.</t>
  </si>
  <si>
    <t>MR10170</t>
  </si>
  <si>
    <t>HDPE Pipe PE 100 (IS
4984/1995), 10kg, 630mm Outer Dia.</t>
  </si>
  <si>
    <t>MR10171</t>
  </si>
  <si>
    <t>HDPE Pipe PE 100 (IS
4984/1995), 12.5kg, 50mm Outer Dia.</t>
  </si>
  <si>
    <t>MR10172</t>
  </si>
  <si>
    <t>HDPE Pipe PE 100 (IS
4984/1995), 12.5kg, 63mm Outer Dia.</t>
  </si>
  <si>
    <t>MR10173</t>
  </si>
  <si>
    <t>HDPE Pipe PE 100 (IS
4984/1995), 12.5kg, 75mm Outer Dia.</t>
  </si>
  <si>
    <t>MR10174</t>
  </si>
  <si>
    <t>HDPE Pipe PE 100 (IS
4984/1995), 12.5kg, 90mm Outer Dia.</t>
  </si>
  <si>
    <t>MR10175</t>
  </si>
  <si>
    <t>HDPE Pipe PE 100 (IS
4984/1995), 12.5kg, 110mm Outer Dia.</t>
  </si>
  <si>
    <t>MR10176</t>
  </si>
  <si>
    <t>HDPE Pipe PE 100 (IS
4984/1995), 12.5kg, 125mm Outer Dia.</t>
  </si>
  <si>
    <t>MR10177</t>
  </si>
  <si>
    <t>HDPE Pipe PE 100 (IS
4984/1995), 12.5kg, 140mm Outer Dia.</t>
  </si>
  <si>
    <t>MR10178</t>
  </si>
  <si>
    <t>HDPE Pipe PE 100 (IS
4984/1995), 12.5kg, 160mm Outer Dia.</t>
  </si>
  <si>
    <t>MR10179</t>
  </si>
  <si>
    <t>HDPE Pipe PE 100 (IS
4984/1995), 12.5kg, 180mm Outer Dia.</t>
  </si>
  <si>
    <t>MR10180</t>
  </si>
  <si>
    <t>HDPE Pipe PE 100 (IS
4984/1995), 12.5kg, 200mm Outer Dia.</t>
  </si>
  <si>
    <t>MR10181</t>
  </si>
  <si>
    <t>HDPE Pipe PE 100 (IS
4984/1995), 12.5kg, 225mm Outer Dia.</t>
  </si>
  <si>
    <t>MR10182</t>
  </si>
  <si>
    <t>HDPE Pipe PE 100 (IS
4984/1995), 12.5kg, 250mm Outer Dia.</t>
  </si>
  <si>
    <t>MR10183</t>
  </si>
  <si>
    <t>HDPE Pipe PE 100 (IS
4984/1995), 12.5kg, 280mm Outer Dia.</t>
  </si>
  <si>
    <t>MR10184</t>
  </si>
  <si>
    <t>HDPE Pipe PE 100 (IS
4984/1995), 12.5kg, 315mm Outer Dia.</t>
  </si>
  <si>
    <t>MR10185</t>
  </si>
  <si>
    <t>HDPE Pipe PE 100 (IS
4984/1995), 12.5kg, 355mm Outer Dia.</t>
  </si>
  <si>
    <t>MR10186</t>
  </si>
  <si>
    <t>HDPE Pipe PE 100 (IS
4984/1995), 12.5kg, 400mm Outer Dia.</t>
  </si>
  <si>
    <t>MR10187</t>
  </si>
  <si>
    <t>HDPE Pipe PE 100 (IS
4984/1995), 12.5kg, 450mm Outer Dia.</t>
  </si>
  <si>
    <t>MR10188</t>
  </si>
  <si>
    <t>HDPE Pipe PE 100 (IS
4984/1995), 12.5kg, 500mm Outer Dia.</t>
  </si>
  <si>
    <t>MR10189</t>
  </si>
  <si>
    <t>HDPE Pipe PE 100 (IS
4984/1995), 12.5kg, 560mm Outer Dia.</t>
  </si>
  <si>
    <t>MR10190</t>
  </si>
  <si>
    <t>MR10191</t>
  </si>
  <si>
    <t>HDPE Pipe PE 100 (IS
4984/1995), 16kg, 50mm Outer Dia.</t>
  </si>
  <si>
    <t>MR10192</t>
  </si>
  <si>
    <t>HDPE Pipe PE 100 (IS
4984/1995), 16kg, 63mm Outer Dia.</t>
  </si>
  <si>
    <t>MR10193</t>
  </si>
  <si>
    <t>HDPE Pipe PE 100 (IS
4984/1995), 16kg, 75mm Outer Dia.</t>
  </si>
  <si>
    <t>MR10194</t>
  </si>
  <si>
    <t>HDPE Pipe PE 100 (IS
4984/1995), 16kg, 90mm Outer Dia.</t>
  </si>
  <si>
    <t>MR10195</t>
  </si>
  <si>
    <t>HDPE Pipe PE 100 (IS
4984/1995), 16kg, 110mm Outer Dia.</t>
  </si>
  <si>
    <t>MR10196</t>
  </si>
  <si>
    <t>HDPE Pipe PE 100 (IS
4984/1995), 16kg, 125mm Outer Dia.</t>
  </si>
  <si>
    <t>MR10197</t>
  </si>
  <si>
    <t>HDPE Pipe PE 100 (IS
4984/1995), 16kg, 140mm Outer Dia.</t>
  </si>
  <si>
    <t>MR10198</t>
  </si>
  <si>
    <t>HDPE Pipe PE 100 (IS
4984/1995), 16kg, 160mm Outer Dia.</t>
  </si>
  <si>
    <t>MR10199</t>
  </si>
  <si>
    <t>HDPE Pipe PE 100 (IS
4984/1995), 16kg, 180mm Outer Dia.</t>
  </si>
  <si>
    <t>MR10200</t>
  </si>
  <si>
    <t>HDPE Pipe PE 100 (IS
4984/1995), 16kg, 200mm Outer Dia.</t>
  </si>
  <si>
    <t>MR10201</t>
  </si>
  <si>
    <t>HDPE Pipe PE 100 (IS
4984/1995), 16kg, 225mm Outer Dia.</t>
  </si>
  <si>
    <t>MR10202</t>
  </si>
  <si>
    <t>HDPE Pipe PE 100 (IS
4984/1995), 16kg, 250mm Outer Dia.</t>
  </si>
  <si>
    <t>MR10203</t>
  </si>
  <si>
    <t>HDPE Pipe PE 100 (IS
4984/1995), 16kg, 280mm Outer Dia.</t>
  </si>
  <si>
    <t>MR10204</t>
  </si>
  <si>
    <t>HDPE Pipe PE 100 (IS
4984/1995), 16kg, 315mm Outer Dia.</t>
  </si>
  <si>
    <t>MR10205</t>
  </si>
  <si>
    <t>HDPE Pipe PE 100 (IS
4984/1995), 16kg, 355mm Outer Dia.</t>
  </si>
  <si>
    <t>MR10206</t>
  </si>
  <si>
    <t>HDPE Pipe PE 100 (IS
4984/1995), 16kg, 400mm Outer Dia.</t>
  </si>
  <si>
    <t>MR10207</t>
  </si>
  <si>
    <t>HDPE Pipe PE 100 (IS
4984/1995), 16kg, 450mm Outer Dia.</t>
  </si>
  <si>
    <t>MR10208</t>
  </si>
  <si>
    <t>HDPE Pipe PE 100 (IS
4984/1995), 16kg, 500mm Outer Dia.</t>
  </si>
  <si>
    <t>MR10209</t>
  </si>
  <si>
    <t>PVC Pipe, 6kg/cm2, 40mm Dia.</t>
  </si>
  <si>
    <t>MR10210</t>
  </si>
  <si>
    <t>PVC Pipe, 6kg/cm2, 50mm Dia.</t>
  </si>
  <si>
    <t>MR10211</t>
  </si>
  <si>
    <t>PVC Pipe, 6kg/cm2, 63mm Dia.</t>
  </si>
  <si>
    <t>MR10212</t>
  </si>
  <si>
    <t>PVC Pipe, 6kg/cm2, 75mm Dia.</t>
  </si>
  <si>
    <t>MR10218</t>
  </si>
  <si>
    <t>PVC Pipe, 8kg/cm2, 32mm Dia.</t>
  </si>
  <si>
    <t>MR10219</t>
  </si>
  <si>
    <t>PVC Pipe, 8kg/cm2, 40mm Dia.</t>
  </si>
  <si>
    <t>MR10220</t>
  </si>
  <si>
    <t>PVC Pipe, 8kg/cm2, 50mm Dia.</t>
  </si>
  <si>
    <t>MR10221</t>
  </si>
  <si>
    <t>PVC Pipe, 8kg/cm2, 63mm Dia.</t>
  </si>
  <si>
    <t>MR10222</t>
  </si>
  <si>
    <t>PVC Pipe, 8kg/cm2, 75mm Dia.</t>
  </si>
  <si>
    <t>MR10223</t>
  </si>
  <si>
    <t>PVC Pipe, 8kg/cm2, 90mm Dia.</t>
  </si>
  <si>
    <t>MR10224</t>
  </si>
  <si>
    <t>PVC Pipe, 8kg/cm2, 110mm Dia.</t>
  </si>
  <si>
    <t>MR10226</t>
  </si>
  <si>
    <t>PVC Pipe, 8kg/cm2, 160mm Dia.</t>
  </si>
  <si>
    <t>MR10229</t>
  </si>
  <si>
    <t>PVC Pipe, 10kg/cm2, 20mm Dia.</t>
  </si>
  <si>
    <t>MR10230</t>
  </si>
  <si>
    <t>PVC Pipe, 10kg/cm2, 25mm Dia.</t>
  </si>
  <si>
    <t>MR10231</t>
  </si>
  <si>
    <t>PVC Pipe, 10kg/cm2, 32mm Dia.</t>
  </si>
  <si>
    <t>MR10232</t>
  </si>
  <si>
    <t>PVC Pipe, 10kg/cm2, 40mm Dia.</t>
  </si>
  <si>
    <t>MR10233</t>
  </si>
  <si>
    <t>PVC Pipe, 10kg/cm2, 50mm Dia.</t>
  </si>
  <si>
    <t>MR10235</t>
  </si>
  <si>
    <t>PVC Pipe, 10kg/cm2, 75mm Dia.</t>
  </si>
  <si>
    <t>MR10237</t>
  </si>
  <si>
    <t>PVC Pipe, 10kg/cm2, 110mm Dia.</t>
  </si>
  <si>
    <t>MR10428</t>
  </si>
  <si>
    <t>CI Non Return Valve, Conforming to IS 5312 Part I - 1984, PN 1.6,
Size 80mm.</t>
  </si>
  <si>
    <t>MR10429</t>
  </si>
  <si>
    <t>CI Non Return Valve, Conforming to IS 5312 Part I - 1984, PN 1.6,
Size 100mm.</t>
  </si>
  <si>
    <t>MR10430</t>
  </si>
  <si>
    <t>CI Non Return Valve, Conforming to IS 5312 Part I - 1984, PN 1.6,
Size 125mm.</t>
  </si>
  <si>
    <t>MR10431</t>
  </si>
  <si>
    <t>CI Non Return Valve, Conforming to IS 5312 Part I - 1984, PN 1.0,
Size 150mm.</t>
  </si>
  <si>
    <t>MR10432</t>
  </si>
  <si>
    <t>CI Non Return Valve, Conforming to IS 5312 Part I - 1984, PN 1.0,
Size 200mm.</t>
  </si>
  <si>
    <t>MR10433</t>
  </si>
  <si>
    <t>CI Non Return Valve, Conforming to IS 5312 Part I - 1984, PN 1.0,
Size 250mm.</t>
  </si>
  <si>
    <t>MR10434</t>
  </si>
  <si>
    <t>CI Non Return Valve, Conforming to IS 5312 Part I - 1984, PN 1.0,
Size 300mm.</t>
  </si>
  <si>
    <t>MR10435</t>
  </si>
  <si>
    <t>CI Air Valve, Conforming to IS 14848 - 2000, Kinetic Air Valve Type DK, Size 50mm.</t>
  </si>
  <si>
    <t>MR10436</t>
  </si>
  <si>
    <t>CI Air Valve, Conforming to IS 14848 - 2000, Kinetic Air Valve Type DK, Size 80mm.</t>
  </si>
  <si>
    <t>MR10437</t>
  </si>
  <si>
    <t>CI Air Valve, Conforming to IS 14848 - 2000, Kinetic Air Valve Type DK, Size 100mm.</t>
  </si>
  <si>
    <t>MR10438</t>
  </si>
  <si>
    <t>CI Air Valve, Conforming to IS 14848 - 2000, Kinetic Air Valve Type DK, Size 150mm.</t>
  </si>
  <si>
    <t>MR10439</t>
  </si>
  <si>
    <t>CI Air Valve, Conforming to IS 14848 - 2000, Single Orifice, Small Orifice Type S1, Size 15mm.</t>
  </si>
  <si>
    <t>MR10440</t>
  </si>
  <si>
    <t>CI Air Valve, Conforming to IS 14848 - 2000, Single Orifice, Small Orifice Type S1, Size 25mm.</t>
  </si>
  <si>
    <t>MR10441</t>
  </si>
  <si>
    <t>CI Air Valve, Conforming to IS 14848 - 2000, Single Orifice, Small Orifice Type S1, Size 40mm.</t>
  </si>
  <si>
    <t>MR10442</t>
  </si>
  <si>
    <t>CI Air Valve, Conforming to IS 14848 - 2000, Single Orifice, Large Orifice Type S2, Size 20mm.</t>
  </si>
  <si>
    <t>MR10443</t>
  </si>
  <si>
    <t>CI Air Valve, Conforming to IS 14848 - 2000, Single Orifice, Large Orifice Type S2, Size 45mm.</t>
  </si>
  <si>
    <t>MR10444</t>
  </si>
  <si>
    <t>CI Air Valve, Conforming to IS 14848 - 2000, Single Orifice, Large Orifice Type S2, Size 50mm.</t>
  </si>
  <si>
    <t>MR10445</t>
  </si>
  <si>
    <t>CI Air Valve, Conforming to IS 14848 - 2000, Double Orifice Type DS2, Size 40mm.</t>
  </si>
  <si>
    <t>MR10446</t>
  </si>
  <si>
    <t>CI Air Valve, Conforming to IS 14848 - 2000, Double Orifice Type DS2, Size 50mm.</t>
  </si>
  <si>
    <t>MR10447</t>
  </si>
  <si>
    <t>CI Air Valve, Conforming to IS 14848 - 2000, Double Orifice Type DS2, Size 200mm.</t>
  </si>
  <si>
    <t>MR10448</t>
  </si>
  <si>
    <t>CI Air Valve with Flanges, Conforming to IS 14845 - 2000, Kinetic Air Valve Type DS1, Size 40mm.</t>
  </si>
  <si>
    <t>MR10449</t>
  </si>
  <si>
    <t>CI Air Valve with Flanges, Conforming to IS 14845 - 2000, Kinetic Air Valve Type DS1, Size 50mm.</t>
  </si>
  <si>
    <t>MR10450</t>
  </si>
  <si>
    <t>CI Air Valve with Flanges, Conforming to IS 14845 - 2000, Kinetic Air Valve Type DS1, Size 80mm.</t>
  </si>
  <si>
    <t>MR10451</t>
  </si>
  <si>
    <t>CI Air Valve with Flanges, Conforming to IS 14845 - 2000, Kinetic Air Valve Type DS1, Size 100mm.</t>
  </si>
  <si>
    <t>MR10452</t>
  </si>
  <si>
    <t>CI Air Valve with Flanges, Conforming to IS 14845 - 2000, Kinetic Air Valve Type DS1, Size 150mm.</t>
  </si>
  <si>
    <t>MR10453</t>
  </si>
  <si>
    <t>CI Air Valve with Flanges, Conforming to IS 14845 - 2000, Kinetic Air Valve Type DS1, Size 200mm.</t>
  </si>
  <si>
    <t>MR10454</t>
  </si>
  <si>
    <t>CI Air Valve with Flanges, Conforming to IS 14845 - 2000, Kinetic Air Valve Type DS2, Size 80mm.</t>
  </si>
  <si>
    <t>MR10455</t>
  </si>
  <si>
    <t>CI Air Valve with Flanges, Conforming to IS 14845 - 2000, Kinetic Air Valve Type DS2, Size 100mm.</t>
  </si>
  <si>
    <t>MR10456</t>
  </si>
  <si>
    <t>CI Air Valve with Flanges, Conforming to IS 14845 - 2000, Kinetic Air Valve Type DS2, Size 150mm.</t>
  </si>
  <si>
    <t>MR10457</t>
  </si>
  <si>
    <t>CI Double Flanged Sluice Valve Conforming to IS 14846 - 2000, Sluice Valve with Cap PN 1.6, Size 80mm.</t>
  </si>
  <si>
    <t>MR10458</t>
  </si>
  <si>
    <t>CI Double Flanged Sluice Valve Conforming to IS 14846 - 2000, Sluice Valve with Cap PN 1.6, Size 100mm.</t>
  </si>
  <si>
    <t>MR10459</t>
  </si>
  <si>
    <t>CI Double Flanged Sluice Valve Conforming to IS 14846 - 2000, Sluice Valve with Cap PN 1.6, Size 125mm.</t>
  </si>
  <si>
    <t>MR10460</t>
  </si>
  <si>
    <t>CI Double Flanged Sluice Valve Conforming to IS 14846 - 2000, Sluice Valve with Cap PN 1.6, Size 150mm.</t>
  </si>
  <si>
    <t>MR10461</t>
  </si>
  <si>
    <t>CI Double Flanged Sluice Valve Conforming to IS 14846 - 2000, Sluice Valve with Cap PN 1.6, Size 200mm.</t>
  </si>
  <si>
    <t>MR10462</t>
  </si>
  <si>
    <t>CI Double Flanged Sluice Valve Conforming to IS 14846 - 2000, Sluice Valve with Cap PN 1.6, Size 250mm.</t>
  </si>
  <si>
    <t>MR10463</t>
  </si>
  <si>
    <t>CI Double Flanged Sluice Valve Conforming to IS 14846 - 2000, Sluice Valve with Cap PN 1.6, Size 300mm.</t>
  </si>
  <si>
    <t>MR10464</t>
  </si>
  <si>
    <t>CI Double Flanged Sluice Valve Conforming to IS 14846 - 2000, Sluice Valve with Cap PN 1.6, Size 350mm.</t>
  </si>
  <si>
    <t>MR10465</t>
  </si>
  <si>
    <t>CI Double Flanged Sluice Valve Conforming to IS 14846 - 2000, Sluice Valve with Cap PN 1.6, Size 400mm.</t>
  </si>
  <si>
    <t>MR10466</t>
  </si>
  <si>
    <t>CI Double Flanged Sluice Valve Conforming to IS 14846 - 2000, Sluice Valve with Cap PN 1.6, Size 450mm.</t>
  </si>
  <si>
    <t>MR10467</t>
  </si>
  <si>
    <t>CI Double Flanged Sluice Valve Conforming to IS 14846 - 2000, Sluice Valve with Cap PN 1.6, Size 500mm.</t>
  </si>
  <si>
    <t>MR10468</t>
  </si>
  <si>
    <t>CI Double Flanged Sluice Valve Conforming to IS 14846 - 2000, Sluice Valve with Cap PN 1.6, Size 600mm.</t>
  </si>
  <si>
    <t>MR10469</t>
  </si>
  <si>
    <t>CI Double Flanged Sluice Valve Conforming to IS 14846 - 2000, Sluice Valve with Cap PN 1.0, Size 80mm.</t>
  </si>
  <si>
    <t>MR10470</t>
  </si>
  <si>
    <t>CI Double Flanged Sluice Valve Conforming to IS 14846 - 2000, Sluice Valve with Cap PN 1.0, Size 100mm.</t>
  </si>
  <si>
    <t>MR10471</t>
  </si>
  <si>
    <t>CI Double Flanged Sluice Valve Conforming to IS 14846 - 2000, Sluice Valve with Cap PN 1.0, Size 125mm.</t>
  </si>
  <si>
    <t>MR10472</t>
  </si>
  <si>
    <t>CI Double Flanged Sluice Valve Conforming to IS 14846 - 2000, Sluice Valve with Cap PN 1.0, Size 150mm.</t>
  </si>
  <si>
    <t>MR10473</t>
  </si>
  <si>
    <t>CI Double Flanged Sluice Valve Conforming to IS 14846 - 2000, Sluice Valve with Cap PN 1.0, Size 200mm.</t>
  </si>
  <si>
    <t>MR10474</t>
  </si>
  <si>
    <t>CI Double Flanged Sluice Valve Conforming to IS 14846 - 2000, Sluice Valve with Cap PN 1.0, Size 250mm.</t>
  </si>
  <si>
    <t>MR10475</t>
  </si>
  <si>
    <t>CI Double Flanged Sluice Valve Conforming to IS 14846 - 2000, Sluice Valve with Cap PN 1.0, Size 300mm.</t>
  </si>
  <si>
    <t>MR10476</t>
  </si>
  <si>
    <t>CI Double Flanged Sluice Valve Conforming to IS 14846 - 2000, Sluice Valve with Cap PN 1.0, Size 350mm.</t>
  </si>
  <si>
    <t>MR10477</t>
  </si>
  <si>
    <t>CI Double Flanged Sluice Valve Conforming to IS 14846 - 2000, Sluice Valve with Cap PN 1.0, Size 400mm.</t>
  </si>
  <si>
    <t>MR10478</t>
  </si>
  <si>
    <t>CI Double Flanged Sluice Valve Conforming to IS 14846 - 2000, Sluice Valve with Cap PN 1.0, Size 450mm.</t>
  </si>
  <si>
    <t>MR10479</t>
  </si>
  <si>
    <t>CI Double Flanged Sluice Valve Conforming to IS 14846 - 2000, Sluice Valve with Cap PN 1.0, Size 500mm.</t>
  </si>
  <si>
    <t>MR10480</t>
  </si>
  <si>
    <t>CI Double Flanged Sluice Valve Conforming to IS 14846 - 2000, Sluice Valve with Cap PN 1.0, Size 600mm.</t>
  </si>
  <si>
    <t>MR10481</t>
  </si>
  <si>
    <t>CI Double Flanged Sluice Valve Conforming to IS 14846 - 2000, Sluice Valve with Hand Wheel PN 1.6, Size 80mm.</t>
  </si>
  <si>
    <t>MR10482</t>
  </si>
  <si>
    <t>CI Double Flanged Sluice Valve Conforming to IS 14846 - 2000, Sluice Valve with Hand Wheel PN 1.6, Size 100mm.</t>
  </si>
  <si>
    <t>MR10483</t>
  </si>
  <si>
    <t>CI Double Flanged Sluice Valve Conforming to IS 14846 - 2000, Sluice Valve with Hand Wheel PN 1.6, Size 125mm.</t>
  </si>
  <si>
    <t>MR10484</t>
  </si>
  <si>
    <t>CI Double Flanged Sluice Valve Conforming to IS 14846 - 2000, Sluice Valve with Hand Wheel PN 1.6, Size 150mm.</t>
  </si>
  <si>
    <t>MR10485</t>
  </si>
  <si>
    <t>CI Double Flanged Sluice Valve Conforming to IS 14846 - 2000, Sluice Valve with Hand Wheel PN 1.6, Size 200mm.</t>
  </si>
  <si>
    <t>MR10486</t>
  </si>
  <si>
    <t>CI Double Flanged Sluice Valve Conforming to IS 14846 - 2000, Sluice Valve with Hand Wheel PN 1.6, Size 250mm.</t>
  </si>
  <si>
    <t>MR10487</t>
  </si>
  <si>
    <t>CI Double Flanged Sluice Valve Conforming to IS 14846 - 2000, Sluice Valve with Hand Wheel PN 1.6, Size 300mm.</t>
  </si>
  <si>
    <t>MR10488</t>
  </si>
  <si>
    <t>CI Double Flanged Sluice Valve Conforming to IS 14846 - 2000, Sluice Valve with Hand Wheel PN 1.6, Size 350mm.</t>
  </si>
  <si>
    <t>MR10489</t>
  </si>
  <si>
    <t>CI Double Flanged Sluice Valve Conforming to IS 14846 - 2000, Sluice Valve with Hand Wheel PN 1.6, Size 400mm.</t>
  </si>
  <si>
    <t>MR10490</t>
  </si>
  <si>
    <t>CI Double Flanged Sluice Valve Conforming to IS 14846 - 2000, Sluice Valve with Hand Wheel PN 1.6, Size 450mm.</t>
  </si>
  <si>
    <t>MR10491</t>
  </si>
  <si>
    <t>CI Double Flanged Sluice Valve Conforming to IS 14846 - 2000, Sluice Valve with Hand Wheel PN 1.6, Size 500mm.</t>
  </si>
  <si>
    <t>MR10492</t>
  </si>
  <si>
    <t>CI Double Flanged Sluice Valve Conforming to IS 14846 - 2000, Sluice Valve with Hand Wheel PN 1.6, Size 600mm.</t>
  </si>
  <si>
    <t>MR10493</t>
  </si>
  <si>
    <t>CI Double Flanged Sluice Valve Conforming to IS 14846 - 2000, Sluice Valve with Hand Wheel PN 1.0, Size 80mm.</t>
  </si>
  <si>
    <t>MR10494</t>
  </si>
  <si>
    <t>CI Double Flanged Sluice Valve Conforming to IS 14846 - 2000, Sluice Valve with Hand Wheel PN 1.0, Size 100mm.</t>
  </si>
  <si>
    <t>MR10495</t>
  </si>
  <si>
    <t>CI Double Flanged Sluice Valve Conforming to IS 14846 - 2000, Sluice Valve with Hand Wheel PN 1.0, Size 125mm.</t>
  </si>
  <si>
    <t>MR10496</t>
  </si>
  <si>
    <t>CI Double Flanged Sluice Valve Conforming to IS 14846 - 2000, Sluice Valve with Hand Wheel PN 1.0, Size 150mm.</t>
  </si>
  <si>
    <t>MR10497</t>
  </si>
  <si>
    <t>CI Double Flanged Sluice Valve Conforming to IS 14846 - 2000, Sluice Valve with Hand Wheel PN 1.0, Size 200mm.</t>
  </si>
  <si>
    <t>MR10498</t>
  </si>
  <si>
    <t>MR10499</t>
  </si>
  <si>
    <t>CI Double Flanged Sluice Valve Conforming to IS 14846 - 2000, Sluice Valve with Hand Wheel PN 1.0, Size 300mm.</t>
  </si>
  <si>
    <t>MR10500</t>
  </si>
  <si>
    <t>CI Double Flanged Sluice Valve Conforming to IS 14846 - 2000, Sluice Valve with Hand Wheel PN 1.0, Size 350mm.</t>
  </si>
  <si>
    <t>MR10501</t>
  </si>
  <si>
    <t>CI Double Flanged Sluice Valve Conforming to IS 14846 - 2000, Sluice Valve with Hand Wheel PN 1.0, Size 400mm.</t>
  </si>
  <si>
    <t>MR10502</t>
  </si>
  <si>
    <t>CI Double Flanged Sluice Valve Conforming to IS 14846 - 2000, Sluice Valve with Hand Wheel PN 1.0, Size 450mm.</t>
  </si>
  <si>
    <t>MR10503</t>
  </si>
  <si>
    <t>CI Double Flanged Sluice Valve Conforming to IS 14846 - 2000, Sluice Valve with Hand Wheel PN 1.0, Size 500mm.</t>
  </si>
  <si>
    <t>MR10504</t>
  </si>
  <si>
    <t>CI Double Flanged Sluice Valve Conforming to IS 14846 - 2000, Sluice Valve with Hand Wheel PN 1.0, Size 600mm.</t>
  </si>
  <si>
    <t>MR10505</t>
  </si>
  <si>
    <t>CI Plain End Valve Conforming to IS 14846 - 2000, Sluice Valve with Cap PN 1.6, Size 80mm.</t>
  </si>
  <si>
    <t>MR10506</t>
  </si>
  <si>
    <t>CI Plain End Valve Conforming to IS 14846 - 2000, Sluice Valve with Cap PN 1.6, Size 100mm.</t>
  </si>
  <si>
    <t>MR10507</t>
  </si>
  <si>
    <t>CI Plain End Valve Conforming to IS 14846 - 2000, Sluice Valve with Cap PN 1.6, Size 125mm.</t>
  </si>
  <si>
    <t>MR10508</t>
  </si>
  <si>
    <t>CI Plain End Valve Conforming to IS 14846 - 2000, Sluice Valve with Cap PN 1.6, Size 150mm.</t>
  </si>
  <si>
    <t>MR10509</t>
  </si>
  <si>
    <t>CI Plain End Valve Conforming to IS 14846 - 2000, Sluice Valve with Cap PN 1.6, Size 200mm.</t>
  </si>
  <si>
    <t>MR10510</t>
  </si>
  <si>
    <t>CI Plain End Valve Conforming to IS 14846 - 2000, Sluice Valve with Cap PN 1.6, Size 250mm.</t>
  </si>
  <si>
    <t>MR10511</t>
  </si>
  <si>
    <t>CI Plain End Valve Conforming to IS 14846 - 2000, Sluice Valve with Cap PN 1.6, Size 300mm.</t>
  </si>
  <si>
    <t>MR10512</t>
  </si>
  <si>
    <t>CI Plain End Valve Conforming to IS 14846 - 2000, Sluice Valve with Cap PN 1.0, Size 80mm.</t>
  </si>
  <si>
    <t>MR10513</t>
  </si>
  <si>
    <t>CI Plain End Valve Conforming to IS 14846 - 2000, Sluice Valve with Cap PN 1.0, Size 100mm.</t>
  </si>
  <si>
    <t>MR10514</t>
  </si>
  <si>
    <t>CI Plain End Valve Conforming to IS 14846 - 2000, Sluice Valve with Cap PN 1.0, Size 125mm.</t>
  </si>
  <si>
    <t>MR10515</t>
  </si>
  <si>
    <t>CI Plain End Valve Conforming to IS 14846 - 2000, Sluice Valve with Cap PN 1.0, Size 150mm.</t>
  </si>
  <si>
    <t>MR10516</t>
  </si>
  <si>
    <t>CI Plain End Valve Conforming to IS 14846 - 2000, Sluice Valve with Cap PN 1.0, Size 200mm.</t>
  </si>
  <si>
    <t>MR10517</t>
  </si>
  <si>
    <t>CI Plain End Valve Conforming to IS 14846 - 2000, Sluice Valve with Cap PN 1.0, Size 250mm.</t>
  </si>
  <si>
    <t>MR10518</t>
  </si>
  <si>
    <t>CI Plain End Valve Conforming to IS 14846 - 2000, Sluice Valve with Cap PN 1.0, Size 300mm.</t>
  </si>
  <si>
    <t>MR10519</t>
  </si>
  <si>
    <t>Deduct cost of scrap</t>
  </si>
  <si>
    <t>MR10520</t>
  </si>
  <si>
    <t>Hire charges of Electronic Total Station.</t>
  </si>
  <si>
    <t>MR10521</t>
  </si>
  <si>
    <t>Hire charges of Computer with CAD Software.</t>
  </si>
  <si>
    <t>MR10522</t>
  </si>
  <si>
    <t>Hire charges of vehicle with driver for ETS survey.</t>
  </si>
  <si>
    <t>MR10523</t>
  </si>
  <si>
    <t>LS Rate for WTP</t>
  </si>
  <si>
    <t>MR11001</t>
  </si>
  <si>
    <t>Hire Charges of Casurania pole ( 25% of cost as hire )</t>
  </si>
  <si>
    <t>MR11002</t>
  </si>
  <si>
    <t>Add extra for the rate of Earth Work Excavation to account for the Difficulty of excavation and the idling of the labour / machinery</t>
  </si>
  <si>
    <t>MR11003</t>
  </si>
  <si>
    <t>Add extra for the rate of Laying 80 mm AC pipe to acccount for the difficulty of laying in small lengths when compared to full length of pipes</t>
  </si>
  <si>
    <t>MR11004</t>
  </si>
  <si>
    <t>Cold bitumen - aggregate pot-hole repair mix.</t>
  </si>
  <si>
    <t>MR11007</t>
  </si>
  <si>
    <t>Service Saddle, uPVC, 6kg/cm2, 50mm x ½?, including the cost of EPDM/SBR gasket.</t>
  </si>
  <si>
    <t>MR11008</t>
  </si>
  <si>
    <t>Service Saddle, uPVC, 6kg/cm2, 50mm x ¾?, including the cost of EPDM/SBR gasket.</t>
  </si>
  <si>
    <t>MR11009</t>
  </si>
  <si>
    <t>Service Saddle, uPVC, 6kg/cm2, 63mm x ½?, including the cost of EPDM/SBR gasket.</t>
  </si>
  <si>
    <t>MR11010</t>
  </si>
  <si>
    <t>Service Saddle, uPVC, 6kg/cm2, 63mm x ¾?, including the cost of EPDM/SBR gasket.</t>
  </si>
  <si>
    <t>MR11011</t>
  </si>
  <si>
    <t>Service Saddle, uPVC, 6kg/cm2, 75mm x ½?, including the cost of EPDM/SBR gasket.</t>
  </si>
  <si>
    <t>MR11012</t>
  </si>
  <si>
    <t>Service Saddle, uPVC, 6kg/cm2, 75mm x ¾?, including the cost of EPDM/SBR gasket.</t>
  </si>
  <si>
    <t>MR11013</t>
  </si>
  <si>
    <t>Service Saddle, uPVC, 6kg/cm2, 90mm x ½?, including the cost of EPDM/SBR gasket.</t>
  </si>
  <si>
    <t>MR11014</t>
  </si>
  <si>
    <t>Service Saddle, uPVC, 6kg/cm2, 90mm x ¾?, including the cost of EPDM/SBR gasket.</t>
  </si>
  <si>
    <t>MR11015</t>
  </si>
  <si>
    <t>Service Saddle, uPVC, 6kg/cm2, 110mm x ½?, including the cost of EPDM/SBR gasket.</t>
  </si>
  <si>
    <t>MR11016</t>
  </si>
  <si>
    <t>Service Saddle, uPVC, 6kg/cm2, 110mm x ¾?, including the cost of EPDM/SBR gasket.</t>
  </si>
  <si>
    <t>MR11017</t>
  </si>
  <si>
    <t>Average cost of Service Saddle, uPVC, 6kg/cm2, 50mm to 100mm x ½? to ¾?, including the cost of EPDM/SBR gasket.</t>
  </si>
  <si>
    <t>MR11018</t>
  </si>
  <si>
    <t>Service Saddle, uPVC, 6kg/cm2, 140mm x ½?, including the cost of EPDM/SBR gasket.</t>
  </si>
  <si>
    <t>MR11019</t>
  </si>
  <si>
    <t>Service Saddle, uPVC, 6kg/cm2, 140mm x ¾?, including the cost of EPDM/SBR gasket.</t>
  </si>
  <si>
    <t>MR11020</t>
  </si>
  <si>
    <t>Service Saddle, uPVC, 6kg/cm2, 160mm x ½?, including the cost of EPDM/SBR gasket.</t>
  </si>
  <si>
    <t>MR11021</t>
  </si>
  <si>
    <t>Service Saddle, uPVC, 6kg/cm2, 160mm x ¾?, including the cost of EPDM/SBR gasket.</t>
  </si>
  <si>
    <t>MR11022</t>
  </si>
  <si>
    <t>Service Saddle, uPVC, 6kg/cm2, 200mm x ½?, including the cost of EPDM/SBR gasket.</t>
  </si>
  <si>
    <t>MR11023</t>
  </si>
  <si>
    <t>Service Saddle, uPVC, 6kg/cm2, 200mm x ¾?, including the cost of EPDM/SBR gasket.</t>
  </si>
  <si>
    <t>MR11024</t>
  </si>
  <si>
    <t>Average cost of Service Saddle, uPVC, 6kg/cm2, 140mm to 200mm x ½? to ¾?, incuding the cost of EPDM/SBR gasket.</t>
  </si>
  <si>
    <t>MR11025</t>
  </si>
  <si>
    <t>Service Saddle, GI, 50mm x ½?, including the cost of nuts and bolts.</t>
  </si>
  <si>
    <t>MR11026</t>
  </si>
  <si>
    <t>Service Saddle, GI, 50mm x ¾?, including the cost of nuts and bolts.</t>
  </si>
  <si>
    <t>MR11027</t>
  </si>
  <si>
    <t>Service Saddle, GI, 65mm x ½?, including the cost of nuts and bolts.</t>
  </si>
  <si>
    <t>MR11028</t>
  </si>
  <si>
    <t>Service Saddle, GI, 65mm x ¾?, including the cost of nuts and bolts.</t>
  </si>
  <si>
    <t>MR11029</t>
  </si>
  <si>
    <t>Service Saddle, GI, 80mm x ½?, including the cost of nuts and bolts.</t>
  </si>
  <si>
    <t>MR11030</t>
  </si>
  <si>
    <t>Service Saddle, GI, 80mm x ¾?, including the cost of nuts and bolts.</t>
  </si>
  <si>
    <t>MR11031</t>
  </si>
  <si>
    <t>Service Saddle, GI, 100mm x ½?, including the cost of nuts and bolts.</t>
  </si>
  <si>
    <t>MR11032</t>
  </si>
  <si>
    <t>Service Saddle, GI, 100mm x ¾?, including the cost of nuts and bolts.</t>
  </si>
  <si>
    <t>MR11033</t>
  </si>
  <si>
    <t>Service Saddle, GI, 125mm x ½?, including the cost of nuts and bolts.</t>
  </si>
  <si>
    <t>MR11034</t>
  </si>
  <si>
    <t>Service Saddle, GI, 125mm x ¾?, including the cost of nuts and bolts.</t>
  </si>
  <si>
    <t>MR11035</t>
  </si>
  <si>
    <t>Average cost of Service Saddle, GI, 50mm to 125mm x ½? to ¾?, including the cost of nuts and bolts.</t>
  </si>
  <si>
    <t>MR11036</t>
  </si>
  <si>
    <t>Service Saddle, GI, 150mm x ½?, including the cost of nuts and bolts.</t>
  </si>
  <si>
    <t>MR11037</t>
  </si>
  <si>
    <t>Service Saddle, GI, 150mm x ¾?, including the cost of nuts and bolts.</t>
  </si>
  <si>
    <t>MR11038</t>
  </si>
  <si>
    <t>Service Saddle, GI, 175mm x ½?, including the cost of nuts and bolts.</t>
  </si>
  <si>
    <t>MR11039</t>
  </si>
  <si>
    <t>Service Saddle, GI, 175mm x ¾?, including the cost of nuts and bolts.</t>
  </si>
  <si>
    <t>MR11040</t>
  </si>
  <si>
    <t>Service Saddle, GI, 200mm x ½?, including the cost of nuts and bolts.</t>
  </si>
  <si>
    <t>MR11041</t>
  </si>
  <si>
    <t>Service Saddle, GI, 200mm x ¾?, including the cost of nuts and bolts.</t>
  </si>
  <si>
    <t>MR11042</t>
  </si>
  <si>
    <t>Average cost of Service Saddle, GI, 150mm to 200mm x ½? to ¾?, incuding the cost of nuts and bolts.</t>
  </si>
  <si>
    <t>MR11043</t>
  </si>
  <si>
    <t>Gate Valve with Wheel, GM, Indian Standard, Class 2, 15mm (½? )</t>
  </si>
  <si>
    <t>MR11044</t>
  </si>
  <si>
    <t>Air Valve, GM, Indian Standard, Class 2, 15mm ( ½? )</t>
  </si>
  <si>
    <t>MR11046</t>
  </si>
  <si>
    <t>Check Valve, GM, Indian Standard, Class 2, 15mm ( ½? )</t>
  </si>
  <si>
    <t>MR11047</t>
  </si>
  <si>
    <t>Check Valve, GM, Indian Standard, Class 2, 20mm ( ¾? )</t>
  </si>
  <si>
    <t>MR11048</t>
  </si>
  <si>
    <t>Air Valve, uPVC, 12.5 kg/cm2, 20mm ( ½? )</t>
  </si>
  <si>
    <t>MR11049</t>
  </si>
  <si>
    <t>Air Valve, uPVC, 12.5 kg/cm2, 25mm ( ¾? )</t>
  </si>
  <si>
    <t>MR11050</t>
  </si>
  <si>
    <t>Ferrule, Brass, Indian Standard, 15mm ( ½? )</t>
  </si>
  <si>
    <t>MR11051</t>
  </si>
  <si>
    <t>Ferrule, Brass, Indian Standard, 20mm ( ¾? )</t>
  </si>
  <si>
    <t>MR11052</t>
  </si>
  <si>
    <t>Male Threaded Adaptor, Brass Threaded, uPVC, 12.5kg/cm2, 20mm x ½?.</t>
  </si>
  <si>
    <t>MR11053</t>
  </si>
  <si>
    <t>Male Threaded Adaptor, Brass Threaded, uPVC, 12.5kg/cm2, 25mm x ¾?.</t>
  </si>
  <si>
    <t>MR11054</t>
  </si>
  <si>
    <t>Female Threaded Adaptor, Brass Threaded, uPVC, 12.5kg/cm2, 20mm x ½?.</t>
  </si>
  <si>
    <t>MR11055</t>
  </si>
  <si>
    <t>Female Threaded Adaptor, Brass Threaded, uPVC, 12.5kg/cm2, 25mm x ¾?.</t>
  </si>
  <si>
    <t>MR11056</t>
  </si>
  <si>
    <t>Reducer Female Threaded Adaptor, Brass Threaded, uPVC, 12.5kg/cm2, 25mm to ½?.</t>
  </si>
  <si>
    <t>MR11057</t>
  </si>
  <si>
    <t>Tee, Brass Threaded, uPVC, 12.5kg/cm2, 20mm x ½?.</t>
  </si>
  <si>
    <t>MR11058</t>
  </si>
  <si>
    <t>Tee, Brass Threaded, uPVC, 12.5kg/cm2, 25mm x ¾?.</t>
  </si>
  <si>
    <t>MR11059</t>
  </si>
  <si>
    <t>Reducer Tee, Brass Threaded, uPVC, 12.5kg/cm2, 25mm x ½?.</t>
  </si>
  <si>
    <t>MR11060</t>
  </si>
  <si>
    <t>Tee, Branch Side Threaded, uPVC, 12.5kg/cm2, 20mm x ½?.</t>
  </si>
  <si>
    <t>MR11061</t>
  </si>
  <si>
    <t>Tee, Branch Side Threaded, uPVC, 12.5kg/cm2, 25mm x ¾?.</t>
  </si>
  <si>
    <t>MR11062</t>
  </si>
  <si>
    <t>Reducer Tee, Branch Side Threaded, uPVC, 12.5kg/cm2, 25mm x ½?.</t>
  </si>
  <si>
    <t>MR11063</t>
  </si>
  <si>
    <t>Elbow, uPVC, Indian Standard, Class 6, 20mm.</t>
  </si>
  <si>
    <t>MR11064</t>
  </si>
  <si>
    <t>Elbow, uPVC, Indian Standard, Class 6, 25mm.</t>
  </si>
  <si>
    <t>MR11065</t>
  </si>
  <si>
    <t>Coupler, uPVC, Indian Standard, Class 6, 20mm.</t>
  </si>
  <si>
    <t>MR11066</t>
  </si>
  <si>
    <t>Coupler, uPVC, Indian Standard, Class 6, 25mm.</t>
  </si>
  <si>
    <t>MR11067</t>
  </si>
  <si>
    <t>Ball Valve, uPVC, 12.5kg/cm2, 20mm ( ½? ).</t>
  </si>
  <si>
    <t>MR11068</t>
  </si>
  <si>
    <t>Ball Valve, uPVC, 12.5kg/cm2, 25mm ( ¾? ).</t>
  </si>
  <si>
    <t>MR11069</t>
  </si>
  <si>
    <t>End Cap, uPVC, Indian Standard, Class 6, 20mm.</t>
  </si>
  <si>
    <t>MR11070</t>
  </si>
  <si>
    <t>End Cap, uPVC, Indian Standard, Class 6, 25mm.</t>
  </si>
  <si>
    <t>MR11071</t>
  </si>
  <si>
    <t>uPVC Pipe, IS 4985: 2000 ,
12.5kg/cm2, 20mm dia.</t>
  </si>
  <si>
    <t>MR11072</t>
  </si>
  <si>
    <t>uPVC Pipe, IS 4985: 2000 ,
12.5kg/cm2, 25mm dia.</t>
  </si>
  <si>
    <t>MR11073</t>
  </si>
  <si>
    <t>PE Pipe, PE80, PN16, Conforming to IS 4984: 2016 or later edition, 20mm ( ½? ).</t>
  </si>
  <si>
    <t>MR11074</t>
  </si>
  <si>
    <t>PE Pipe, PE80, PN16, Conforming to IS 4984: 2016 or later edition, 25mm ( ¾?).</t>
  </si>
  <si>
    <t>MR11075</t>
  </si>
  <si>
    <t>Compression Coupler, PP, PN16,
½? (20mm).</t>
  </si>
  <si>
    <t>MR11076</t>
  </si>
  <si>
    <t>Compression Coupler, PP, PN16,
¾? (25mm).</t>
  </si>
  <si>
    <t>MR11077</t>
  </si>
  <si>
    <t>Compression Elbow / Bend, PP, PN16, ½? (20mm).</t>
  </si>
  <si>
    <t>MR11078</t>
  </si>
  <si>
    <t>Compression Elbow / Bend, PP, PN16, ¾? (25mm).</t>
  </si>
  <si>
    <t>MR11079</t>
  </si>
  <si>
    <t>Compression MTA, PP, PN16, ½? (20mm).</t>
  </si>
  <si>
    <t>MR11080</t>
  </si>
  <si>
    <t>Compression MTA, PP, PN16, ¾? (25mm).</t>
  </si>
  <si>
    <t>MR11081</t>
  </si>
  <si>
    <t>Compression FTA, PP, PN16, ½? (20mm).</t>
  </si>
  <si>
    <t>MR11082</t>
  </si>
  <si>
    <t>Compression FTA, PP, PN16, ¾? (25mm).</t>
  </si>
  <si>
    <t>MR11083</t>
  </si>
  <si>
    <t>Compression MTA, SS Threaded, PP, PN16, ½? (20mm).</t>
  </si>
  <si>
    <t>MR11084</t>
  </si>
  <si>
    <t>Compression MTA, SS Threaded, PP, PN16, ¾? (25mm).</t>
  </si>
  <si>
    <t>MR11085</t>
  </si>
  <si>
    <t>Compression FTA, SS Threaded, PP, PN16, ½? (20mm).</t>
  </si>
  <si>
    <t>MR11086</t>
  </si>
  <si>
    <t>Compression FTA, SS Threaded, PP, PN16, ¾? (25mm).</t>
  </si>
  <si>
    <t>MR11087</t>
  </si>
  <si>
    <t>Compression MTA Elbow / Bend, SS Threaded, PP, PN16, ½? (20mm).</t>
  </si>
  <si>
    <t>MR11088</t>
  </si>
  <si>
    <t>Compression MTA Elbow / Bend, SS Threaded, PP, PN16, ¾? (25mm).</t>
  </si>
  <si>
    <t>MR11089</t>
  </si>
  <si>
    <t>Compression FTA Elbow / Bend, SS Threaded, PP, PN16, ½? (20mm).</t>
  </si>
  <si>
    <t>MR11090</t>
  </si>
  <si>
    <t>Compression FTA Elbow / Bend, SS Threaded, PP, PN16, ¾? (25mm).</t>
  </si>
  <si>
    <t>MR11091</t>
  </si>
  <si>
    <t>Ball Valve, uPVC, Compression - Female Threaded, ½? (20mm).</t>
  </si>
  <si>
    <t>MR11092</t>
  </si>
  <si>
    <t>Ball Valve, uPVC, Compression - Female Threaded, ¾? (25mm).</t>
  </si>
  <si>
    <t>MR11093</t>
  </si>
  <si>
    <t>Compression Tee, PP, PN16, ½? (20mm).</t>
  </si>
  <si>
    <t>MR11094</t>
  </si>
  <si>
    <t>Compression Tee, PP, PN16, ¾? (25mm).</t>
  </si>
  <si>
    <t>MR11095</t>
  </si>
  <si>
    <t>Compression Tee MTA, PP, PN16,
½? (20mm).</t>
  </si>
  <si>
    <t>MR11096</t>
  </si>
  <si>
    <t>Compression Tee MTA, PP, PN16,
¾? (25mm).</t>
  </si>
  <si>
    <t>MR11097</t>
  </si>
  <si>
    <t>Compression End Cap, PP, PN 16,
½? (20mm).</t>
  </si>
  <si>
    <t>MR11098</t>
  </si>
  <si>
    <t>Compression End Cap, PP, PN 16,
¾? (25mm).</t>
  </si>
  <si>
    <t>MR11099</t>
  </si>
  <si>
    <t>Hexagonal Nipple, Brass, ½? (15mm).</t>
  </si>
  <si>
    <t>MR11100</t>
  </si>
  <si>
    <t>Hexagonal Nipple, Brass, ¾? (20mm).</t>
  </si>
  <si>
    <t>MR11101</t>
  </si>
  <si>
    <t>Threaded Coupling, Brass, ½? (15mm).</t>
  </si>
  <si>
    <t>MR11102</t>
  </si>
  <si>
    <t>Threaded Coupling, Brass, ¾? (20mm).</t>
  </si>
  <si>
    <t>MR11103</t>
  </si>
  <si>
    <t>Reducing Threaded Coupling, Brass, ¾? x ½? (20mm x 15mm).</t>
  </si>
  <si>
    <t>MR11104</t>
  </si>
  <si>
    <t>Female Threaded Adaptor, uPVC, 12.5kg/cm2, 20mm x ½?.</t>
  </si>
  <si>
    <t>MR11105</t>
  </si>
  <si>
    <t>Reducer Female Threaded Adaptor, uPVC, 12.5kg/cm2, 25mm to ½?.</t>
  </si>
  <si>
    <t>MR11106</t>
  </si>
  <si>
    <t>Male Threaded Adaptor, uPVC, 12.5kg/cm2, 20mm x ½?.</t>
  </si>
  <si>
    <t>MR11107</t>
  </si>
  <si>
    <t>Male Threaded Adaptor, uPVC, 12.5kg/cm2, 25mm x ¾?.</t>
  </si>
  <si>
    <t>MR11108</t>
  </si>
  <si>
    <t>Anthracite with Minimum 90% Carbon Content</t>
  </si>
  <si>
    <t>MR11109</t>
  </si>
  <si>
    <t>110 mm OD Class 500 PVC-O Pipe, PN 12.5 conforming to IS 16647:2017 suitable for laying with PVC O fittings or metal fittings compatible with PVC O pipes</t>
  </si>
  <si>
    <t>MR11110</t>
  </si>
  <si>
    <t>160 mm OD Class 500 PVC-O Pipe, PN 12.5 conforming to IS 16647:2017 suitable for laying with PVC O fittings or metal fittings compatible with PVC O pipes</t>
  </si>
  <si>
    <t>MR11111</t>
  </si>
  <si>
    <t>200 mm OD Class 500 PVC-O Pipe, PN 12.5 conforming to IS 16647:2017 suitable for laying with PVC O fittings or metal fittings compatible with PVC O pipes</t>
  </si>
  <si>
    <t>MR11112</t>
  </si>
  <si>
    <t>250 mm OD Class 500 PVC-O Pipe, PN 12.5 conforming to IS 16647:2017 suitable for laying with PVC O fittings or metal fittings compatible with PVC O pipes</t>
  </si>
  <si>
    <t>MR11113</t>
  </si>
  <si>
    <t>315 mm OD Class 500 PVC-O Pipe, PN 12.5 conforming to IS 16647:2017 suitable for laying with PVC O fittings or metal fittings compatible with PVC O pipes</t>
  </si>
  <si>
    <t>MR11114</t>
  </si>
  <si>
    <t>400 mm OD Class 500 PVC-O Pipe, PN 12.5 conforming to IS 16647:2017 suitable for laying with PVC O fittings or metal fittings compatible with PVC O pipes</t>
  </si>
  <si>
    <t>MR11115</t>
  </si>
  <si>
    <t>110 mm OD Class 500 PVC-O Pipe, PN 16 conforming to IS 16647:2017 suitable for laying with PVC O fittings or metal fittings compatible with PVC O pipes</t>
  </si>
  <si>
    <t>MR11116</t>
  </si>
  <si>
    <t>160 mm OD Class 500 PVC-O Pipe, PN 16 conforming to IS 16647:2017 suitable for laying with PVC O fittings or metal fittings compatible with PVC O pipes</t>
  </si>
  <si>
    <t>MR11117</t>
  </si>
  <si>
    <t>200 mm OD Class 500 PVC-O Pipe, PN 16 conforming to IS 16647:2017 suitable for laying with PVC O fittings or metal fittings compatible with PVC O pipes</t>
  </si>
  <si>
    <t>MR11118</t>
  </si>
  <si>
    <t>250 mm OD Class 500 PVC-O Pipe, PN 16 conforming to IS 16647:2017 suitable for laying with PVC O fittings or metal fittings compatible with PVC O pipes</t>
  </si>
  <si>
    <t>MR11119</t>
  </si>
  <si>
    <t>315 mm OD Class 500 PVC-O Pipe, PN 16 conforming to IS 16647:2017 suitable for laying with PVC O fittings or metal fittings compatible with PVC O pipes</t>
  </si>
  <si>
    <t>MR11120</t>
  </si>
  <si>
    <t>400 mm OD Class 500 PVC-O Pipe, PN 16 conforming to IS 16647:2017 suitable for laying with PVC O fittings or metal fittings compatible with PVC O pipes</t>
  </si>
  <si>
    <t>MR11121</t>
  </si>
  <si>
    <t>GI Pipe Medium 100mm</t>
  </si>
  <si>
    <t>MR11122</t>
  </si>
  <si>
    <t>GI Pipe Medium 125mm</t>
  </si>
  <si>
    <t>MR11123</t>
  </si>
  <si>
    <t>GI Pipe Medium 150mm</t>
  </si>
  <si>
    <t>MR11124</t>
  </si>
  <si>
    <t>GI Pipe Medium 15mm</t>
  </si>
  <si>
    <t>MR11125</t>
  </si>
  <si>
    <t>GI Pipe Medium 20mm</t>
  </si>
  <si>
    <t>MR11126</t>
  </si>
  <si>
    <t>GI Pipe Medium 25mm</t>
  </si>
  <si>
    <t>MR11127</t>
  </si>
  <si>
    <t>GI Pipe Medium 32mm</t>
  </si>
  <si>
    <t>MR11128</t>
  </si>
  <si>
    <t>GI Pipe Medium 40mm</t>
  </si>
  <si>
    <t>MR11129</t>
  </si>
  <si>
    <t>GI Pipe Medium 50mm</t>
  </si>
  <si>
    <t>MR11130</t>
  </si>
  <si>
    <t>GI Pipe Medium 65mm</t>
  </si>
  <si>
    <t>MR11131</t>
  </si>
  <si>
    <t>GI Pipe Medium 80mm</t>
  </si>
  <si>
    <t>MR12001</t>
  </si>
  <si>
    <t>Vertical Turbine Pump - Head up to 20 m -Power up to 10 HP</t>
  </si>
  <si>
    <t>HP (Horse power)</t>
  </si>
  <si>
    <t>MR12002</t>
  </si>
  <si>
    <t>Vertical Turbine Pump - Head Up to 20 m -Power &gt;10 HP to 20 HP</t>
  </si>
  <si>
    <t>MR12003</t>
  </si>
  <si>
    <t>Vertical Turbine Pump - Head Up to 20 m -Power &gt;20 HP to 30 HP</t>
  </si>
  <si>
    <t>MR12004</t>
  </si>
  <si>
    <t>Vertical Turbine Pump - Head Up to 20 m -Power &gt;30 HP to 50 HP</t>
  </si>
  <si>
    <t>MR12005</t>
  </si>
  <si>
    <t>Vertical Turbine Pump - Head Up to 20 m -Power &gt;50 HP to 99 HP</t>
  </si>
  <si>
    <t>MR12006</t>
  </si>
  <si>
    <t>Vertical Turbine Pump - Head Up to 20 m -Power &gt;100 HP to 150 HP</t>
  </si>
  <si>
    <t>MR12007</t>
  </si>
  <si>
    <t>Vertical Turbine Pump - Head Up to 20 m -Power &gt;150 HP to 200 HP</t>
  </si>
  <si>
    <t>MR12008</t>
  </si>
  <si>
    <t>Vertical Turbine Pump - Head Up to 20 m -Power Above 200 HP</t>
  </si>
  <si>
    <t>MR12009</t>
  </si>
  <si>
    <t>Vertical Turbine Pump - Head 20m to 50m - Power up to 10 HP</t>
  </si>
  <si>
    <t>MR12010</t>
  </si>
  <si>
    <t>Vertical Turbine Pump - Head 20m to 50m - Power&gt;10 HP to 20 HP</t>
  </si>
  <si>
    <t>MR12011</t>
  </si>
  <si>
    <t>Vertical Turbine Pump - Head 20m to 50m - Power&gt;20 HP to 30 HP</t>
  </si>
  <si>
    <t>MR12012</t>
  </si>
  <si>
    <t>Vertical Turbine Pump - Head 20m to 50m - Power&gt;30 HP to 50 HP</t>
  </si>
  <si>
    <t>MR12013</t>
  </si>
  <si>
    <t>Vertical Turbine Pump - Head 20m to 50m - Power&gt;50 HP to 99 HP</t>
  </si>
  <si>
    <t>MR12014</t>
  </si>
  <si>
    <t>Vertical Turbine Pump - Head 20m to 50m -Power&gt;100 HP to 150 HP</t>
  </si>
  <si>
    <t>MR12015</t>
  </si>
  <si>
    <t>Vertical Turbine Pump - Head 20m to 50m - Power&gt;150 HP to 200 HP</t>
  </si>
  <si>
    <t>MR12016</t>
  </si>
  <si>
    <t>Vertical Turbine Pump - Head 20m to 50m - Power Above 200 HP</t>
  </si>
  <si>
    <t>MR12017</t>
  </si>
  <si>
    <t>Vertical Turbine Pump - Head 50m to 100m - Power up to 10 HP</t>
  </si>
  <si>
    <t>MR12018</t>
  </si>
  <si>
    <t>Vertical Turbine Pump - Head 50m to 100m - Power&gt;10 HP to 20 HP</t>
  </si>
  <si>
    <t>MR12019</t>
  </si>
  <si>
    <t>Vertical Turbine Pump - Head 50m to 100m - Power&gt;20 HP to 30 HP</t>
  </si>
  <si>
    <t>MR12020</t>
  </si>
  <si>
    <t>Vertical Turbine Pump - Head 50m to 100m - Power&gt;30 HP to 50 HP</t>
  </si>
  <si>
    <t>MR12021</t>
  </si>
  <si>
    <t>Vertical Turbine Pump - Head 50m to 100m - Power&gt;50 HP to 99 HP</t>
  </si>
  <si>
    <t>MR12022</t>
  </si>
  <si>
    <t>Vertical Turbine Pump - Head 50m to 100m - Power&gt;100 HP to 150 HP</t>
  </si>
  <si>
    <t>MR12023</t>
  </si>
  <si>
    <t>Vertical Turbine Pump - Head 50m to 100m - Power&gt;150 HP to 200 HP</t>
  </si>
  <si>
    <t>MR12024</t>
  </si>
  <si>
    <t>Vertical Turbine Pump - Head 50m to 100m - Power -Above 200 HP</t>
  </si>
  <si>
    <t>MR12025</t>
  </si>
  <si>
    <t>Vertical Turbine Pump - Head 100m to 150m - Power&gt;20 HP to 30 HP</t>
  </si>
  <si>
    <t>MR12026</t>
  </si>
  <si>
    <t>Vertical Turbine Pump - Head 100m to 150m - Power&gt;30 HP to 50 HP</t>
  </si>
  <si>
    <t>MR12027</t>
  </si>
  <si>
    <t>Vertical Turbine Pump - Head 100m to 150m - Power&gt;50 HP to 99 HP</t>
  </si>
  <si>
    <t>MR12028</t>
  </si>
  <si>
    <t>Vertical Turbine Pump - Head 100m to 150m - Power&gt;100 HP to 150 HP</t>
  </si>
  <si>
    <t>MR12029</t>
  </si>
  <si>
    <t>Vertical Turbine Pump - Head 100m to 150m - Power&gt;150 HP to 200 HP</t>
  </si>
  <si>
    <t>MR12030</t>
  </si>
  <si>
    <t>Vertical Turbine Pump - Head 100m to 150m - Power -Above 200 HP</t>
  </si>
  <si>
    <t>MR12031</t>
  </si>
  <si>
    <t>Vertical Turbine Pump - Head above 150m - Power&gt;30 HP to 50 HP</t>
  </si>
  <si>
    <t>MR12032</t>
  </si>
  <si>
    <t>Vertical Turbine Pump - Head above 150m - Power&gt;50 HP to 99 HP</t>
  </si>
  <si>
    <t>MR12033</t>
  </si>
  <si>
    <t>Vertical Turbine Pump - Head above 150m - Power&gt;100 HP to 150 HP</t>
  </si>
  <si>
    <t>MR12034</t>
  </si>
  <si>
    <t>Vertical Turbine Pump - Head above 150m - Power&gt;150 HP to 200 HP</t>
  </si>
  <si>
    <t>MR12035</t>
  </si>
  <si>
    <t>Vertical Turbine Pump - Head above 150m - Power -Above 200 HP</t>
  </si>
  <si>
    <t>MR12036</t>
  </si>
  <si>
    <t>Centrifugal Horizontal Split Cage Pump - Head up to 20 m - Power up to 10 HP</t>
  </si>
  <si>
    <t>MR12037</t>
  </si>
  <si>
    <t>Centrifugal Horizontal Split Cage Pump - Head up to 20 m -Power
&gt;10 HP to 20 HP</t>
  </si>
  <si>
    <t>MR12038</t>
  </si>
  <si>
    <t>Centrifugal Horizontal Split Cage Pump - Head up to 20 m - Power
&gt;20 HP to 30 HP</t>
  </si>
  <si>
    <t>MR12039</t>
  </si>
  <si>
    <t>Centrifugal Horizontal Split Cage Pump - Head up to 20 m - Power&gt;30 HP to 50 HP</t>
  </si>
  <si>
    <t>MR12040</t>
  </si>
  <si>
    <t>Centrifugal Horizontal Split Cage Pump - Head up to 20 m - Power&gt;50 HP to 99 HP</t>
  </si>
  <si>
    <t>MR12041</t>
  </si>
  <si>
    <t>Centrifugal Horizontal Split Cage Pump - Head up to 20 m - Power&gt;100 HP to 150 HP</t>
  </si>
  <si>
    <t>MR12042</t>
  </si>
  <si>
    <t>Centrifugal Horizontal Split Cage Pump - Head up to 20 m - Power&gt;150 HP to 200 HP</t>
  </si>
  <si>
    <t>MR12043</t>
  </si>
  <si>
    <t>Centrifugal Horizontal Split Cage Pump - Head up to 20 m - Power Above 200 HP</t>
  </si>
  <si>
    <t>MR12044</t>
  </si>
  <si>
    <t>Centrifugal Horizontal Split Cage Pump - Head 20 m to 50m -Power up to 10 HP</t>
  </si>
  <si>
    <t>MR12045</t>
  </si>
  <si>
    <t>Centrifugal Horizontal Split Cage Pump - Head 20 m to 50m - Power&gt;10 HP to 20 HP</t>
  </si>
  <si>
    <t>MR12046</t>
  </si>
  <si>
    <t>Centrifugal Horizontal Split Cage Pump - Head 20 m to 50m - Power&gt;20 HP to 30 HP</t>
  </si>
  <si>
    <t>MR12047</t>
  </si>
  <si>
    <t>Centrifugal Horizontal Split Cage Pump - Head 20 m to 50m - Power&gt;30 HP to 50 HP</t>
  </si>
  <si>
    <t>MR12048</t>
  </si>
  <si>
    <t>Centrifugal Horizontal Split Cage Pump - Head 20 m to 50m - Power&gt;50 HP to 99 HP</t>
  </si>
  <si>
    <t>MR12049</t>
  </si>
  <si>
    <t>Centrifugal Horizontal Split Cage Pump - Head 20 m to 50m - Power&gt;100 HP to 150 HP</t>
  </si>
  <si>
    <t>MR12050</t>
  </si>
  <si>
    <t>Centrifugal Horizontal Split Cage Pump - Head 20 m to 50m - Power&gt;150 HP to 200 HP</t>
  </si>
  <si>
    <t>MR12051</t>
  </si>
  <si>
    <t>Centrifugal Horizontal Split Cage Pump - Head 20 m to 50m - Power Above 200 HP</t>
  </si>
  <si>
    <t>MR12052</t>
  </si>
  <si>
    <t>Centrifugal Horizontal Split Cage Pump - Head 50 m to 100m -Power up to 10 HP</t>
  </si>
  <si>
    <t>MR12053</t>
  </si>
  <si>
    <t>Centrifugal Horizontal Split Cage Pump - Head 50 m to 100m - Power&gt;10 HP to 20 HP</t>
  </si>
  <si>
    <t>MR12054</t>
  </si>
  <si>
    <t>Centrifugal Horizontal Split Cage Pump - Head 50 m to 100m - Power&gt;20 HP to 30 HP</t>
  </si>
  <si>
    <t>MR12055</t>
  </si>
  <si>
    <t>Centrifugal Horizontal Split Cage Pump - Head 50 m to 100m - Power&gt;30 HP to 50 HP</t>
  </si>
  <si>
    <t>MR12056</t>
  </si>
  <si>
    <t>Centrifugal Horizontal Split Cage Pump - Head 50 m to 100m - Power&gt;50 HP to 99 HP</t>
  </si>
  <si>
    <t>MR12057</t>
  </si>
  <si>
    <t>Centrifugal Horizontal Split Cage Pump - Head 50 m to 100m - Power&gt;100 HP to 150 HP</t>
  </si>
  <si>
    <t>MR12058</t>
  </si>
  <si>
    <t>Centrifugal Horizontal Split Cage Pump - Head 50 m to 100m - Power&gt;150 HP to 200 HP</t>
  </si>
  <si>
    <t>MR12059</t>
  </si>
  <si>
    <t>Centrifugal Horizontal Split Cage Pump - Head 50 m to 100m - Power -Above 200 HP</t>
  </si>
  <si>
    <t>MR12060</t>
  </si>
  <si>
    <t>Centrifugal Horizontal Split Cage Pump - Head 100 m to 150m - Power up to 10 HP</t>
  </si>
  <si>
    <t>MR12061</t>
  </si>
  <si>
    <t>Centrifugal Horizontal Split Cage Pump - Head 100 m to 150m - Power&gt;10 HP to 20 HP</t>
  </si>
  <si>
    <t>MR12062</t>
  </si>
  <si>
    <t>Centrifugal Horizontal Split Cage Pump - Head 100 m to 150m - Power&gt;20 HP to 30 HP</t>
  </si>
  <si>
    <t>MR12063</t>
  </si>
  <si>
    <t>Centrifugal Horizontal Split Cage Pump - Head 100 m to 150m - Power&gt;30 HP to 50 HP</t>
  </si>
  <si>
    <t>MR12064</t>
  </si>
  <si>
    <t>Centrifugal Horizontal Split Cage Pump - Head 100 m to 150m - Power&gt;50 HP to 99 HP</t>
  </si>
  <si>
    <t>MR12065</t>
  </si>
  <si>
    <t>Centrifugal Horizontal Split Cage Pump - Head 100 m to 150m - Power&gt;100 HP to 150 HP</t>
  </si>
  <si>
    <t>MR12066</t>
  </si>
  <si>
    <t>Centrifugal Horizontal Split Cage Pump - Head 100 m to 150m - Power&gt;150 HP to 200 HP</t>
  </si>
  <si>
    <t>MR12067</t>
  </si>
  <si>
    <t>Centrifugal Horizontal Split Cage Pump - Head 100 m to 150m - Power -Above 200 HP</t>
  </si>
  <si>
    <t>MR12068</t>
  </si>
  <si>
    <t>Centrifugal Horizontal Split Cage Pump - Head above 150m - Power up to 10 HP</t>
  </si>
  <si>
    <t>MR12069</t>
  </si>
  <si>
    <t>Centrifugal Horizontal Split Cage Pump - Head above 150m - Power&gt;10 HP to 20 HP</t>
  </si>
  <si>
    <t>MR12070</t>
  </si>
  <si>
    <t>Centrifugal Horizontal Split Cage Pump - Head above 150m - Power&gt;20 HP to 30 HP</t>
  </si>
  <si>
    <t>MR12071</t>
  </si>
  <si>
    <t>Centrifugal Horizontal Split Cage Pump - Head above 150m - Power&gt;30 HP to 50 HP</t>
  </si>
  <si>
    <t>MR12072</t>
  </si>
  <si>
    <t>Centrifugal Horizontal Split Cage Pump - Head above 150m - Power&gt;50 HP to 99 HP</t>
  </si>
  <si>
    <t>MR12073</t>
  </si>
  <si>
    <t>Centrifugal Horizontal Split Cage Pump - Head above 150m - Power&gt;100 HP to 150 HP</t>
  </si>
  <si>
    <t>MR12074</t>
  </si>
  <si>
    <t>Centrifugal Horizontal Split Cage Pump - Head above 150m - Power&gt;150 HP to 200 HP</t>
  </si>
  <si>
    <t>MR12075</t>
  </si>
  <si>
    <t>Centrifugal Horizontal Split Cage Pump - Head above 150m - Power
-Above 200 HP</t>
  </si>
  <si>
    <t>MR12076</t>
  </si>
  <si>
    <t>Centrifugal Horizontal End Suction Pump - Head up to 20m - Power up to 10 HP</t>
  </si>
  <si>
    <t>MR12077</t>
  </si>
  <si>
    <t>Centrifugal Horizontal End Suction Pump - Head up to 20m - Power&gt;10 HP to 20 HP</t>
  </si>
  <si>
    <t>MR12078</t>
  </si>
  <si>
    <t>Centrifugal Horizontal End Suction Pump - Head up to 20m - Power&gt;20 HP to 30 HP</t>
  </si>
  <si>
    <t>MR12079</t>
  </si>
  <si>
    <t>Centrifugal Horizontal End Suction Pump - Head up to 20m - Power&gt;30 HP to 50 HP</t>
  </si>
  <si>
    <t>MR12080</t>
  </si>
  <si>
    <t>Centrifugal Horizontal End Suction Pump - Head up to 20m - Power&gt;50 HP to 99 HP</t>
  </si>
  <si>
    <t>MR12081</t>
  </si>
  <si>
    <t>Centrifugal Horizontal End Suction Pump - Head 20m to 50m - Power up to 10 HP</t>
  </si>
  <si>
    <t>MR12082</t>
  </si>
  <si>
    <t>Centrifugal Horizontal End Suction Pump - Head 20m to 50m - Power&gt;10 HP to 20 HP</t>
  </si>
  <si>
    <t>MR12083</t>
  </si>
  <si>
    <t>Centrifugal Horizontal End Suction Pump - Head 20m to 50m - Power&gt;20 HP to 30 HP</t>
  </si>
  <si>
    <t>MR12084</t>
  </si>
  <si>
    <t>Centrifugal Horizontal End Suction Pump - Head 20m to 50m - Power&gt;30 HP to 50 HP</t>
  </si>
  <si>
    <t>MR12085</t>
  </si>
  <si>
    <t>Centrifugal Horizontal End Suction Pump - Head 20m to 50m - Power&gt;50 HP to 99 HP</t>
  </si>
  <si>
    <t>MR12086</t>
  </si>
  <si>
    <t>Centrifugal Horizontal End Suction Pump - Head 50m to 100m - Power up to 10 HP</t>
  </si>
  <si>
    <t>MR12087</t>
  </si>
  <si>
    <t>Centrifugal Horizontal End Suction Pump - Head 50m to 100m - Power&gt;10 HP to 20 HP</t>
  </si>
  <si>
    <t>MR12088</t>
  </si>
  <si>
    <t>Centrifugal Horizontal End Suction Pump - Head 50m to 100m - Power&gt;20 HP to 30 HP</t>
  </si>
  <si>
    <t>MR12089</t>
  </si>
  <si>
    <t>Centrifugal Horizontal End Suction Pump - Head 50m to 100m - Power&gt;30 HP to 50 HP</t>
  </si>
  <si>
    <t>MR12090</t>
  </si>
  <si>
    <t>Centrifugal Horizontal End Suction Pump - Head 50m to 100m - Power&gt;50 HP to 99 HP</t>
  </si>
  <si>
    <t>MR12091</t>
  </si>
  <si>
    <t>Centrifugal Horizontal End Suction Pump - Head 50m to 100m - Power&gt;100 HP to 150 HP</t>
  </si>
  <si>
    <t>MR12092</t>
  </si>
  <si>
    <t>Centrifugal Horizontal End Suction Pump - Head 100m to 150m - Power&gt;30 HP to 50 HP</t>
  </si>
  <si>
    <t>MR12093</t>
  </si>
  <si>
    <t>Centrifugal Horizontal End Suction Pump - Head 100m to 150m - Power&gt;50 HP to 99 HP</t>
  </si>
  <si>
    <t>MR12094</t>
  </si>
  <si>
    <t>Centrifugal Horizontal End Suction Pump - Head 100m to 150m - Power&gt;100 HP to 150 HP</t>
  </si>
  <si>
    <t>MR12095</t>
  </si>
  <si>
    <t>Non - Clog Sewerage Pumps - Head up to 20m - Power up to 10 HP</t>
  </si>
  <si>
    <t>MR12096</t>
  </si>
  <si>
    <t>Non - Clog Sewerage Pumps - Head up to 20 m - Power&gt;10 HP to 20 HP</t>
  </si>
  <si>
    <t>MR12097</t>
  </si>
  <si>
    <t>Non - Clog Sewerage Pumps - Head up to 20 m - Power&gt;20 HP to 30 HP</t>
  </si>
  <si>
    <t>MR12098</t>
  </si>
  <si>
    <t>Non - Clog Sewerage Pumps - Head up to 20 m - Power&gt;30 HP to 50 HP</t>
  </si>
  <si>
    <t>MR12099</t>
  </si>
  <si>
    <t>Non - Clog Sewerage Pumps - Head up to 20 m - Power&gt;50 HP to 99 HP</t>
  </si>
  <si>
    <t>MR12100</t>
  </si>
  <si>
    <t>Non - Clog Sewerage Pumps - Head up to 20 m - Power&gt;100 HP to 150 HP</t>
  </si>
  <si>
    <t>MR12101</t>
  </si>
  <si>
    <t>Non - Clog Sewerage Pumps - Head up to 20 m - Power&gt;150 HP to 200 HP</t>
  </si>
  <si>
    <t>MR12102</t>
  </si>
  <si>
    <t>Non - Clog Sewerage Pumps - Head up to 20 m - Power - Above 200 HP</t>
  </si>
  <si>
    <t>MR12103</t>
  </si>
  <si>
    <t>Non - Clog Sewerage Pumps - Head 20 m to 50m - Power&gt;10 HP to 20 HP</t>
  </si>
  <si>
    <t>MR12104</t>
  </si>
  <si>
    <t>Non - Clog Sewerage Pumps - Head 20 m to 50m - Power&gt;20 HP to 30 HP</t>
  </si>
  <si>
    <t>MR12105</t>
  </si>
  <si>
    <t>Non - Clog Sewerage Pumps - Head 20 m to 50m - Power&gt;30 HP to 50 HP</t>
  </si>
  <si>
    <t>MR12106</t>
  </si>
  <si>
    <t>Non - Clog Sewerage Pumps - Head 20 m to 50m - Power&gt;50 HP to 99 HP</t>
  </si>
  <si>
    <t>MR12107</t>
  </si>
  <si>
    <t>Non - Clog Sewerage Pumps - Head 20 m to 50m - Power&gt;100 HP to 150 HP</t>
  </si>
  <si>
    <t>MR12108</t>
  </si>
  <si>
    <t>Non - Clog Sewerage Pumps - Head 20 m to 50m - Power&gt;150 HP to 200 HP</t>
  </si>
  <si>
    <t>MR12109</t>
  </si>
  <si>
    <t>Non - Clog Sewerage Pumps - Head 20 m to 50m - Power -Above 200 HP</t>
  </si>
  <si>
    <t>MR12110</t>
  </si>
  <si>
    <t>Non - Clog Sewerage Pumps - Head 50 m to 100m - Power&gt;150 HP to 200 HP</t>
  </si>
  <si>
    <t>MR12111</t>
  </si>
  <si>
    <t>Non - Clog Sewerage Pumps - Head 50 m to 100m - Power - Above 200 HP</t>
  </si>
  <si>
    <t>MR12112</t>
  </si>
  <si>
    <t>Soft Starter - Up to 10 HP</t>
  </si>
  <si>
    <t>MR12113</t>
  </si>
  <si>
    <t>Soft Starter -11 to 20 HP</t>
  </si>
  <si>
    <t>MR12114</t>
  </si>
  <si>
    <t>Soft Starter - 21 to 30 HP</t>
  </si>
  <si>
    <t>MR12115</t>
  </si>
  <si>
    <t>Soft Starter - 31 to 40 HP</t>
  </si>
  <si>
    <t>MR12116</t>
  </si>
  <si>
    <t>Soft Starter - 41 to 50 HP</t>
  </si>
  <si>
    <t>MR12117</t>
  </si>
  <si>
    <t>Soft Starter - 51 to 60 HP</t>
  </si>
  <si>
    <t>MR12118</t>
  </si>
  <si>
    <t>Soft Starter - 61 to 70 HP</t>
  </si>
  <si>
    <t>MR12119</t>
  </si>
  <si>
    <t>Soft Starter - 71 to 80 HP</t>
  </si>
  <si>
    <t>MR12120</t>
  </si>
  <si>
    <t>Soft Starter - 81 to 90 HP</t>
  </si>
  <si>
    <t>MR12121</t>
  </si>
  <si>
    <t>Soft Starter - 91 to 100 HP</t>
  </si>
  <si>
    <t>MR12122</t>
  </si>
  <si>
    <t>Soft Starter - 101 to 110 HP</t>
  </si>
  <si>
    <t>MR12123</t>
  </si>
  <si>
    <t>Soft Starter - 111 to 120 HP</t>
  </si>
  <si>
    <t>MR12124</t>
  </si>
  <si>
    <t>Soft Starter - 121 to 125 HP</t>
  </si>
  <si>
    <t>MR12125</t>
  </si>
  <si>
    <t>Soft Starter - 126 to 130 HP</t>
  </si>
  <si>
    <t>MR12126</t>
  </si>
  <si>
    <t>Soft Starter - 131 to 140 HP</t>
  </si>
  <si>
    <t>MR12127</t>
  </si>
  <si>
    <t>Soft Starter - 141 to 150 HP</t>
  </si>
  <si>
    <t>MR12128</t>
  </si>
  <si>
    <t>Soft Starter - 151 to 160 HP</t>
  </si>
  <si>
    <t>MR12129</t>
  </si>
  <si>
    <t>Soft Starter - 161 to 170 HP</t>
  </si>
  <si>
    <t>MR12130</t>
  </si>
  <si>
    <t>Soft Starter - 171 to 175 HP</t>
  </si>
  <si>
    <t>MR12131</t>
  </si>
  <si>
    <t>Soft Starter - 176 to 180 HP</t>
  </si>
  <si>
    <t>MR12132</t>
  </si>
  <si>
    <t>Soft Starter - 181 to 190 HP</t>
  </si>
  <si>
    <t>MR12133</t>
  </si>
  <si>
    <t>Soft Starter - 191 to 200 HP</t>
  </si>
  <si>
    <t>MR12134</t>
  </si>
  <si>
    <t>Soft Starter - 201 to 210 HP</t>
  </si>
  <si>
    <t>MR12135</t>
  </si>
  <si>
    <t>Soft Starter - 211 to 220 HP</t>
  </si>
  <si>
    <t>MR12136</t>
  </si>
  <si>
    <t>Soft Starter - 221 to 230 HP</t>
  </si>
  <si>
    <t>MR12137</t>
  </si>
  <si>
    <t>Soft Starter - 231 to 240 HP</t>
  </si>
  <si>
    <t>MR12138</t>
  </si>
  <si>
    <t>Soft Starter - 241 to 250 HP</t>
  </si>
  <si>
    <t>MR12139</t>
  </si>
  <si>
    <t>Soft Starter - 251 to 260 HP</t>
  </si>
  <si>
    <t>MR12140</t>
  </si>
  <si>
    <t>Soft Starter - 261 to 270 HP</t>
  </si>
  <si>
    <t>MR12141</t>
  </si>
  <si>
    <t>Soft Starter - 271 to 280 HP</t>
  </si>
  <si>
    <t>MR12142</t>
  </si>
  <si>
    <t>Soft Starter - 281 to 290 HP</t>
  </si>
  <si>
    <t>MR12143</t>
  </si>
  <si>
    <t>Soft Starter - 291 to 300 HP</t>
  </si>
  <si>
    <t>MR12144</t>
  </si>
  <si>
    <t>Soft Starter - 301 to 310 HP</t>
  </si>
  <si>
    <t>MR12145</t>
  </si>
  <si>
    <t>Soft Starter - 311 to 320 HP</t>
  </si>
  <si>
    <t>MR12146</t>
  </si>
  <si>
    <t>Soft Starter - 321 to 330 HP</t>
  </si>
  <si>
    <t>MR12147</t>
  </si>
  <si>
    <t>Soft Starter - 331 to 340 HP</t>
  </si>
  <si>
    <t>MR12148</t>
  </si>
  <si>
    <t>Soft Starter - 341 to 350 HP</t>
  </si>
  <si>
    <t>MR12149</t>
  </si>
  <si>
    <t>Soft Starter - 351 to 360 HP</t>
  </si>
  <si>
    <t>MR12150</t>
  </si>
  <si>
    <t>Soft Starter - 361 to 370 HP</t>
  </si>
  <si>
    <t>MR12151</t>
  </si>
  <si>
    <t>Soft Starter - 371 to 380 HP</t>
  </si>
  <si>
    <t>MR12152</t>
  </si>
  <si>
    <t>Soft Starter - 381 to 390 HP</t>
  </si>
  <si>
    <t>MR12153</t>
  </si>
  <si>
    <t>Soft Starter - 391 to 400 HP</t>
  </si>
  <si>
    <t>MR12154</t>
  </si>
  <si>
    <t>Soft Starter - 401 to 410 HP</t>
  </si>
  <si>
    <t>MR12155</t>
  </si>
  <si>
    <t>Soft Starter - 411 to 420 HP</t>
  </si>
  <si>
    <t>MR12156</t>
  </si>
  <si>
    <t>Soft Starter - 421 to 430 HP</t>
  </si>
  <si>
    <t>MR12157</t>
  </si>
  <si>
    <t>Soft Starter - 431 to 440 HP</t>
  </si>
  <si>
    <t>MR12158</t>
  </si>
  <si>
    <t>Soft Starter - 441 to 450 HP</t>
  </si>
  <si>
    <t>MR12159</t>
  </si>
  <si>
    <t>Soft Starter - 451 to 500 HP</t>
  </si>
  <si>
    <t>MR12160</t>
  </si>
  <si>
    <t>Variable Frequency Drive (VFD) Starter - Up to 10 HP</t>
  </si>
  <si>
    <t>MR12161</t>
  </si>
  <si>
    <t>Variable Frequency Drive (VFD) Starter - 11 to 20 HP</t>
  </si>
  <si>
    <t>MR12162</t>
  </si>
  <si>
    <t>Variable Frequency Drive (VFD) Starter - 21 to 30 HP</t>
  </si>
  <si>
    <t>MR12163</t>
  </si>
  <si>
    <t>Variable Frequency Drive (VFD) Starter - 31 to 40 HP</t>
  </si>
  <si>
    <t>MR12164</t>
  </si>
  <si>
    <t>Variable Frequency Drive (VFD) Starter - 41 to 50 HP</t>
  </si>
  <si>
    <t>MR12165</t>
  </si>
  <si>
    <t>Variable Frequency Drive (VFD) Starter - 51 to 60 HP</t>
  </si>
  <si>
    <t>MR12166</t>
  </si>
  <si>
    <t>Variable Frequency Drive (VFD) Starter - 61 to 70 HP</t>
  </si>
  <si>
    <t>MR12167</t>
  </si>
  <si>
    <t>Variable Frequency Drive (VFD) Starter - 71 to 80 HP</t>
  </si>
  <si>
    <t>MR12168</t>
  </si>
  <si>
    <t>Variable Frequency Drive (VFD) Starter - 81 to 90 HP</t>
  </si>
  <si>
    <t>MR12169</t>
  </si>
  <si>
    <t>Variable Frequency Drive (VFD) Starter - 91 to 100 HP</t>
  </si>
  <si>
    <t>MR12170</t>
  </si>
  <si>
    <t>Variable Frequency Drive (VFD) Starter - 101 to 110 HP</t>
  </si>
  <si>
    <t>MR12171</t>
  </si>
  <si>
    <t>Variable Frequency Drive (VFD) Starter -111 to 120 HP</t>
  </si>
  <si>
    <t>MR12172</t>
  </si>
  <si>
    <t>Variable Frequency Drive (VFD) Starter - 121 to 125 HP</t>
  </si>
  <si>
    <t>MR12173</t>
  </si>
  <si>
    <t>Variable Frequency Drive (VFD) Starter - 126 to 130 HP</t>
  </si>
  <si>
    <t>MR12174</t>
  </si>
  <si>
    <t>Variable Frequency Drive (VFD) Starter - 131 to 140 HP</t>
  </si>
  <si>
    <t>MR12175</t>
  </si>
  <si>
    <t>Variable Frequency Drive (VFD) Starter - 141 to 150 HP</t>
  </si>
  <si>
    <t>MR12176</t>
  </si>
  <si>
    <t>Variable Frequency Drive (VFD) Starter - 151 to 160 HP</t>
  </si>
  <si>
    <t>MR12177</t>
  </si>
  <si>
    <t>Variable Frequency Drive (VFD) Starter - 161 to 170 HP</t>
  </si>
  <si>
    <t>MR12178</t>
  </si>
  <si>
    <t>Variable Frequency Drive (VFD) Starter - 171 to 180 HP</t>
  </si>
  <si>
    <t>MR12179</t>
  </si>
  <si>
    <t>Variable Frequency Drive (VFD) Starter - 181 to 190 HP</t>
  </si>
  <si>
    <t>MR12180</t>
  </si>
  <si>
    <t>Variable Frequency Drive (VFD) Starter - 191 to 200 HP</t>
  </si>
  <si>
    <t>MR12181</t>
  </si>
  <si>
    <t>Variable Frequency Drive (VFD) Starter - 201 to 210 HP</t>
  </si>
  <si>
    <t>MR12182</t>
  </si>
  <si>
    <t>Variable Frequency Drive (VFD) Starter - 211 to 220 HP</t>
  </si>
  <si>
    <t>MR12183</t>
  </si>
  <si>
    <t>Variable Frequency Drive (VFD) Starter - 221 to 230 HP</t>
  </si>
  <si>
    <t>MR12184</t>
  </si>
  <si>
    <t>Variable Frequency Drive (VFD) Starter - 231 to 240 HP</t>
  </si>
  <si>
    <t>MR12185</t>
  </si>
  <si>
    <t>Variable Frequency Drive (VFD) Starter - 241 to 250 HP</t>
  </si>
  <si>
    <t>MR12186</t>
  </si>
  <si>
    <t>Variable Frequency Drive (VFD) Starter - 251 to 260 HP</t>
  </si>
  <si>
    <t>MR12187</t>
  </si>
  <si>
    <t>Variable Frequency Drive (VFD) Starter -261 to 270 HP</t>
  </si>
  <si>
    <t>MR12188</t>
  </si>
  <si>
    <t>Variable Frequency Drive (VFD) Starter - 271 to 280 HP</t>
  </si>
  <si>
    <t>MR12189</t>
  </si>
  <si>
    <t>Variable Frequency Drive (VFD) Starter - 281 to 290 HP</t>
  </si>
  <si>
    <t>MR12190</t>
  </si>
  <si>
    <t>Variable Frequency Drive (VFD) Starter - 291 to 300 HP</t>
  </si>
  <si>
    <t>MR12191</t>
  </si>
  <si>
    <t>Variable Frequency Drive (VFD) Starter - 301 to 310 HP</t>
  </si>
  <si>
    <t>MR12192</t>
  </si>
  <si>
    <t>Variable Frequency Drive (VFD) Starter - 311 to 320 HP</t>
  </si>
  <si>
    <t>MR12193</t>
  </si>
  <si>
    <t>Variable Frequency Drive (VFD) Starter - 321 to 330 HP</t>
  </si>
  <si>
    <t>MR12194</t>
  </si>
  <si>
    <t>Variable Frequency Drive (VFD) Starter - 331 to 340 HP</t>
  </si>
  <si>
    <t>MR12195</t>
  </si>
  <si>
    <t>Variable Frequency Drive (VFD) Starter - 341 to 350 HP</t>
  </si>
  <si>
    <t>MR12196</t>
  </si>
  <si>
    <t>Variable Frequency Drive (VFD) Starter - 351 to 360 HP</t>
  </si>
  <si>
    <t>MR12197</t>
  </si>
  <si>
    <t>Variable Frequency Drive (VFD) Starter - 361 to 370 HP</t>
  </si>
  <si>
    <t>MR12198</t>
  </si>
  <si>
    <t>Variable Frequency Drive (VFD) Starter - 371 to 380 HP</t>
  </si>
  <si>
    <t>MR12199</t>
  </si>
  <si>
    <t>Variable Frequency Drive (VFD) Starter - 381 to 390 HP</t>
  </si>
  <si>
    <t>MR12200</t>
  </si>
  <si>
    <t>Variable Frequency Drive (VFD) Starter -391 to 400 HP</t>
  </si>
  <si>
    <t>MR12201</t>
  </si>
  <si>
    <t>Variable Frequency Drive (VFD) Starter - 401 to 410 HP</t>
  </si>
  <si>
    <t>MR12202</t>
  </si>
  <si>
    <t>Variable Frequency Drive (VFD) Starter - 411 to 420 HP</t>
  </si>
  <si>
    <t>MR12203</t>
  </si>
  <si>
    <t>Variable Frequency Drive (VFD) Starter - 421 to 430 HP</t>
  </si>
  <si>
    <t>MR12204</t>
  </si>
  <si>
    <t>Variable Frequency Drive (VFD) Starter - 431 to 440 HP</t>
  </si>
  <si>
    <t>MR12205</t>
  </si>
  <si>
    <t>Variable Frequency Drive (VFD) Starter - 441 to 450 HP</t>
  </si>
  <si>
    <t>MR12206</t>
  </si>
  <si>
    <t>Star Delta Starter - Up to 10 HP</t>
  </si>
  <si>
    <t>MR12207</t>
  </si>
  <si>
    <t>Star Delta Starter - 11 to 20 HP</t>
  </si>
  <si>
    <t>MR12208</t>
  </si>
  <si>
    <t>Star Delta Starter - 21 to 30 HP</t>
  </si>
  <si>
    <t>MR12209</t>
  </si>
  <si>
    <t>Star Delta Starter -31 to 40 HP</t>
  </si>
  <si>
    <t>MR12210</t>
  </si>
  <si>
    <t>Star Delta Starter - 41 to 50 HP</t>
  </si>
  <si>
    <t>MR12211</t>
  </si>
  <si>
    <t>Star Delta Starter - 51 to 60 HP</t>
  </si>
  <si>
    <t>MR12212</t>
  </si>
  <si>
    <t>Star Delta Starter - 61 to 70 HP</t>
  </si>
  <si>
    <t>MR12213</t>
  </si>
  <si>
    <t>Star Delta Starter - 71 to 80 HP</t>
  </si>
  <si>
    <t>MR12214</t>
  </si>
  <si>
    <t>Star Delta Starter - 81 to 90 HP</t>
  </si>
  <si>
    <t>MR12215</t>
  </si>
  <si>
    <t>Star Delta Starter - 91 to 100 HP</t>
  </si>
  <si>
    <t>MR12216</t>
  </si>
  <si>
    <t>Star Delta Starter - 101 to 110 HP</t>
  </si>
  <si>
    <t>MR12217</t>
  </si>
  <si>
    <t>Star Delta Starter - 111 to 120 HP</t>
  </si>
  <si>
    <t>MR12218</t>
  </si>
  <si>
    <t>Star Delta Starter - 121 to 125 HP</t>
  </si>
  <si>
    <t>MR12219</t>
  </si>
  <si>
    <t>Star Delta Starter - 126 to 130 HP</t>
  </si>
  <si>
    <t>MR12220</t>
  </si>
  <si>
    <t>Star Delta Starter - 131 to 140 HP</t>
  </si>
  <si>
    <t>MR12221</t>
  </si>
  <si>
    <t>Star Delta Starter - 141 to 150 HP</t>
  </si>
  <si>
    <t>MR12222</t>
  </si>
  <si>
    <t>Soft Starter - HT - 3.3 KV - 201 to 250 HP</t>
  </si>
  <si>
    <t>MR12223</t>
  </si>
  <si>
    <t>Soft Starter - HT - 3.3 KV - 251 to 300 HP</t>
  </si>
  <si>
    <t>MR12224</t>
  </si>
  <si>
    <t>Soft Starter - HT - 3.3 KV -301 to 350 HP</t>
  </si>
  <si>
    <t>MR12225</t>
  </si>
  <si>
    <t>Soft Starter - HT - 3.3 KV -351 to 400 HP</t>
  </si>
  <si>
    <t>MR12226</t>
  </si>
  <si>
    <t>Soft Starter - HT - 3.3 KV -401 to 450 HP</t>
  </si>
  <si>
    <t>MR12227</t>
  </si>
  <si>
    <t>Soft Starter - HT - 3.3 KV -451 to 500 HP</t>
  </si>
  <si>
    <t>MR12228</t>
  </si>
  <si>
    <t>Soft Starter - HT - 6.6 KV - 501 to 600 HP</t>
  </si>
  <si>
    <t>MR12229</t>
  </si>
  <si>
    <t>Soft Starter - HT - 6.6 KV -601 to 700 HP</t>
  </si>
  <si>
    <t>MR12230</t>
  </si>
  <si>
    <t>Soft Starter - HT - 6.6 KV -701 to 800 HP</t>
  </si>
  <si>
    <t>MR12231</t>
  </si>
  <si>
    <t>Soft Starter - HT - 6.6 KV -801 to 900 HP</t>
  </si>
  <si>
    <t>MR12232</t>
  </si>
  <si>
    <t>Soft Starter - HT - 6.6 KV - 901 to 1000 HP</t>
  </si>
  <si>
    <t>MR12233</t>
  </si>
  <si>
    <t>Horizontal TEFC Squirrel Cage Induction Motors - 2 Pole - 0.37 KW</t>
  </si>
  <si>
    <t>MR12234</t>
  </si>
  <si>
    <t>Horizontal TEFC Squirrel Cage Induction Motors - 2 Pole - 0.55 KW</t>
  </si>
  <si>
    <t>MR12235</t>
  </si>
  <si>
    <t>Horizontal TEFC Squirrel Cage Induction Motors - 2 Pole - 0.75 KW</t>
  </si>
  <si>
    <t>MR12236</t>
  </si>
  <si>
    <t>Horizontal TEFC Squirrel Cage Induction Motors - 2 Pole - 1.1 KW</t>
  </si>
  <si>
    <t>MR12237</t>
  </si>
  <si>
    <t>Horizontal TEFC Squirrel Cage Induction Motors - 2 Pole - 1.5 KW</t>
  </si>
  <si>
    <t>MR12238</t>
  </si>
  <si>
    <t>Horizontal TEFC Squirrel Cage Induction Motors - 2 Pole - 2.2 KW</t>
  </si>
  <si>
    <t>MR12239</t>
  </si>
  <si>
    <t>Horizontal TEFC Squirrel Cage Induction Motors - 2 Pole - 3 KW</t>
  </si>
  <si>
    <t>MR12240</t>
  </si>
  <si>
    <t>Horizontal TEFC Squirrel Cage Induction Motors - 2 Pole - 3.7 KW</t>
  </si>
  <si>
    <t>MR12241</t>
  </si>
  <si>
    <t>Horizontal TEFC Squirrel Cage Induction Motors - 2 Pole - 5.5 KW</t>
  </si>
  <si>
    <t>MR12242</t>
  </si>
  <si>
    <t>Horizontal TEFC Squirrel Cage Induction Motors - 2 Pole - 7.5 KW</t>
  </si>
  <si>
    <t>MR12243</t>
  </si>
  <si>
    <t>Horizontal TEFC Squirrel Cage Induction Motors - 2 Pole - 9.3 KW</t>
  </si>
  <si>
    <t>MR12244</t>
  </si>
  <si>
    <t>Horizontal TEFC Squirrel Cage Induction Motors - 2 Pole - 11 KW</t>
  </si>
  <si>
    <t>MR12245</t>
  </si>
  <si>
    <t>Horizontal TEFC Squirrel Cage Induction Motors - 2 Pole - 15 KW</t>
  </si>
  <si>
    <t>MR12246</t>
  </si>
  <si>
    <t>Horizontal TEFC Squirrel Cage Induction Motors - 2 Pole - 18.5 KW</t>
  </si>
  <si>
    <t>MR12247</t>
  </si>
  <si>
    <t>Horizontal TEFC Squirrel Cage Induction Motors - 2 Pole - 22 KW</t>
  </si>
  <si>
    <t>MR12248</t>
  </si>
  <si>
    <t>Horizontal TEFC Squirrel Cage Induction Motors - 2 Pole - 30 KW</t>
  </si>
  <si>
    <t>MR12249</t>
  </si>
  <si>
    <t>Horizontal TEFC Squirrel Cage Induction Motors - 2 Pole - 37 KW</t>
  </si>
  <si>
    <t>MR12250</t>
  </si>
  <si>
    <t>Horizontal TEFC Squirrel Cage Induction Motors - 2 Pole - 45 KW</t>
  </si>
  <si>
    <t>MR12251</t>
  </si>
  <si>
    <t>Horizontal TEFC Squirrel Cage Induction Motors - 2 Pole - 55 KW</t>
  </si>
  <si>
    <t>MR12252</t>
  </si>
  <si>
    <t>Horizontal TEFC Squirrel Cage Induction Motors - 2 Pole - 75 KW</t>
  </si>
  <si>
    <t>MR12253</t>
  </si>
  <si>
    <t>Horizontal TEFC Squirrel Cage Induction Motors - 2 Pole - 90 KW</t>
  </si>
  <si>
    <t>MR12254</t>
  </si>
  <si>
    <t>Horizontal TEFC Squirrel Cage Induction Motors - 2 Pole - 110 KW</t>
  </si>
  <si>
    <t>MR12255</t>
  </si>
  <si>
    <t>Horizontal TEFC Squirrel Cage Induction Motors - 2 Pole - 132 KW</t>
  </si>
  <si>
    <t>MR12256</t>
  </si>
  <si>
    <t>Horizontal TEFC Squirrel Cage Induction Motors - 2 Pole - 160 KW</t>
  </si>
  <si>
    <t>MR12257</t>
  </si>
  <si>
    <t>Horizontal TEFC Squirrel Cage Induction Motors - 2 Pole - 180 KW</t>
  </si>
  <si>
    <t>MR12258</t>
  </si>
  <si>
    <t>Horizontal TEFC Squirrel Cage Induction Motors - 2 Pole - 200 KW</t>
  </si>
  <si>
    <t>MR12259</t>
  </si>
  <si>
    <t>Horizontal TEFC Squirrel Cage Induction Motors - 2 Pole - 225 KW</t>
  </si>
  <si>
    <t>MR12260</t>
  </si>
  <si>
    <t>Horizontal TEFC Squirrel Cage Induction Motors - 2 Pole - 250 KW</t>
  </si>
  <si>
    <t>MR12261</t>
  </si>
  <si>
    <t>Horizontal TEFC Squirrel Cage Induction Motors - 2 Pole - 275 KW</t>
  </si>
  <si>
    <t>MR12262</t>
  </si>
  <si>
    <t>Horizontal TEFC Squirrel Cage Induction Motors - 2 Pole - 315 KW</t>
  </si>
  <si>
    <t>MR12263</t>
  </si>
  <si>
    <t>Horizontal TEFC Squirrel Cage Induction Motors - 4 Pole - 0.37 KW</t>
  </si>
  <si>
    <t>MR12264</t>
  </si>
  <si>
    <t>Horizontal TEFC Squirrel Cage Induction Motors - 4 Pole - 0.55 KW</t>
  </si>
  <si>
    <t>MR12265</t>
  </si>
  <si>
    <t>Horizontal TEFC Squirrel Cage Induction Motors - 4 Pole - 0.75 KW</t>
  </si>
  <si>
    <t>MR12266</t>
  </si>
  <si>
    <t>Horizontal TEFC Squirrel Cage Induction Motors - 4 Pole - 1.1 KW</t>
  </si>
  <si>
    <t>MR12267</t>
  </si>
  <si>
    <t>Horizontal TEFC Squirrel Cage Induction Motors - 4 Pole - 1.5 KW</t>
  </si>
  <si>
    <t>MR12268</t>
  </si>
  <si>
    <t>Horizontal TEFC Squirrel Cage Induction Motors - 4 Pole - 2.2 KW</t>
  </si>
  <si>
    <t>MR12269</t>
  </si>
  <si>
    <t>Horizontal TEFC Squirrel Cage Induction Motors - 4 Pole - 3 KW</t>
  </si>
  <si>
    <t>MR12270</t>
  </si>
  <si>
    <t>Horizontal TEFC Squirrel Cage Induction Motors - 4 Pole - 3.7 KW</t>
  </si>
  <si>
    <t>MR12271</t>
  </si>
  <si>
    <t>Horizontal TEFC Squirrel Cage Induction Motors - 4 Pole - 5.5 KW</t>
  </si>
  <si>
    <t>MR12272</t>
  </si>
  <si>
    <t>Horizontal TEFC Squirrel Cage Induction Motors - 4 Pole - 7.5 KW</t>
  </si>
  <si>
    <t>MR12273</t>
  </si>
  <si>
    <t>Horizontal TEFC Squirrel Cage Induction Motors - 4 Pole - 9.3 KW</t>
  </si>
  <si>
    <t>MR12274</t>
  </si>
  <si>
    <t>Horizontal TEFC Squirrel Cage Induction Motors - 4 Pole - 11 KW</t>
  </si>
  <si>
    <t>MR12275</t>
  </si>
  <si>
    <t>Horizontal TEFC Squirrel Cage Induction Motors - 4 Pole - 15 KW</t>
  </si>
  <si>
    <t>MR12276</t>
  </si>
  <si>
    <t>Horizontal TEFC Squirrel Cage Induction Motors - 4 Pole - 18.5 KW</t>
  </si>
  <si>
    <t>MR12277</t>
  </si>
  <si>
    <t>Horizontal TEFC Squirrel Cage Induction Motors - 4 Pole - 22 KW</t>
  </si>
  <si>
    <t>MR12278</t>
  </si>
  <si>
    <t>Horizontal TEFC Squirrel Cage Induction Motors - 4 Pole - 30 KW</t>
  </si>
  <si>
    <t>MR12279</t>
  </si>
  <si>
    <t>Horizontal TEFC Squirrel Cage Induction Motors - 4 Pole - 37 KW</t>
  </si>
  <si>
    <t>MR12280</t>
  </si>
  <si>
    <t>Horizontal TEFC Squirrel Cage Induction Motors - 4 Pole - 45 KW</t>
  </si>
  <si>
    <t>MR12281</t>
  </si>
  <si>
    <t>Horizontal TEFC Squirrel Cage Induction Motors - 4 Pole - 55 KW</t>
  </si>
  <si>
    <t>MR12282</t>
  </si>
  <si>
    <t>Horizontal TEFC Squirrel Cage Induction Motors - 4 Pole - 75 KW</t>
  </si>
  <si>
    <t>MR12283</t>
  </si>
  <si>
    <t>Horizontal TEFC Squirrel Cage Induction Motors - 4 Pole - 90 KW</t>
  </si>
  <si>
    <t>MR12284</t>
  </si>
  <si>
    <t>Horizontal TEFC Squirrel Cage Induction Motors - 4 Pole - 110 KW</t>
  </si>
  <si>
    <t>MR12285</t>
  </si>
  <si>
    <t>Horizontal TEFC Squirrel Cage Induction Motors - 4 Pole - 132 KW</t>
  </si>
  <si>
    <t>MR12286</t>
  </si>
  <si>
    <t>Horizontal TEFC Squirrel Cage Induction Motors - 4 Pole - 160 KW</t>
  </si>
  <si>
    <t>MR12287</t>
  </si>
  <si>
    <t>Horizontal TEFC Squirrel Cage Induction Motors - 4 Pole - 180 KW</t>
  </si>
  <si>
    <t>MR12288</t>
  </si>
  <si>
    <t>Horizontal TEFC Squirrel Cage Induction Motors - 4 Pole - 200 KW</t>
  </si>
  <si>
    <t>MR12289</t>
  </si>
  <si>
    <t>Horizontal TEFC Squirrel Cage Induction Motors - 4 Pole - 225 KW</t>
  </si>
  <si>
    <t>MR12290</t>
  </si>
  <si>
    <t>Horizontal TEFC Squirrel Cage Induction Motors - 4 Pole - 250 KW</t>
  </si>
  <si>
    <t>MR12291</t>
  </si>
  <si>
    <t>Horizontal TEFC Squirrel Cage Induction Motors - 4 Pole - 275 KW</t>
  </si>
  <si>
    <t>MR12292</t>
  </si>
  <si>
    <t>Horizontal TEFC Squirrel Cage Induction Motors - 4 Pole - 315 KW</t>
  </si>
  <si>
    <t>MR12293</t>
  </si>
  <si>
    <t>Horizontal TEFC Squirrel Cage Induction Motors - 6 Pole - 0.37 KW</t>
  </si>
  <si>
    <t>MR12294</t>
  </si>
  <si>
    <t>Horizontal TEFC Squirrel Cage Induction Motors - 6 Pole - 0.55 KW</t>
  </si>
  <si>
    <t>MR12295</t>
  </si>
  <si>
    <t>Horizontal TEFC Squirrel Cage Induction Motors - 6 Pole - 0.75 KW</t>
  </si>
  <si>
    <t>MR12296</t>
  </si>
  <si>
    <t>Horizontal TEFC Squirrel Cage Induction Motors - 6 Pole - 1.1 KW</t>
  </si>
  <si>
    <t>MR12297</t>
  </si>
  <si>
    <t>Horizontal TEFC Squirrel Cage Induction Motors - 6 Pole - 1.5 KW</t>
  </si>
  <si>
    <t>MR12298</t>
  </si>
  <si>
    <t>Horizontal TEFC Squirrel Cage Induction Motors - 6 Pole - 2.2 KW</t>
  </si>
  <si>
    <t>MR12299</t>
  </si>
  <si>
    <t>Horizontal TEFC Squirrel Cage Induction Motors - 6 Pole - 3 KW</t>
  </si>
  <si>
    <t>MR12300</t>
  </si>
  <si>
    <t>Horizontal TEFC Squirrel Cage Induction Motors - 6 Pole - 3.7 KW</t>
  </si>
  <si>
    <t>MR12301</t>
  </si>
  <si>
    <t>Horizontal TEFC Squirrel Cage Induction Motors - 6 Pole - 5.5 KW</t>
  </si>
  <si>
    <t>MR12302</t>
  </si>
  <si>
    <t>Horizontal TEFC Squirrel Cage Induction Motors - 6 Pole - 7.5 KW</t>
  </si>
  <si>
    <t>MR12303</t>
  </si>
  <si>
    <t>Horizontal TEFC Squirrel Cage Induction Motors - 6 Pole - 9.3 KW</t>
  </si>
  <si>
    <t>MR12304</t>
  </si>
  <si>
    <t>Horizontal TEFC Squirrel Cage Induction Motors - 6 Pole - 11 KW</t>
  </si>
  <si>
    <t>MR12305</t>
  </si>
  <si>
    <t>Horizontal TEFC Squirrel Cage Induction Motors - 6 Pole - 15 KW</t>
  </si>
  <si>
    <t>MR12306</t>
  </si>
  <si>
    <t>Horizontal TEFC Squirrel Cage Induction Motors - 6 Pole - 18.5 KW</t>
  </si>
  <si>
    <t>MR12307</t>
  </si>
  <si>
    <t>Horizontal TEFC Squirrel Cage Induction Motors - 6 Pole - 22 KW</t>
  </si>
  <si>
    <t>MR12308</t>
  </si>
  <si>
    <t>Horizontal TEFC Squirrel Cage Induction Motors - 6 Pole - 30 KW</t>
  </si>
  <si>
    <t>MR12309</t>
  </si>
  <si>
    <t>Horizontal TEFC Squirrel Cage Induction Motors - 6 Pole - 37 KW</t>
  </si>
  <si>
    <t>MR12310</t>
  </si>
  <si>
    <t>Horizontal TEFC Squirrel Cage Induction Motors - 6 Pole - 45 KW</t>
  </si>
  <si>
    <t>MR12311</t>
  </si>
  <si>
    <t>Horizontal TEFC Squirrel Cage Induction Motors - 6 Pole - 55 KW</t>
  </si>
  <si>
    <t>MR12312</t>
  </si>
  <si>
    <t>Horizontal TEFC Squirrel Cage Induction Motors - 6 Pole - 75 KW</t>
  </si>
  <si>
    <t>MR12313</t>
  </si>
  <si>
    <t>Horizontal TEFC Squirrel Cage Induction Motors - 6 Pole - 90 KW</t>
  </si>
  <si>
    <t>MR12314</t>
  </si>
  <si>
    <t>Horizontal TEFC Squirrel Cage Induction Motors - 6 Pole - 110 KW</t>
  </si>
  <si>
    <t>MR12315</t>
  </si>
  <si>
    <t>Horizontal TEFC Squirrel Cage Induction Motors - 6 Pole - 132 KW</t>
  </si>
  <si>
    <t>MR12316</t>
  </si>
  <si>
    <t>Horizontal TEFC Squirrel Cage Induction Motors - 6 Pole - 160 KW</t>
  </si>
  <si>
    <t>MR12317</t>
  </si>
  <si>
    <t>Horizontal TEFC Squirrel Cage Induction Motors - 6 Pole - 180 KW</t>
  </si>
  <si>
    <t>MR12318</t>
  </si>
  <si>
    <t>Horizontal TEFC Squirrel Cage Induction Motors - 6 Pole - 200 KW</t>
  </si>
  <si>
    <t>MR12319</t>
  </si>
  <si>
    <t>Horizontal TEFC Squirrel Cage Induction Motors - 6 Pole - 225 KW</t>
  </si>
  <si>
    <t>MR12320</t>
  </si>
  <si>
    <t>Horizontal TEFC Squirrel Cage Induction Motors - 6 Pole - 250 KW</t>
  </si>
  <si>
    <t>MR12321</t>
  </si>
  <si>
    <t>Horizontal TEFC Squirrel Cage Induction Motors - 6 Pole - 275 KW</t>
  </si>
  <si>
    <t>MR12322</t>
  </si>
  <si>
    <t>Horizontal TEFC Squirrel Cage Induction Motors - 6 Pole - 315 KW</t>
  </si>
  <si>
    <t>MR12323</t>
  </si>
  <si>
    <t>Horizontal TEFC Squirrel Cage Induction Motors - 8 Pole - 0.37 KW</t>
  </si>
  <si>
    <t>MR12324</t>
  </si>
  <si>
    <t>Horizontal TEFC Squirrel Cage Induction Motors - 8 Pole - 0.55 KW</t>
  </si>
  <si>
    <t>MR12325</t>
  </si>
  <si>
    <t>Horizontal TEFC Squirrel Cage Induction Motors - 8 Pole - 0.75 KW</t>
  </si>
  <si>
    <t>MR12326</t>
  </si>
  <si>
    <t>Horizontal TEFC Squirrel Cage Induction Motors - 8 Pole -1.1 KW</t>
  </si>
  <si>
    <t>MR12327</t>
  </si>
  <si>
    <t>Horizontal TEFC Squirrel Cage Induction Motors - 8 Pole - 1.5 KW</t>
  </si>
  <si>
    <t>MR12328</t>
  </si>
  <si>
    <t>Horizontal TEFC Squirrel Cage Induction Motors - 8 Pole - 2.2 KW</t>
  </si>
  <si>
    <t>MR12329</t>
  </si>
  <si>
    <t>Horizontal TEFC Squirrel Cage Induction Motors - 8 Pole - 3 KW</t>
  </si>
  <si>
    <t>MR12330</t>
  </si>
  <si>
    <t>Horizontal TEFC Squirrel Cage Induction Motors - 8 Pole - 3.7 KW</t>
  </si>
  <si>
    <t>MR12331</t>
  </si>
  <si>
    <t>Horizontal TEFC Squirrel Cage Induction Motors - 8 Pole - 5.5 KW</t>
  </si>
  <si>
    <t>MR12332</t>
  </si>
  <si>
    <t>Horizontal TEFC Squirrel Cage Induction Motors - 8 Pole - 7.5 KW</t>
  </si>
  <si>
    <t>MR12333</t>
  </si>
  <si>
    <t>Horizontal TEFC Squirrel Cage Induction Motors - 8 Pole - 9.3 KW</t>
  </si>
  <si>
    <t>MR12334</t>
  </si>
  <si>
    <t>Horizontal TEFC Squirrel Cage Induction Motors - 8 Pole - 11 KW</t>
  </si>
  <si>
    <t>MR12335</t>
  </si>
  <si>
    <t>Horizontal TEFC Squirrel Cage Induction Motors - 8 Pole -15 KW</t>
  </si>
  <si>
    <t>MR12336</t>
  </si>
  <si>
    <t>Horizontal TEFC Squirrel Cage Induction Motors - 8 Pole -18.5 KW</t>
  </si>
  <si>
    <t>MR12337</t>
  </si>
  <si>
    <t>Horizontal TEFC Squirrel Cage Induction Motors - 8 Pole - 22 KW</t>
  </si>
  <si>
    <t>MR12338</t>
  </si>
  <si>
    <t>Horizontal TEFC Squirrel Cage Induction Motors - 8 Pole - 30 KW</t>
  </si>
  <si>
    <t>MR12339</t>
  </si>
  <si>
    <t>Horizontal TEFC Squirrel Cage Induction Motors - 8 Pole - 37 KW</t>
  </si>
  <si>
    <t>MR12340</t>
  </si>
  <si>
    <t>Horizontal TEFC Squirrel Cage Induction Motors - 8 Pole - 45 KW</t>
  </si>
  <si>
    <t>MR12341</t>
  </si>
  <si>
    <t>Horizontal TEFC Squirrel Cage Induction Motors - 8 Pole - 55 KW</t>
  </si>
  <si>
    <t>MR12342</t>
  </si>
  <si>
    <t>Horizontal TEFC Squirrel Cage Induction Motors - 8 Pole - 75 KW</t>
  </si>
  <si>
    <t>MR12343</t>
  </si>
  <si>
    <t>Horizontal TEFC Squirrel Cage Induction Motors - 8 Pole - 90 KW</t>
  </si>
  <si>
    <t>MR12344</t>
  </si>
  <si>
    <t>Horizontal TEFC Squirrel Cage Induction Motors - 8 Pole - 110 KW</t>
  </si>
  <si>
    <t>MR12345</t>
  </si>
  <si>
    <t>Horizontal TEFC Squirrel Cage Induction Motors - 8 Pole - 132 KW</t>
  </si>
  <si>
    <t>MR12346</t>
  </si>
  <si>
    <t>Horizontal TEFC Squirrel Cage Induction Motors - 8 Pole - 200 KW</t>
  </si>
  <si>
    <t>MR12347</t>
  </si>
  <si>
    <t>Horizontal TEFC Squirrel Cage Induction Motors - 8 Pole - 225 KW</t>
  </si>
  <si>
    <t>MR12348</t>
  </si>
  <si>
    <t>Horizontal TEFC Squirrel Cage Induction Motors - 8 Pole - 250 KW</t>
  </si>
  <si>
    <t>MR12349</t>
  </si>
  <si>
    <t>Horizontal TEFC Squirrel Cage Induction Motors - 8 Pole - 275 KW</t>
  </si>
  <si>
    <t>MR12350</t>
  </si>
  <si>
    <t>Horizontal TEFC Squirrel Cage Induction Motors - 8 Pole - 315 KW</t>
  </si>
  <si>
    <t>SERVICE</t>
  </si>
  <si>
    <t>MR20001</t>
  </si>
  <si>
    <t>Mobilization including transportation of all necessary plant and equipment's and materials of boring, field testing and sampling and demobilization after completing the work - For machine boring.</t>
  </si>
  <si>
    <t>MR20002</t>
  </si>
  <si>
    <t>Mobilization including transportation of all necessary plant and equipment's and materials of boring, field testing and sampling and demobilization after completing the work - For hand boring.</t>
  </si>
  <si>
    <t>MR20003</t>
  </si>
  <si>
    <t>Setting up boring at each bore hole locations including carrying all necessary plant, equipment and materials of boring and field tests and collection of samples at each bore hole location - For machine boring.</t>
  </si>
  <si>
    <t>Bore Holes</t>
  </si>
  <si>
    <t>MR20004</t>
  </si>
  <si>
    <t>Setting up boring at each bore hole locations including carrying all necessary plant, equipment and materials of boring and field tests and collection of samples at each bore hole location - For hand boring.</t>
  </si>
  <si>
    <t>MR20005</t>
  </si>
  <si>
    <t>Boring with rotary power drilling equipment's in - all types of soil having N value less than 50 excluding hard rock, soft rock or medium rock for strata upto 10m including conducting necessary
S.P.T and recovery of undisturbed soil samples at 5m intervals - For
ordinary soil.</t>
  </si>
  <si>
    <t>MR20006</t>
  </si>
  <si>
    <t>Boring with rotary power drilling equipment's in - all types of soil having N value less than 50 excluding hard rock, soft rock or medium rock for strata upto 10m including conducting necessary
S.P.T and recovery of undisturbed soil samples at 5m intervals - For
under water.</t>
  </si>
  <si>
    <t>MR20007</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</si>
  <si>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ordinary soil.</t>
  </si>
  <si>
    <t>MR20008</t>
  </si>
  <si>
    <t>Boring with rotary power drilling equipment's in - all types of soil having N value less than 50 excluding hard rock, soft rock or medium rock for strata next 10m and upto a depth of 20m including conducting necessary S.P.T and recovery of undisturbed soil samples at 5m intervals - For under water.</t>
  </si>
  <si>
    <t>MR20009</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</si>
  <si>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ordinary soil.</t>
  </si>
  <si>
    <t>MR20010</t>
  </si>
  <si>
    <t>Boring with rotary power drilling equipment's in - all types of soil having N value less than 50 excluding hard rock, soft rock or medium rock for strata next 10m and upto a depth of 30m including conducting necessary S.P.T and recovery of undisturbed soil samples at 5m intervals - For under water.</t>
  </si>
  <si>
    <t>MR20011</t>
  </si>
  <si>
    <t>Boring with rotary power drilling equipment's in - all types of soil having N value less than 50 excluding hard rock, soft rock or medium rock for strata above 30m depth including conducting necessary S.P.T and recovery of undisturbed soil samples at 5m intervals - For ordinary soil.</t>
  </si>
  <si>
    <t>MR20012</t>
  </si>
  <si>
    <t>Boring with rotary power drilling equipment's in - all types of soil having N value less than 50 excluding hard rock, soft rock or medium rock for strata above 30m depth including conducting necessary S.P.T and recovery of undisturbed soil samples at 5m intervals - For under water.</t>
  </si>
  <si>
    <t>MR20013</t>
  </si>
  <si>
    <t>Boring through all type of hard rock or similar refusal strata of N value greater than 50 using diamond core drilling bit for in land under water and banks of river.</t>
  </si>
  <si>
    <t>MR20014</t>
  </si>
  <si>
    <t>Boring through all classes of rock excluding hard rocks having N value greater than 50 using tungsten carbide drilling bit - In land</t>
  </si>
  <si>
    <t>MR20015</t>
  </si>
  <si>
    <t>Boring through all classes of rock excluding hard rocks having N value greater than 50 using tungsten carbide drilling bit - In Water</t>
  </si>
  <si>
    <t>MR20016</t>
  </si>
  <si>
    <t>Recovering undisturbed soil samples using thin tube sampler of 75mm.to 100mm length internal dia 500mm length conforming to relevant IS Code at any required depth including clearing the bore hole etc complete.</t>
  </si>
  <si>
    <t>MR20017</t>
  </si>
  <si>
    <t>Conducting standard penetration test in bore hole at any depth.</t>
  </si>
  <si>
    <t>MR20018</t>
  </si>
  <si>
    <t>Recovering disturbed samples and preserving the same in air tight sample containers including waxing labelling packing storing including cost of containers as per IS Code.</t>
  </si>
  <si>
    <t>MR20019</t>
  </si>
  <si>
    <t>Erecting platform over 2 nos of 2nd Class Boat using Mango wood planks of not less than 30 mm thick, Mango wood joists of 100 mm x 70 mm at 60 cm intervals including labour and hire of all materials and dismantling the platform after completion of work etc complete. excluding hire of boats (A Platform of minimum size 6.00 m x 5.00 m will be required)</t>
  </si>
  <si>
    <t>MR20020</t>
  </si>
  <si>
    <t>Hire charges for providing 2 nos of 2nd Class boat with boatman for erecting the platform over which the boring plant is to be erected, and 1 no of 2nd Class boat with 1 boatman for conveying the departmental staff and labour engaged from the banks to platform and back etc.</t>
  </si>
  <si>
    <t>MR20021</t>
  </si>
  <si>
    <t>Compilation of all field data with recommendation for a suitable foundation after conducting necessary lab test (report in triplicate) - Machine boring for 5 bore holes.</t>
  </si>
  <si>
    <t>MR20022</t>
  </si>
  <si>
    <t>Compilation of all field data with recommendation for a suitable foundation after conducting necessary lab test (report in triplicate) - Hand boring for 5 bore holes.</t>
  </si>
  <si>
    <t>MR20023</t>
  </si>
  <si>
    <t>Compilation of all field data with recommendation for a suitable foundation after conducting necessary lab test (report in triplicate) - Machine boring - Extra for additional set for bore holes exceeding 5 nos.</t>
  </si>
  <si>
    <t>MR20024</t>
  </si>
  <si>
    <t>Total station surveying and preparation of site plan - Plain and open area without hindrance to line of sight with 1 m contour intervals , with 5m x 5m interval.</t>
  </si>
  <si>
    <t>Hectare</t>
  </si>
  <si>
    <t>MR20025</t>
  </si>
  <si>
    <t>Total station surveying and preparation of site plan - Plain built up area with hindrance to line of sight due to buildings/structures.</t>
  </si>
  <si>
    <t>MR20026</t>
  </si>
  <si>
    <t>Total station surveying and preparation of site plan - In hilly terrain</t>
  </si>
  <si>
    <t>MR20027</t>
  </si>
  <si>
    <t>Providing access to the site clearing site and making good for surveying in order to provide clear line of site devoid of any hindrance due to vegetation etc. and clearing areas for station points.</t>
  </si>
  <si>
    <t>MR20028</t>
  </si>
  <si>
    <t>Cross sectional details - River.</t>
  </si>
  <si>
    <t>MR20029</t>
  </si>
  <si>
    <t>Cross sectional details - Thodu.</t>
  </si>
  <si>
    <t>MR20030</t>
  </si>
  <si>
    <t>Hydraulic Velocity Calculation - River.</t>
  </si>
  <si>
    <t>MR20031</t>
  </si>
  <si>
    <t>Hydraulic Velocity Calculation - Thodu.</t>
  </si>
  <si>
    <t>MR20032</t>
  </si>
  <si>
    <t>Preparation of Detailed Project Report of the bridge works containing alignment plan, key plan, contour plan , index map, longitudinal and cross section of road and River/Thodu cross section of bridge hydraulic and velocity calculations including neat filing and supplying five set DPR etc. as per the directions of the departmental officers.</t>
  </si>
  <si>
    <t>MR20033</t>
  </si>
  <si>
    <t>Providing access to the site,clearing site and making good to erecting and conducting soil testing transfers within the site and for any other temporary arrangements to be erected within the area in connection with conducting soil testing.</t>
  </si>
  <si>
    <t>MR20034</t>
  </si>
  <si>
    <t>Structural design of building up to 1000 m2.</t>
  </si>
  <si>
    <t>MR20035</t>
  </si>
  <si>
    <t>Structural design of building for additional area.</t>
  </si>
  <si>
    <t>MR20036</t>
  </si>
  <si>
    <t>Preparation of structural design for infrastructures such as water tank, sump, culverts, retaining wall etc.</t>
  </si>
  <si>
    <t>Percentage</t>
  </si>
  <si>
    <t>MR20037</t>
  </si>
  <si>
    <t>Preparation of detailed estimate based on standard data</t>
  </si>
  <si>
    <t>MR20038</t>
  </si>
  <si>
    <t>Preparation of architectural drawing</t>
  </si>
</sst>
</file>

<file path=xl/styles.xml><?xml version="1.0" encoding="utf-8"?>
<styleSheet xmlns="http://schemas.openxmlformats.org/spreadsheetml/2006/main" xmlns:x14ac="http://schemas.microsoft.com/office/spreadsheetml/2009/9/ac" xmlns:mc="http://schemas.openxmlformats.org/markup-compatibility/2006">
  <numFmts count="12">
    <numFmt numFmtId="164" formatCode="#,##0.0000"/>
    <numFmt numFmtId="165" formatCode="0.000"/>
    <numFmt numFmtId="166" formatCode="#,##0.000"/>
    <numFmt numFmtId="167" formatCode="0.00;[Red]0.00"/>
    <numFmt numFmtId="168" formatCode="0.00;[RED]0.00"/>
    <numFmt numFmtId="169" formatCode="0.0;[RED]\-0.0"/>
    <numFmt numFmtId="170" formatCode="0.000;[RED]0.000"/>
    <numFmt numFmtId="171" formatCode="0.00000"/>
    <numFmt numFmtId="172" formatCode="0.0000;[RED]0.0000"/>
    <numFmt numFmtId="173" formatCode="0.0000;[RED]\-0.0000"/>
    <numFmt numFmtId="174" formatCode="0.000;[RED]\-0.000"/>
    <numFmt numFmtId="175" formatCode="dd-mm-yyyy"/>
  </numFmts>
  <fonts count="31">
    <font>
      <sz val="11.0"/>
      <color rgb="FF000000"/>
      <name val="Calibri"/>
      <scheme val="minor"/>
    </font>
    <font>
      <b/>
      <sz val="12.0"/>
      <color theme="1"/>
      <name val="Cambria"/>
    </font>
    <font/>
    <font>
      <sz val="12.0"/>
      <color theme="1"/>
      <name val="Cambria"/>
    </font>
    <font>
      <b/>
      <sz val="12.0"/>
      <color rgb="FFFFFFFF"/>
      <name val="Cambria"/>
    </font>
    <font>
      <b/>
      <i/>
      <sz val="12.0"/>
      <color rgb="FFFFFFFF"/>
      <name val="Cambria"/>
    </font>
    <font>
      <b/>
      <sz val="13.0"/>
      <color rgb="FFFFFFFF"/>
      <name val="Cambria"/>
    </font>
    <font>
      <b/>
      <sz val="13.0"/>
      <color rgb="FF212529"/>
      <name val="Cambria"/>
    </font>
    <font>
      <sz val="13.0"/>
      <color rgb="FF212529"/>
      <name val="Cambria"/>
    </font>
    <font>
      <sz val="13.0"/>
      <color theme="1"/>
      <name val="Cambria"/>
    </font>
    <font>
      <b/>
      <sz val="13.0"/>
      <color rgb="FF000000"/>
      <name val="Cambria"/>
    </font>
    <font>
      <b/>
      <sz val="12.0"/>
      <color rgb="FF212529"/>
      <name val="Cambria"/>
    </font>
    <font>
      <sz val="12.0"/>
      <color rgb="FF212529"/>
      <name val="Cambria"/>
    </font>
    <font>
      <sz val="12.0"/>
      <color rgb="FFFF0000"/>
      <name val="Cambria"/>
    </font>
    <font>
      <color theme="1"/>
      <name val="Cambria"/>
    </font>
    <font>
      <b/>
      <sz val="13.0"/>
      <color theme="1"/>
      <name val="Cambria"/>
    </font>
    <font>
      <sz val="12.0"/>
      <color rgb="FF000000"/>
      <name val="Cambria"/>
    </font>
    <font>
      <b/>
      <sz val="12.0"/>
      <color rgb="FF000000"/>
      <name val="Cambria"/>
    </font>
    <font>
      <b/>
      <sz val="11.0"/>
      <color theme="1"/>
      <name val="Cambria"/>
    </font>
    <font>
      <b/>
      <sz val="11.0"/>
      <color theme="0"/>
      <name val="Cambria"/>
    </font>
    <font>
      <sz val="11.0"/>
      <color theme="1"/>
      <name val="Cambria"/>
    </font>
    <font>
      <sz val="11.0"/>
      <color rgb="FF000000"/>
      <name val="Cambria"/>
    </font>
    <font>
      <b/>
      <u/>
      <sz val="12.0"/>
      <color theme="1"/>
      <name val="Cambria"/>
    </font>
    <font>
      <sz val="13.0"/>
      <color rgb="FF000000"/>
      <name val="Cambria"/>
    </font>
    <font>
      <b/>
      <sz val="11.0"/>
      <color rgb="FFFF0000"/>
      <name val="Cambria"/>
    </font>
    <font>
      <sz val="11.0"/>
      <color rgb="FFFF0000"/>
      <name val="Cambria"/>
    </font>
    <font>
      <b/>
      <sz val="12.0"/>
      <color rgb="FFFF0000"/>
      <name val="Cambria"/>
    </font>
    <font>
      <b/>
      <color theme="1"/>
      <name val="Cambria"/>
    </font>
    <font>
      <b/>
      <i/>
      <color theme="1"/>
      <name val="Cambria"/>
    </font>
    <font>
      <i/>
      <color theme="1"/>
      <name val="Cambria"/>
    </font>
    <font>
      <color theme="1"/>
      <name val="Calibri"/>
      <scheme val="minor"/>
    </font>
  </fonts>
  <fills count="23">
    <fill>
      <patternFill patternType="none"/>
    </fill>
    <fill>
      <patternFill patternType="lightGray"/>
    </fill>
    <fill>
      <patternFill patternType="solid">
        <fgColor rgb="FFD9D2E9"/>
        <bgColor rgb="FFD9D2E9"/>
      </patternFill>
    </fill>
    <fill>
      <patternFill patternType="solid">
        <fgColor rgb="FFEAD1DC"/>
        <bgColor rgb="FFEAD1DC"/>
      </patternFill>
    </fill>
    <fill>
      <patternFill patternType="solid">
        <fgColor rgb="FF3C78D8"/>
        <bgColor rgb="FF3C78D8"/>
      </patternFill>
    </fill>
    <fill>
      <patternFill patternType="solid">
        <fgColor rgb="FF212529"/>
        <bgColor rgb="FF212529"/>
      </patternFill>
    </fill>
    <fill>
      <patternFill patternType="solid">
        <fgColor rgb="FF000000"/>
        <bgColor rgb="FF000000"/>
      </patternFill>
    </fill>
    <fill>
      <patternFill patternType="solid">
        <fgColor rgb="FFFFFFFF"/>
        <bgColor rgb="FFFFFFFF"/>
      </patternFill>
    </fill>
    <fill>
      <patternFill patternType="solid">
        <fgColor rgb="FFE0F7FA"/>
        <bgColor rgb="FFE0F7FA"/>
      </patternFill>
    </fill>
    <fill>
      <patternFill patternType="solid">
        <fgColor rgb="FFC9DAF8"/>
        <bgColor rgb="FFC9DAF8"/>
      </patternFill>
    </fill>
    <fill>
      <patternFill patternType="solid">
        <fgColor rgb="FFDEE2E6"/>
        <bgColor rgb="FFDEE2E6"/>
      </patternFill>
    </fill>
    <fill>
      <patternFill patternType="solid">
        <fgColor rgb="FFFFF2CC"/>
        <bgColor rgb="FFFFF2CC"/>
      </patternFill>
    </fill>
    <fill>
      <patternFill patternType="solid">
        <fgColor rgb="FFCFE2F3"/>
        <bgColor rgb="FFCFE2F3"/>
      </patternFill>
    </fill>
    <fill>
      <patternFill patternType="solid">
        <fgColor rgb="FFB4C6E7"/>
        <bgColor rgb="FFB4C6E7"/>
      </patternFill>
    </fill>
    <fill>
      <patternFill patternType="solid">
        <fgColor rgb="FFB6D7A8"/>
        <bgColor rgb="FFB6D7A8"/>
      </patternFill>
    </fill>
    <fill>
      <patternFill patternType="solid">
        <fgColor rgb="FFE6B8AF"/>
        <bgColor rgb="FFE6B8AF"/>
      </patternFill>
    </fill>
    <fill>
      <patternFill patternType="solid">
        <fgColor rgb="FFF3F3F3"/>
        <bgColor rgb="FFF3F3F3"/>
      </patternFill>
    </fill>
    <fill>
      <patternFill patternType="solid">
        <fgColor rgb="FFFCE5CD"/>
        <bgColor rgb="FFFCE5CD"/>
      </patternFill>
    </fill>
    <fill>
      <patternFill patternType="solid">
        <fgColor rgb="FF9FC5E8"/>
        <bgColor rgb="FF9FC5E8"/>
      </patternFill>
    </fill>
    <fill>
      <patternFill patternType="solid">
        <fgColor rgb="FFEA9999"/>
        <bgColor rgb="FFEA9999"/>
      </patternFill>
    </fill>
    <fill>
      <patternFill patternType="solid">
        <fgColor rgb="FFC27BA0"/>
        <bgColor rgb="FFC27BA0"/>
      </patternFill>
    </fill>
    <fill>
      <patternFill patternType="solid">
        <fgColor rgb="FF46C6E2"/>
        <bgColor rgb="FF46C6E2"/>
      </patternFill>
    </fill>
    <fill>
      <patternFill patternType="solid">
        <fgColor rgb="FF4DD0E1"/>
        <bgColor rgb="FF4DD0E1"/>
      </patternFill>
    </fill>
  </fills>
  <borders count="3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thin">
        <color rgb="FF3D3D3D"/>
      </left>
      <right style="thin">
        <color rgb="FF3D3D3D"/>
      </right>
      <top style="thin">
        <color rgb="FF3D3D3D"/>
      </top>
      <bottom style="thin">
        <color rgb="FF3D3D3D"/>
      </bottom>
    </border>
    <border>
      <left style="thin">
        <color rgb="FF3D3D3D"/>
      </left>
      <top style="thin">
        <color rgb="FF3D3D3D"/>
      </top>
      <bottom style="thin">
        <color rgb="FF3D3D3D"/>
      </bottom>
    </border>
    <border>
      <top style="thin">
        <color rgb="FF3D3D3D"/>
      </top>
      <bottom style="thin">
        <color rgb="FF3D3D3D"/>
      </bottom>
    </border>
    <border>
      <right style="thin">
        <color rgb="FF3D3D3D"/>
      </right>
      <top style="thin">
        <color rgb="FF3D3D3D"/>
      </top>
      <bottom style="thin">
        <color rgb="FF3D3D3D"/>
      </bottom>
    </border>
    <border>
      <left style="thin">
        <color rgb="FF3D3D3D"/>
      </left>
      <right style="thin">
        <color rgb="FF3D3D3D"/>
      </right>
      <top style="thin">
        <color rgb="FF3D3D3D"/>
      </top>
    </border>
    <border>
      <left style="thin">
        <color rgb="FF3D3D3D"/>
      </left>
      <right style="thin">
        <color rgb="FF3D3D3D"/>
      </right>
      <bottom style="thin">
        <color rgb="FF3D3D3D"/>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right style="medium">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thin">
        <color rgb="FF000000"/>
      </top>
    </border>
    <border>
      <left style="thin">
        <color rgb="FF3D3D3D"/>
      </left>
      <right style="thin">
        <color rgb="FF3D3D3D"/>
      </right>
    </border>
    <border>
      <right style="thin">
        <color rgb="FF3D3D3D"/>
      </right>
      <bottom style="thin">
        <color rgb="FF3D3D3D"/>
      </bottom>
    </border>
    <border>
      <left style="thin">
        <color rgb="FF3D3D3D"/>
      </left>
      <right style="thin">
        <color rgb="FF000000"/>
      </right>
      <top style="thin">
        <color rgb="FF3D3D3D"/>
      </top>
    </border>
    <border>
      <left style="thin">
        <color rgb="FF3D3D3D"/>
      </left>
      <right style="thin">
        <color rgb="FF000000"/>
      </right>
    </border>
    <border>
      <left style="thin">
        <color rgb="FF000000"/>
      </left>
      <top style="thin">
        <color rgb="FF000000"/>
      </top>
      <bottom style="thin">
        <color rgb="FFDEE2E6"/>
      </bottom>
    </border>
    <border>
      <top style="thin">
        <color rgb="FF000000"/>
      </top>
      <bottom style="thin">
        <color rgb="FFDEE2E6"/>
      </bottom>
    </border>
    <border>
      <right style="thin">
        <color rgb="FFDEE2E6"/>
      </right>
      <top style="thin">
        <color rgb="FF000000"/>
      </top>
      <bottom style="thin">
        <color rgb="FFDEE2E6"/>
      </bottom>
    </border>
    <border>
      <left style="thin">
        <color rgb="FF3D3D3D"/>
      </left>
      <right style="thin">
        <color rgb="FF000000"/>
      </right>
      <bottom style="thin">
        <color rgb="FF000000"/>
      </bottom>
    </border>
    <border>
      <left style="medium">
        <color rgb="FF3D3D3D"/>
      </left>
      <right style="thin">
        <color rgb="FF3D3D3D"/>
      </right>
      <top style="thin">
        <color rgb="FF3D3D3D"/>
      </top>
      <bottom style="thin">
        <color rgb="FF3D3D3D"/>
      </bottom>
    </border>
  </borders>
  <cellStyleXfs count="1">
    <xf borderId="0" fillId="0" fontId="0" numFmtId="0" applyAlignment="1" applyFont="1"/>
  </cellStyleXfs>
  <cellXfs count="68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3" fontId="1" numFmtId="0" xfId="0" applyAlignment="1" applyBorder="1" applyFill="1" applyFont="1">
      <alignment horizontal="center" shrinkToFit="0" vertical="center" wrapText="1"/>
    </xf>
    <xf borderId="1" fillId="3" fontId="3" numFmtId="0" xfId="0" applyAlignment="1" applyBorder="1" applyFill="1" applyFont="1">
      <alignment readingOrder="0" shrinkToFit="0" vertical="center" wrapText="1"/>
    </xf>
    <xf borderId="5" fillId="4" fontId="4" numFmtId="0" xfId="0" applyAlignment="1" applyBorder="1" applyFill="1" applyFont="1">
      <alignment horizontal="center" readingOrder="0" shrinkToFit="0" vertical="center" wrapText="1"/>
    </xf>
    <xf borderId="6" fillId="0" fontId="2" numFmtId="0" xfId="0" applyBorder="1" applyFont="1"/>
    <xf borderId="4" fillId="3" fontId="1" numFmtId="4" xfId="0" applyAlignment="1" applyBorder="1" applyFill="1" applyFont="1" applyNumberFormat="1">
      <alignment horizontal="center" shrinkToFit="0" vertical="center" wrapText="1"/>
    </xf>
    <xf borderId="7" fillId="0" fontId="2" numFmtId="0" xfId="0" applyBorder="1" applyFont="1"/>
    <xf borderId="5" fillId="4" fontId="5" numFmtId="0" xfId="0" applyAlignment="1" applyBorder="1" applyFill="1" applyFont="1">
      <alignment horizontal="center" readingOrder="0" shrinkToFit="0" vertical="center" wrapText="1"/>
    </xf>
    <xf borderId="8" fillId="3" fontId="3" numFmtId="0" xfId="0" applyAlignment="1" applyBorder="1" applyFill="1" applyFont="1">
      <alignment horizontal="center" shrinkToFit="0" vertical="center" wrapText="1"/>
    </xf>
    <xf borderId="1" fillId="3" fontId="1" numFmtId="4" xfId="0" applyAlignment="1" applyBorder="1" applyFill="1" applyFont="1" applyNumberFormat="1">
      <alignment horizontal="center" readingOrder="0" shrinkToFit="0" vertical="center" wrapText="1"/>
    </xf>
    <xf borderId="4" fillId="3" fontId="1" numFmtId="4" xfId="0" applyAlignment="1" applyBorder="1" applyFill="1" applyFont="1" applyNumberFormat="1">
      <alignment horizontal="center" readingOrder="0" shrinkToFit="0" vertical="center" wrapText="1"/>
    </xf>
    <xf borderId="9" fillId="0" fontId="2" numFmtId="0" xfId="0" applyBorder="1" applyFont="1"/>
    <xf borderId="4" fillId="3" fontId="3" numFmtId="0" xfId="0" applyAlignment="1" applyBorder="1" applyFill="1" applyFont="1">
      <alignment shrinkToFit="0" vertical="center" wrapText="1"/>
    </xf>
    <xf borderId="10" fillId="0" fontId="2" numFmtId="0" xfId="0" applyBorder="1" applyFont="1"/>
    <xf borderId="11" fillId="0" fontId="2" numFmtId="0" xfId="0" applyBorder="1" applyFont="1"/>
    <xf borderId="4" fillId="3" fontId="3" numFmtId="0" xfId="0" applyAlignment="1" applyBorder="1" applyFill="1" applyFont="1">
      <alignment readingOrder="0" shrinkToFit="0" vertical="center" wrapText="1"/>
    </xf>
    <xf borderId="8" fillId="3" fontId="3" numFmtId="4" xfId="0" applyAlignment="1" applyBorder="1" applyFill="1" applyFont="1" applyNumberFormat="1">
      <alignment horizontal="center" shrinkToFit="0" vertical="center" wrapText="1"/>
    </xf>
    <xf borderId="12" fillId="0" fontId="2" numFmtId="0" xfId="0" applyBorder="1" applyFont="1"/>
    <xf borderId="1" fillId="3" fontId="3" numFmtId="4" xfId="0" applyAlignment="1" applyBorder="1" applyFill="1" applyFont="1" applyNumberFormat="1">
      <alignment horizontal="center" readingOrder="0" shrinkToFit="0" vertical="center" wrapText="1"/>
    </xf>
    <xf borderId="4" fillId="3" fontId="3" numFmtId="0" xfId="0" applyAlignment="1" applyBorder="1" applyFill="1" applyFont="1">
      <alignment horizontal="center" readingOrder="0" shrinkToFit="0" vertical="center" wrapText="1"/>
    </xf>
    <xf borderId="4" fillId="3" fontId="3" numFmtId="0" xfId="0" applyAlignment="1" applyBorder="1" applyFill="1" applyFont="1">
      <alignment horizontal="center" shrinkToFit="0" vertical="center" wrapText="1"/>
    </xf>
    <xf borderId="4" fillId="3" fontId="3" numFmtId="4" xfId="0" applyAlignment="1" applyBorder="1" applyFill="1" applyFont="1" applyNumberFormat="1">
      <alignment horizontal="center" shrinkToFit="0" vertical="center" wrapText="1"/>
    </xf>
    <xf borderId="4" fillId="3" fontId="3" numFmtId="164" xfId="0" applyAlignment="1" applyBorder="1" applyFill="1" applyFont="1" applyNumberFormat="1">
      <alignment horizontal="center" shrinkToFit="0" vertical="center" wrapText="1"/>
    </xf>
    <xf borderId="4" fillId="0" fontId="1" numFmtId="0" xfId="0" applyAlignment="1" applyBorder="1" applyFont="1">
      <alignment horizontal="center" readingOrder="0" shrinkToFit="0" vertical="center" wrapText="1"/>
    </xf>
    <xf borderId="4" fillId="0" fontId="1" numFmtId="4" xfId="0" applyAlignment="1" applyBorder="1" applyFont="1" applyNumberFormat="1">
      <alignment horizontal="center" readingOrder="0" shrinkToFit="0" vertical="center" wrapText="1"/>
    </xf>
    <xf borderId="4" fillId="3" fontId="3" numFmtId="0" xfId="0" applyAlignment="1" applyBorder="1" applyFill="1" applyFont="1">
      <alignment horizontal="right" shrinkToFit="0" vertical="center" wrapText="1"/>
    </xf>
    <xf borderId="4" fillId="0" fontId="3" numFmtId="0" xfId="0" applyAlignment="1" applyBorder="1" applyFont="1">
      <alignment horizontal="center" readingOrder="0" shrinkToFit="0" vertical="center" wrapText="1"/>
    </xf>
    <xf borderId="4" fillId="0" fontId="3" numFmtId="0" xfId="0" applyAlignment="1" applyBorder="1" applyFont="1">
      <alignment horizontal="left" readingOrder="0" shrinkToFit="0" vertical="center" wrapText="1"/>
    </xf>
    <xf borderId="4" fillId="0" fontId="3" numFmtId="0" xfId="0" applyAlignment="1" applyBorder="1" applyFont="1">
      <alignment horizontal="left" shrinkToFit="0" vertical="center" wrapText="1"/>
    </xf>
    <xf borderId="4" fillId="0" fontId="3" numFmtId="4" xfId="0" applyAlignment="1" applyBorder="1" applyFont="1" applyNumberFormat="1">
      <alignment horizontal="center" readingOrder="0" shrinkToFit="0" vertical="center" wrapText="1"/>
    </xf>
    <xf borderId="4" fillId="0" fontId="3" numFmtId="4" xfId="0" applyAlignment="1" applyBorder="1" applyFont="1" applyNumberFormat="1">
      <alignment horizontal="center" shrinkToFit="0" vertical="center" wrapText="1"/>
    </xf>
    <xf borderId="4" fillId="3" fontId="3" numFmtId="0" xfId="0" applyAlignment="1" applyBorder="1" applyFill="1" applyFont="1">
      <alignment horizontal="right" readingOrder="0" shrinkToFit="0" vertical="center" wrapText="1"/>
    </xf>
    <xf borderId="4" fillId="3" fontId="3" numFmtId="4" xfId="0" applyAlignment="1" applyBorder="1" applyFill="1" applyFont="1" applyNumberFormat="1">
      <alignment horizontal="center" readingOrder="0" shrinkToFit="0" vertical="center" wrapText="1"/>
    </xf>
    <xf borderId="1" fillId="3" fontId="1" numFmtId="0" xfId="0" applyAlignment="1" applyBorder="1" applyFill="1" applyFont="1">
      <alignment horizontal="center" readingOrder="0" shrinkToFit="0" vertical="center" wrapText="1"/>
    </xf>
    <xf borderId="4" fillId="2" fontId="1" numFmtId="0" xfId="0" applyAlignment="1" applyBorder="1" applyFill="1" applyFont="1">
      <alignment horizontal="center" shrinkToFit="0" vertical="center" wrapText="1"/>
    </xf>
    <xf borderId="4" fillId="0" fontId="3" numFmtId="0" xfId="0" applyAlignment="1" applyBorder="1" applyFont="1">
      <alignment horizontal="center" shrinkToFit="0" vertical="center" wrapText="1"/>
    </xf>
    <xf borderId="1" fillId="2" fontId="3" numFmtId="0" xfId="0" applyAlignment="1" applyBorder="1" applyFill="1" applyFont="1">
      <alignment readingOrder="0" shrinkToFit="0" vertical="center" wrapText="1"/>
    </xf>
    <xf borderId="4" fillId="2" fontId="1" numFmtId="4" xfId="0" applyAlignment="1" applyBorder="1" applyFill="1" applyFont="1" applyNumberFormat="1">
      <alignment horizontal="center" shrinkToFit="0" vertical="center" wrapText="1"/>
    </xf>
    <xf borderId="8" fillId="2" fontId="3" numFmtId="0" xfId="0" applyAlignment="1" applyBorder="1" applyFill="1" applyFont="1">
      <alignment horizontal="center" shrinkToFit="0" vertical="center" wrapText="1"/>
    </xf>
    <xf borderId="4" fillId="2" fontId="3" numFmtId="0" xfId="0" applyAlignment="1" applyBorder="1" applyFill="1" applyFont="1">
      <alignment readingOrder="0" shrinkToFit="0" vertical="center" wrapText="1"/>
    </xf>
    <xf borderId="8" fillId="2" fontId="3" numFmtId="4" xfId="0" applyAlignment="1" applyBorder="1" applyFill="1" applyFont="1" applyNumberFormat="1">
      <alignment horizontal="center" shrinkToFit="0" vertical="center" wrapText="1"/>
    </xf>
    <xf borderId="4" fillId="2" fontId="3" numFmtId="0" xfId="0" applyAlignment="1" applyBorder="1" applyFill="1" applyFont="1">
      <alignment shrinkToFit="0" vertical="center" wrapText="1"/>
    </xf>
    <xf borderId="4" fillId="2" fontId="3" numFmtId="0" xfId="0" applyAlignment="1" applyBorder="1" applyFill="1" applyFont="1">
      <alignment horizontal="center" readingOrder="0" shrinkToFit="0" vertical="center" wrapText="1"/>
    </xf>
    <xf borderId="4" fillId="2" fontId="3" numFmtId="4" xfId="0" applyAlignment="1" applyBorder="1" applyFill="1" applyFont="1" applyNumberFormat="1">
      <alignment horizontal="center" shrinkToFit="0" vertical="center" wrapText="1"/>
    </xf>
    <xf borderId="4" fillId="2" fontId="3" numFmtId="0" xfId="0" applyAlignment="1" applyBorder="1" applyFill="1" applyFont="1">
      <alignment horizontal="center" shrinkToFit="0" vertical="center" wrapText="1"/>
    </xf>
    <xf borderId="4" fillId="0" fontId="3" numFmtId="0" xfId="0" applyAlignment="1" applyBorder="1" applyFont="1">
      <alignment horizontal="left" shrinkToFit="0" vertical="center" wrapText="1"/>
    </xf>
    <xf borderId="4" fillId="2" fontId="3" numFmtId="0" xfId="0" applyAlignment="1" applyBorder="1" applyFill="1" applyFont="1">
      <alignment horizontal="right" shrinkToFit="0" vertical="center" wrapText="1"/>
    </xf>
    <xf borderId="4" fillId="2" fontId="3" numFmtId="0" xfId="0" applyAlignment="1" applyBorder="1" applyFill="1" applyFont="1">
      <alignment horizontal="right" readingOrder="0" shrinkToFit="0" vertical="center" wrapText="1"/>
    </xf>
    <xf borderId="4" fillId="2" fontId="3" numFmtId="4" xfId="0" applyAlignment="1" applyBorder="1" applyFill="1" applyFont="1" applyNumberFormat="1">
      <alignment horizontal="center" readingOrder="0" shrinkToFit="0" vertical="center" wrapText="1"/>
    </xf>
    <xf borderId="4" fillId="0" fontId="3" numFmtId="0" xfId="0" applyAlignment="1" applyBorder="1" applyFont="1">
      <alignment horizontal="left" readingOrder="0" shrinkToFit="0" vertical="center" wrapText="1"/>
    </xf>
    <xf borderId="4" fillId="0" fontId="3" numFmtId="0" xfId="0" applyAlignment="1" applyBorder="1" applyFont="1">
      <alignment horizontal="left" shrinkToFit="0" vertical="center" wrapText="1"/>
    </xf>
    <xf borderId="4" fillId="5" fontId="1" numFmtId="0" xfId="0" applyAlignment="1" applyBorder="1" applyFill="1" applyFont="1">
      <alignment horizontal="center" readingOrder="0" shrinkToFit="0" vertical="center" wrapText="1"/>
    </xf>
    <xf borderId="4" fillId="6" fontId="3" numFmtId="0" xfId="0" applyAlignment="1" applyBorder="1" applyFill="1" applyFont="1">
      <alignment horizontal="center" readingOrder="0" shrinkToFit="0" vertical="center" wrapText="1"/>
    </xf>
    <xf borderId="4" fillId="7" fontId="3" numFmtId="0" xfId="0" applyAlignment="1" applyBorder="1" applyFill="1" applyFont="1">
      <alignment horizontal="left" readingOrder="0" shrinkToFit="0" vertical="center" wrapText="1"/>
    </xf>
    <xf borderId="4" fillId="7" fontId="3" numFmtId="0" xfId="0" applyAlignment="1" applyBorder="1" applyFill="1" applyFont="1">
      <alignment horizontal="center" readingOrder="0" shrinkToFit="0" vertical="center" wrapText="1"/>
    </xf>
    <xf borderId="4" fillId="6" fontId="3" numFmtId="0" xfId="0" applyAlignment="1" applyBorder="1" applyFill="1" applyFont="1">
      <alignment horizontal="left" readingOrder="0" shrinkToFit="0" vertical="center" wrapText="1"/>
    </xf>
    <xf borderId="4" fillId="8" fontId="3" numFmtId="4" xfId="0" applyAlignment="1" applyBorder="1" applyFill="1" applyFont="1" applyNumberFormat="1">
      <alignment horizontal="center" readingOrder="0" shrinkToFit="0" vertical="center" wrapText="1"/>
    </xf>
    <xf borderId="4" fillId="9" fontId="1" numFmtId="0" xfId="0" applyAlignment="1" applyBorder="1" applyFill="1" applyFont="1">
      <alignment horizontal="center" readingOrder="0" shrinkToFit="0" vertical="center" wrapText="1"/>
    </xf>
    <xf borderId="1" fillId="9" fontId="3" numFmtId="0" xfId="0" applyAlignment="1" applyBorder="1" applyFill="1" applyFont="1">
      <alignment readingOrder="0" shrinkToFit="0" vertical="center" wrapText="1"/>
    </xf>
    <xf borderId="4" fillId="9" fontId="1" numFmtId="0" xfId="0" applyAlignment="1" applyBorder="1" applyFill="1" applyFont="1">
      <alignment horizontal="center" shrinkToFit="0" vertical="center" wrapText="1"/>
    </xf>
    <xf borderId="8" fillId="9" fontId="3" numFmtId="0" xfId="0" applyAlignment="1" applyBorder="1" applyFill="1" applyFont="1">
      <alignment horizontal="center" shrinkToFit="0" vertical="center" wrapText="1"/>
    </xf>
    <xf borderId="4" fillId="9" fontId="3" numFmtId="0" xfId="0" applyAlignment="1" applyBorder="1" applyFill="1" applyFont="1">
      <alignment shrinkToFit="0" vertical="center" wrapText="1"/>
    </xf>
    <xf borderId="8" fillId="9" fontId="3" numFmtId="0" xfId="0" applyAlignment="1" applyBorder="1" applyFill="1" applyFont="1">
      <alignment horizontal="center" readingOrder="0" shrinkToFit="0" vertical="center" wrapText="1"/>
    </xf>
    <xf borderId="13" fillId="0" fontId="2" numFmtId="0" xfId="0" applyBorder="1" applyFont="1"/>
    <xf borderId="4" fillId="9" fontId="3" numFmtId="0" xfId="0" applyAlignment="1" applyBorder="1" applyFill="1" applyFont="1">
      <alignment horizontal="center" shrinkToFit="0" vertical="center" wrapText="1"/>
    </xf>
    <xf borderId="4" fillId="9" fontId="3" numFmtId="0" xfId="0" applyAlignment="1" applyBorder="1" applyFill="1" applyFont="1">
      <alignment horizontal="center" readingOrder="0" shrinkToFit="0" vertical="center" wrapText="1"/>
    </xf>
    <xf borderId="8" fillId="9" fontId="3" numFmtId="0" xfId="0" applyAlignment="1" applyBorder="1" applyFill="1" applyFont="1">
      <alignment horizontal="center" shrinkToFit="0" vertical="center" wrapText="0"/>
    </xf>
    <xf borderId="1" fillId="9" fontId="3" numFmtId="0" xfId="0" applyAlignment="1" applyBorder="1" applyFill="1" applyFont="1">
      <alignment horizontal="right" shrinkToFit="0" vertical="center" wrapText="1"/>
    </xf>
    <xf borderId="4" fillId="9" fontId="3" numFmtId="165" xfId="0" applyAlignment="1" applyBorder="1" applyFill="1" applyFont="1" applyNumberFormat="1">
      <alignment horizontal="center" shrinkToFit="0" vertical="center" wrapText="1"/>
    </xf>
    <xf borderId="4" fillId="0" fontId="3" numFmtId="4" xfId="0" applyAlignment="1" applyBorder="1" applyFont="1" applyNumberFormat="1">
      <alignment horizontal="center" readingOrder="0" shrinkToFit="0" vertical="center" wrapText="1"/>
    </xf>
    <xf borderId="4" fillId="0" fontId="3" numFmtId="49" xfId="0" applyAlignment="1" applyBorder="1" applyFont="1" applyNumberFormat="1">
      <alignment horizontal="left" shrinkToFit="0" vertical="center" wrapText="1"/>
    </xf>
    <xf borderId="4" fillId="8" fontId="3" numFmtId="0" xfId="0" applyAlignment="1" applyBorder="1" applyFill="1" applyFont="1">
      <alignment horizontal="center" readingOrder="0" shrinkToFit="0" vertical="center" wrapText="1"/>
    </xf>
    <xf borderId="4" fillId="9" fontId="3" numFmtId="4" xfId="0" applyAlignment="1" applyBorder="1" applyFill="1" applyFont="1" applyNumberFormat="1">
      <alignment horizontal="center" readingOrder="0" shrinkToFit="0" vertical="center" wrapText="1"/>
    </xf>
    <xf borderId="8" fillId="3" fontId="3" numFmtId="0" xfId="0" applyAlignment="1" applyBorder="1" applyFill="1" applyFont="1">
      <alignment horizontal="center" readingOrder="0" shrinkToFit="0" vertical="center" wrapText="1"/>
    </xf>
    <xf borderId="8" fillId="3" fontId="3" numFmtId="0" xfId="0" applyAlignment="1" applyBorder="1" applyFill="1" applyFont="1">
      <alignment horizontal="center" shrinkToFit="0" vertical="center" wrapText="0"/>
    </xf>
    <xf borderId="1" fillId="3" fontId="3" numFmtId="0" xfId="0" applyAlignment="1" applyBorder="1" applyFill="1" applyFont="1">
      <alignment horizontal="center" shrinkToFit="0" vertical="center" wrapText="1"/>
    </xf>
    <xf borderId="4" fillId="3" fontId="3" numFmtId="165" xfId="0" applyAlignment="1" applyBorder="1" applyFill="1" applyFont="1" applyNumberFormat="1">
      <alignment horizontal="center" shrinkToFit="0" vertical="center" wrapText="1"/>
    </xf>
    <xf borderId="1" fillId="3" fontId="3" numFmtId="0" xfId="0" applyAlignment="1" applyBorder="1" applyFill="1" applyFont="1">
      <alignment horizontal="right" shrinkToFit="0" vertical="center" wrapText="1"/>
    </xf>
    <xf borderId="1" fillId="9" fontId="3" numFmtId="0" xfId="0" applyAlignment="1" applyBorder="1" applyFill="1" applyFont="1">
      <alignment horizontal="center" shrinkToFit="0" vertical="center" wrapText="1"/>
    </xf>
    <xf borderId="8" fillId="5" fontId="6" numFmtId="0" xfId="0" applyAlignment="1" applyBorder="1" applyFill="1" applyFont="1">
      <alignment readingOrder="0" shrinkToFit="0" vertical="center" wrapText="1"/>
    </xf>
    <xf borderId="1" fillId="5" fontId="6" numFmtId="0" xfId="0" applyAlignment="1" applyBorder="1" applyFill="1" applyFont="1">
      <alignment readingOrder="0" shrinkToFit="0" vertical="center" wrapText="1"/>
    </xf>
    <xf borderId="1" fillId="5" fontId="6" numFmtId="4" xfId="0" applyAlignment="1" applyBorder="1" applyFill="1" applyFont="1" applyNumberFormat="1">
      <alignment readingOrder="0" shrinkToFit="0" vertical="center" wrapText="1"/>
    </xf>
    <xf borderId="4" fillId="5" fontId="6" numFmtId="0" xfId="0" applyAlignment="1" applyBorder="1" applyFill="1" applyFont="1">
      <alignment readingOrder="0" shrinkToFit="0" vertical="center" wrapText="1"/>
    </xf>
    <xf borderId="4" fillId="5" fontId="6" numFmtId="4" xfId="0" applyAlignment="1" applyBorder="1" applyFill="1" applyFont="1" applyNumberFormat="1">
      <alignment readingOrder="0" shrinkToFit="0" vertical="center" wrapText="1"/>
    </xf>
    <xf borderId="1" fillId="7" fontId="7" numFmtId="0" xfId="0" applyAlignment="1" applyBorder="1" applyFill="1" applyFont="1">
      <alignment readingOrder="0" shrinkToFit="0" vertical="center" wrapText="1"/>
    </xf>
    <xf borderId="4" fillId="7" fontId="8" numFmtId="0" xfId="0" applyAlignment="1" applyBorder="1" applyFill="1" applyFont="1">
      <alignment horizontal="center" shrinkToFit="0" vertical="center" wrapText="1"/>
    </xf>
    <xf borderId="4" fillId="7" fontId="8" numFmtId="0" xfId="0" applyAlignment="1" applyBorder="1" applyFill="1" applyFont="1">
      <alignment horizontal="center" readingOrder="0" shrinkToFit="0" vertical="center" wrapText="1"/>
    </xf>
    <xf borderId="4" fillId="7" fontId="8" numFmtId="0" xfId="0" applyAlignment="1" applyBorder="1" applyFill="1" applyFont="1">
      <alignment horizontal="right" readingOrder="0" shrinkToFit="0" vertical="center" wrapText="1"/>
    </xf>
    <xf borderId="1" fillId="7" fontId="8" numFmtId="4" xfId="0" applyAlignment="1" applyBorder="1" applyFill="1" applyFont="1" applyNumberFormat="1">
      <alignment horizontal="left" shrinkToFit="0" vertical="center" wrapText="1"/>
    </xf>
    <xf borderId="1" fillId="7" fontId="8" numFmtId="0" xfId="0" applyAlignment="1" applyBorder="1" applyFill="1" applyFont="1">
      <alignment horizontal="left" readingOrder="0" shrinkToFit="0" vertical="center" wrapText="1"/>
    </xf>
    <xf borderId="4" fillId="0" fontId="3" numFmtId="49" xfId="0" applyAlignment="1" applyBorder="1" applyFont="1" applyNumberFormat="1">
      <alignment horizontal="center" shrinkToFit="0" vertical="center" wrapText="1"/>
    </xf>
    <xf borderId="1" fillId="10" fontId="8" numFmtId="0" xfId="0" applyAlignment="1" applyBorder="1" applyFill="1" applyFont="1">
      <alignment horizontal="left" readingOrder="0" shrinkToFit="0" vertical="center" wrapText="1"/>
    </xf>
    <xf borderId="4" fillId="10" fontId="8" numFmtId="0" xfId="0" applyAlignment="1" applyBorder="1" applyFill="1" applyFont="1">
      <alignment horizontal="center" readingOrder="0" shrinkToFit="0" vertical="center" wrapText="1"/>
    </xf>
    <xf borderId="4" fillId="0" fontId="3" numFmtId="0" xfId="0" applyAlignment="1" applyBorder="1" applyFont="1">
      <alignment horizontal="center" shrinkToFit="0" vertical="center" wrapText="1"/>
    </xf>
    <xf borderId="8" fillId="7" fontId="8" numFmtId="0" xfId="0" applyAlignment="1" applyBorder="1" applyFill="1" applyFont="1">
      <alignment horizontal="center" readingOrder="0" shrinkToFit="0" vertical="center" wrapText="1"/>
    </xf>
    <xf borderId="8" fillId="7" fontId="8" numFmtId="0" xfId="0" applyAlignment="1" applyBorder="1" applyFill="1" applyFont="1">
      <alignment horizontal="center" shrinkToFit="0" vertical="center" wrapText="1"/>
    </xf>
    <xf borderId="4" fillId="7" fontId="8" numFmtId="4" xfId="0" applyAlignment="1" applyBorder="1" applyFill="1" applyFont="1" applyNumberFormat="1">
      <alignment horizontal="right" readingOrder="0" shrinkToFit="0" vertical="center" wrapText="1"/>
    </xf>
    <xf borderId="4" fillId="9" fontId="3" numFmtId="0" xfId="0" applyAlignment="1" applyBorder="1" applyFill="1" applyFont="1">
      <alignment readingOrder="0" shrinkToFit="0" vertical="center" wrapText="1"/>
    </xf>
    <xf borderId="8" fillId="0" fontId="9" numFmtId="0" xfId="0" applyAlignment="1" applyBorder="1" applyFont="1">
      <alignment horizontal="center" readingOrder="0" shrinkToFit="0" vertical="center" wrapText="1"/>
    </xf>
    <xf borderId="1" fillId="7" fontId="7" numFmtId="0" xfId="0" applyAlignment="1" applyBorder="1" applyFill="1" applyFont="1">
      <alignment horizontal="center" readingOrder="0" shrinkToFit="0" vertical="center" wrapText="1"/>
    </xf>
    <xf borderId="4" fillId="7" fontId="8" numFmtId="0" xfId="0" applyAlignment="1" applyBorder="1" applyFill="1" applyFont="1">
      <alignment horizontal="left" readingOrder="0" shrinkToFit="0" vertical="center" wrapText="1"/>
    </xf>
    <xf borderId="4" fillId="7" fontId="8" numFmtId="166" xfId="0" applyAlignment="1" applyBorder="1" applyFill="1" applyFont="1" applyNumberFormat="1">
      <alignment horizontal="right" readingOrder="0" shrinkToFit="0" vertical="center" wrapText="1"/>
    </xf>
    <xf borderId="4" fillId="7" fontId="8" numFmtId="0" xfId="0" applyAlignment="1" applyBorder="1" applyFill="1" applyFont="1">
      <alignment horizontal="left" shrinkToFit="0" vertical="center" wrapText="1"/>
    </xf>
    <xf borderId="1" fillId="7" fontId="8" numFmtId="0" xfId="0" applyAlignment="1" applyBorder="1" applyFill="1" applyFont="1">
      <alignment horizontal="center" readingOrder="0" shrinkToFit="0" vertical="center" wrapText="1"/>
    </xf>
    <xf borderId="1" fillId="10" fontId="8" numFmtId="0" xfId="0" applyAlignment="1" applyBorder="1" applyFill="1" applyFont="1">
      <alignment horizontal="center" readingOrder="0" shrinkToFit="0" vertical="center" wrapText="1"/>
    </xf>
    <xf borderId="4" fillId="10" fontId="8" numFmtId="0" xfId="0" applyAlignment="1" applyBorder="1" applyFill="1" applyFont="1">
      <alignment horizontal="left" shrinkToFit="0" vertical="center" wrapText="1"/>
    </xf>
    <xf borderId="4" fillId="10" fontId="10" numFmtId="2" xfId="0" applyAlignment="1" applyBorder="1" applyFill="1" applyFont="1" applyNumberFormat="1">
      <alignment horizontal="right" readingOrder="0" shrinkToFit="0" vertical="top" wrapText="1"/>
    </xf>
    <xf borderId="4" fillId="10" fontId="8" numFmtId="0" xfId="0" applyAlignment="1" applyBorder="1" applyFill="1" applyFont="1">
      <alignment horizontal="left" readingOrder="0" shrinkToFit="0" vertical="top" wrapText="1"/>
    </xf>
    <xf borderId="8" fillId="5" fontId="4" numFmtId="0" xfId="0" applyAlignment="1" applyBorder="1" applyFill="1" applyFont="1">
      <alignment readingOrder="0" shrinkToFit="0" vertical="center" wrapText="1"/>
    </xf>
    <xf borderId="1" fillId="5" fontId="4" numFmtId="0" xfId="0" applyAlignment="1" applyBorder="1" applyFill="1" applyFont="1">
      <alignment readingOrder="0" shrinkToFit="0" vertical="center" wrapText="1"/>
    </xf>
    <xf borderId="1" fillId="5" fontId="4" numFmtId="2" xfId="0" applyAlignment="1" applyBorder="1" applyFill="1" applyFont="1" applyNumberFormat="1">
      <alignment readingOrder="0" shrinkToFit="0" vertical="center" wrapText="1"/>
    </xf>
    <xf borderId="0" fillId="0" fontId="3" numFmtId="2" xfId="0" applyFont="1" applyNumberFormat="1"/>
    <xf borderId="4" fillId="5" fontId="4" numFmtId="0" xfId="0" applyAlignment="1" applyBorder="1" applyFill="1" applyFont="1">
      <alignment readingOrder="0" shrinkToFit="0" vertical="center" wrapText="1"/>
    </xf>
    <xf borderId="4" fillId="0" fontId="3" numFmtId="2" xfId="0" applyAlignment="1" applyBorder="1" applyFont="1" applyNumberFormat="1">
      <alignment horizontal="center" shrinkToFit="0" vertical="center" wrapText="1"/>
    </xf>
    <xf borderId="4" fillId="5" fontId="4" numFmtId="2" xfId="0" applyAlignment="1" applyBorder="1" applyFill="1" applyFont="1" applyNumberFormat="1">
      <alignment readingOrder="0" shrinkToFit="0" vertical="center" wrapText="1"/>
    </xf>
    <xf borderId="1" fillId="7" fontId="11" numFmtId="0" xfId="0" applyAlignment="1" applyBorder="1" applyFill="1" applyFont="1">
      <alignment readingOrder="0" shrinkToFit="0" vertical="center" wrapText="1"/>
    </xf>
    <xf borderId="4" fillId="7" fontId="12" numFmtId="0" xfId="0" applyAlignment="1" applyBorder="1" applyFill="1" applyFont="1">
      <alignment horizontal="center" shrinkToFit="0" vertical="center" wrapText="1"/>
    </xf>
    <xf borderId="4" fillId="7" fontId="12" numFmtId="0" xfId="0" applyAlignment="1" applyBorder="1" applyFill="1" applyFont="1">
      <alignment horizontal="center" readingOrder="0" shrinkToFit="0" vertical="center" wrapText="1"/>
    </xf>
    <xf borderId="4" fillId="7" fontId="12" numFmtId="0" xfId="0" applyAlignment="1" applyBorder="1" applyFill="1" applyFont="1">
      <alignment horizontal="right" readingOrder="0" shrinkToFit="0" vertical="center" wrapText="1"/>
    </xf>
    <xf borderId="1" fillId="7" fontId="12" numFmtId="2" xfId="0" applyAlignment="1" applyBorder="1" applyFill="1" applyFont="1" applyNumberFormat="1">
      <alignment horizontal="left" shrinkToFit="0" vertical="center" wrapText="1"/>
    </xf>
    <xf borderId="1" fillId="7" fontId="12" numFmtId="0" xfId="0" applyAlignment="1" applyBorder="1" applyFill="1" applyFont="1">
      <alignment horizontal="left" readingOrder="0" shrinkToFit="0" vertical="center" wrapText="1"/>
    </xf>
    <xf borderId="1" fillId="10" fontId="12" numFmtId="0" xfId="0" applyAlignment="1" applyBorder="1" applyFill="1" applyFont="1">
      <alignment horizontal="left" readingOrder="0" shrinkToFit="0" vertical="center" wrapText="1"/>
    </xf>
    <xf borderId="4" fillId="10" fontId="12" numFmtId="0" xfId="0" applyAlignment="1" applyBorder="1" applyFill="1" applyFont="1">
      <alignment horizontal="center" readingOrder="0" shrinkToFit="0" vertical="center" wrapText="1"/>
    </xf>
    <xf borderId="8" fillId="7" fontId="12" numFmtId="0" xfId="0" applyAlignment="1" applyBorder="1" applyFill="1" applyFont="1">
      <alignment horizontal="center" shrinkToFit="0" vertical="center" wrapText="1"/>
    </xf>
    <xf borderId="8" fillId="7" fontId="12" numFmtId="0" xfId="0" applyAlignment="1" applyBorder="1" applyFill="1" applyFont="1">
      <alignment horizontal="center" readingOrder="0" shrinkToFit="0" vertical="center" wrapText="1"/>
    </xf>
    <xf borderId="4" fillId="7" fontId="12" numFmtId="2" xfId="0" applyAlignment="1" applyBorder="1" applyFill="1" applyFont="1" applyNumberFormat="1">
      <alignment horizontal="right" readingOrder="0" shrinkToFit="0" vertical="center" wrapText="1"/>
    </xf>
    <xf borderId="1" fillId="7" fontId="11" numFmtId="0" xfId="0" applyAlignment="1" applyBorder="1" applyFill="1" applyFont="1">
      <alignment horizontal="center" readingOrder="0" shrinkToFit="0" vertical="center" wrapText="1"/>
    </xf>
    <xf borderId="4" fillId="7" fontId="12" numFmtId="0" xfId="0" applyAlignment="1" applyBorder="1" applyFill="1" applyFont="1">
      <alignment horizontal="left" readingOrder="0" shrinkToFit="0" vertical="center" wrapText="1"/>
    </xf>
    <xf borderId="4" fillId="7" fontId="12" numFmtId="0" xfId="0" applyAlignment="1" applyBorder="1" applyFill="1" applyFont="1">
      <alignment horizontal="left" shrinkToFit="0" vertical="center" wrapText="1"/>
    </xf>
    <xf borderId="4" fillId="7" fontId="11" numFmtId="2" xfId="0" applyAlignment="1" applyBorder="1" applyFill="1" applyFont="1" applyNumberFormat="1">
      <alignment horizontal="right" readingOrder="0" shrinkToFit="0" vertical="center" wrapText="1"/>
    </xf>
    <xf borderId="1" fillId="7" fontId="12" numFmtId="0" xfId="0" applyAlignment="1" applyBorder="1" applyFill="1" applyFont="1">
      <alignment horizontal="center" readingOrder="0" shrinkToFit="0" vertical="center" wrapText="1"/>
    </xf>
    <xf borderId="14" fillId="3" fontId="1" numFmtId="0" xfId="0" applyAlignment="1" applyBorder="1" applyFill="1" applyFont="1">
      <alignment horizontal="center" shrinkToFit="0" vertical="center" wrapText="1"/>
    </xf>
    <xf borderId="15" fillId="3" fontId="3" numFmtId="0" xfId="0" applyAlignment="1" applyBorder="1" applyFill="1" applyFont="1">
      <alignment readingOrder="0" shrinkToFit="0" vertical="center" wrapText="1"/>
    </xf>
    <xf borderId="16" fillId="0" fontId="2" numFmtId="0" xfId="0" applyBorder="1" applyFont="1"/>
    <xf borderId="17" fillId="0" fontId="2" numFmtId="0" xfId="0" applyBorder="1" applyFont="1"/>
    <xf borderId="18" fillId="3" fontId="3" numFmtId="0" xfId="0" applyAlignment="1" applyBorder="1" applyFill="1" applyFont="1">
      <alignment shrinkToFit="0" vertical="center" wrapText="1"/>
    </xf>
    <xf borderId="14" fillId="3" fontId="3" numFmtId="0" xfId="0" applyAlignment="1" applyBorder="1" applyFill="1" applyFont="1">
      <alignment shrinkToFit="0" vertical="center" wrapText="1"/>
    </xf>
    <xf borderId="19" fillId="0" fontId="2" numFmtId="0" xfId="0" applyBorder="1" applyFont="1"/>
    <xf borderId="14" fillId="3" fontId="3" numFmtId="0" xfId="0" applyAlignment="1" applyBorder="1" applyFill="1" applyFont="1">
      <alignment readingOrder="0" shrinkToFit="0" vertical="center" wrapText="1"/>
    </xf>
    <xf borderId="18" fillId="3" fontId="3" numFmtId="0" xfId="0" applyAlignment="1" applyBorder="1" applyFill="1" applyFont="1">
      <alignment horizontal="center" shrinkToFit="0" vertical="center" wrapText="1"/>
    </xf>
    <xf borderId="18" fillId="3" fontId="3" numFmtId="0" xfId="0" applyAlignment="1" applyBorder="1" applyFill="1" applyFont="1">
      <alignment horizontal="center" readingOrder="0" shrinkToFit="0" vertical="center" wrapText="1"/>
    </xf>
    <xf borderId="18" fillId="3" fontId="3" numFmtId="0" xfId="0" applyAlignment="1" applyBorder="1" applyFill="1" applyFont="1">
      <alignment horizontal="right" shrinkToFit="0" vertical="center" wrapText="1"/>
    </xf>
    <xf borderId="14" fillId="3" fontId="3" numFmtId="0" xfId="0" applyAlignment="1" applyBorder="1" applyFill="1" applyFont="1">
      <alignment horizontal="center" shrinkToFit="0" vertical="center" wrapText="1"/>
    </xf>
    <xf borderId="15" fillId="3" fontId="3" numFmtId="0" xfId="0" applyAlignment="1" applyBorder="1" applyFill="1" applyFont="1">
      <alignment horizontal="right" shrinkToFit="0" vertical="center" wrapText="1"/>
    </xf>
    <xf borderId="14" fillId="3" fontId="3" numFmtId="165" xfId="0" applyAlignment="1" applyBorder="1" applyFill="1" applyFont="1" applyNumberFormat="1">
      <alignment horizontal="right" shrinkToFit="0" vertical="center" wrapText="1"/>
    </xf>
    <xf borderId="14" fillId="3" fontId="3" numFmtId="2" xfId="0" applyAlignment="1" applyBorder="1" applyFill="1" applyFont="1" applyNumberFormat="1">
      <alignment horizontal="right" shrinkToFit="0" vertical="center" wrapText="1"/>
    </xf>
    <xf borderId="14" fillId="3" fontId="3" numFmtId="0" xfId="0" applyAlignment="1" applyBorder="1" applyFill="1" applyFont="1">
      <alignment horizontal="center" readingOrder="0" shrinkToFit="0" vertical="center" wrapText="1"/>
    </xf>
    <xf borderId="14" fillId="3" fontId="3" numFmtId="0" xfId="0" applyAlignment="1" applyBorder="1" applyFill="1" applyFont="1">
      <alignment horizontal="right" shrinkToFit="0" vertical="center" wrapText="1"/>
    </xf>
    <xf borderId="14" fillId="3" fontId="3" numFmtId="0" xfId="0" applyAlignment="1" applyBorder="1" applyFill="1" applyFont="1">
      <alignment shrinkToFit="0" vertical="center" wrapText="0"/>
    </xf>
    <xf borderId="1" fillId="10" fontId="12" numFmtId="0" xfId="0" applyAlignment="1" applyBorder="1" applyFill="1" applyFont="1">
      <alignment horizontal="center" readingOrder="0" shrinkToFit="0" vertical="center" wrapText="1"/>
    </xf>
    <xf borderId="0" fillId="0" fontId="13" numFmtId="2" xfId="0" applyAlignment="1" applyFont="1" applyNumberFormat="1">
      <alignment horizontal="center"/>
    </xf>
    <xf borderId="15" fillId="3" fontId="1" numFmtId="0" xfId="0" applyAlignment="1" applyBorder="1" applyFill="1" applyFont="1">
      <alignment horizontal="center" readingOrder="0" shrinkToFit="0" vertical="center" wrapText="1"/>
    </xf>
    <xf borderId="14" fillId="11" fontId="1" numFmtId="0" xfId="0" applyAlignment="1" applyBorder="1" applyFill="1" applyFont="1">
      <alignment horizontal="center" shrinkToFit="0" vertical="center" wrapText="1"/>
    </xf>
    <xf borderId="15" fillId="11" fontId="3" numFmtId="0" xfId="0" applyAlignment="1" applyBorder="1" applyFill="1" applyFont="1">
      <alignment readingOrder="0" shrinkToFit="0" vertical="center" wrapText="1"/>
    </xf>
    <xf borderId="18" fillId="11" fontId="3" numFmtId="0" xfId="0" applyAlignment="1" applyBorder="1" applyFill="1" applyFont="1">
      <alignment shrinkToFit="0" vertical="center" wrapText="1"/>
    </xf>
    <xf borderId="14" fillId="11" fontId="3" numFmtId="0" xfId="0" applyAlignment="1" applyBorder="1" applyFill="1" applyFont="1">
      <alignment shrinkToFit="0" vertical="center" wrapText="1"/>
    </xf>
    <xf borderId="14" fillId="3" fontId="1" numFmtId="49" xfId="0" applyAlignment="1" applyBorder="1" applyFill="1" applyFont="1" applyNumberFormat="1">
      <alignment horizontal="center" shrinkToFit="0" vertical="center" wrapText="1"/>
    </xf>
    <xf borderId="8" fillId="11" fontId="3" numFmtId="0" xfId="0" applyAlignment="1" applyBorder="1" applyFill="1" applyFont="1">
      <alignment horizontal="center" readingOrder="0" shrinkToFit="0" vertical="center" wrapText="1"/>
    </xf>
    <xf borderId="14" fillId="11" fontId="3" numFmtId="0" xfId="0" applyAlignment="1" applyBorder="1" applyFill="1" applyFont="1">
      <alignment readingOrder="0" shrinkToFit="0" vertical="center" wrapText="1"/>
    </xf>
    <xf borderId="18" fillId="11" fontId="3" numFmtId="0" xfId="0" applyAlignment="1" applyBorder="1" applyFill="1" applyFont="1">
      <alignment horizontal="center" shrinkToFit="0" vertical="center" wrapText="1"/>
    </xf>
    <xf borderId="18" fillId="11" fontId="3" numFmtId="0" xfId="0" applyAlignment="1" applyBorder="1" applyFill="1" applyFont="1">
      <alignment horizontal="center" readingOrder="0" shrinkToFit="0" vertical="center" wrapText="1"/>
    </xf>
    <xf borderId="14" fillId="3" fontId="1" numFmtId="2" xfId="0" applyAlignment="1" applyBorder="1" applyFill="1" applyFont="1" applyNumberFormat="1">
      <alignment horizontal="center" shrinkToFit="0" vertical="center" wrapText="1"/>
    </xf>
    <xf borderId="14" fillId="3" fontId="3" numFmtId="49" xfId="0" applyAlignment="1" applyBorder="1" applyFill="1" applyFont="1" applyNumberFormat="1">
      <alignment horizontal="center" shrinkToFit="0" vertical="center" wrapText="1"/>
    </xf>
    <xf borderId="18" fillId="11" fontId="3" numFmtId="0" xfId="0" applyAlignment="1" applyBorder="1" applyFill="1" applyFont="1">
      <alignment horizontal="right" shrinkToFit="0" vertical="center" wrapText="1"/>
    </xf>
    <xf borderId="14" fillId="11" fontId="3" numFmtId="0" xfId="0" applyAlignment="1" applyBorder="1" applyFill="1" applyFont="1">
      <alignment horizontal="center" shrinkToFit="0" vertical="center" wrapText="1"/>
    </xf>
    <xf borderId="15" fillId="11" fontId="3" numFmtId="0" xfId="0" applyAlignment="1" applyBorder="1" applyFill="1" applyFont="1">
      <alignment horizontal="right" shrinkToFit="0" vertical="center" wrapText="1"/>
    </xf>
    <xf borderId="14" fillId="3" fontId="3" numFmtId="49" xfId="0" applyAlignment="1" applyBorder="1" applyFill="1" applyFont="1" applyNumberFormat="1">
      <alignment shrinkToFit="0" vertical="center" wrapText="0"/>
    </xf>
    <xf borderId="14" fillId="11" fontId="3" numFmtId="165" xfId="0" applyAlignment="1" applyBorder="1" applyFill="1" applyFont="1" applyNumberFormat="1">
      <alignment horizontal="right" shrinkToFit="0" vertical="center" wrapText="1"/>
    </xf>
    <xf borderId="14" fillId="11" fontId="3" numFmtId="2" xfId="0" applyAlignment="1" applyBorder="1" applyFill="1" applyFont="1" applyNumberFormat="1">
      <alignment horizontal="right" shrinkToFit="0" vertical="center" wrapText="1"/>
    </xf>
    <xf borderId="14" fillId="11" fontId="3" numFmtId="0" xfId="0" applyAlignment="1" applyBorder="1" applyFill="1" applyFont="1">
      <alignment horizontal="center" readingOrder="0" shrinkToFit="0" vertical="center" wrapText="1"/>
    </xf>
    <xf borderId="14" fillId="12" fontId="1" numFmtId="49" xfId="0" applyAlignment="1" applyBorder="1" applyFill="1" applyFont="1" applyNumberFormat="1">
      <alignment horizontal="center" shrinkToFit="0" vertical="center" wrapText="1"/>
    </xf>
    <xf borderId="14" fillId="11" fontId="3" numFmtId="0" xfId="0" applyAlignment="1" applyBorder="1" applyFill="1" applyFont="1">
      <alignment horizontal="right" shrinkToFit="0" vertical="center" wrapText="1"/>
    </xf>
    <xf borderId="15" fillId="12" fontId="3" numFmtId="0" xfId="0" applyAlignment="1" applyBorder="1" applyFill="1" applyFont="1">
      <alignment readingOrder="0" shrinkToFit="0" vertical="center" wrapText="1"/>
    </xf>
    <xf borderId="14" fillId="12" fontId="1" numFmtId="0" xfId="0" applyAlignment="1" applyBorder="1" applyFill="1" applyFont="1">
      <alignment horizontal="center" shrinkToFit="0" vertical="center" wrapText="1"/>
    </xf>
    <xf borderId="14" fillId="11" fontId="3" numFmtId="0" xfId="0" applyAlignment="1" applyBorder="1" applyFill="1" applyFont="1">
      <alignment shrinkToFit="0" vertical="center" wrapText="0"/>
    </xf>
    <xf borderId="14" fillId="12" fontId="1" numFmtId="2" xfId="0" applyAlignment="1" applyBorder="1" applyFill="1" applyFont="1" applyNumberFormat="1">
      <alignment horizontal="center" shrinkToFit="0" vertical="center" wrapText="1"/>
    </xf>
    <xf borderId="14" fillId="12" fontId="3" numFmtId="49" xfId="0" applyAlignment="1" applyBorder="1" applyFill="1" applyFont="1" applyNumberFormat="1">
      <alignment horizontal="center" readingOrder="0" shrinkToFit="0" vertical="center" wrapText="1"/>
    </xf>
    <xf borderId="14" fillId="12" fontId="3" numFmtId="0" xfId="0" applyAlignment="1" applyBorder="1" applyFill="1" applyFont="1">
      <alignment shrinkToFit="0" vertical="center" wrapText="1"/>
    </xf>
    <xf borderId="14" fillId="12" fontId="3" numFmtId="0" xfId="0" applyAlignment="1" applyBorder="1" applyFill="1" applyFont="1">
      <alignment horizontal="center" shrinkToFit="0" vertical="center" wrapText="1"/>
    </xf>
    <xf borderId="14" fillId="12" fontId="3" numFmtId="0" xfId="0" applyAlignment="1" applyBorder="1" applyFill="1" applyFont="1">
      <alignment horizontal="center" readingOrder="0" shrinkToFit="0" vertical="center" wrapText="1"/>
    </xf>
    <xf borderId="14" fillId="12" fontId="3" numFmtId="2" xfId="0" applyAlignment="1" applyBorder="1" applyFill="1" applyFont="1" applyNumberFormat="1">
      <alignment horizontal="right" shrinkToFit="0" vertical="center" wrapText="1"/>
    </xf>
    <xf borderId="20" fillId="11" fontId="1" numFmtId="49" xfId="0" applyAlignment="1" applyBorder="1" applyFill="1" applyFont="1" applyNumberFormat="1">
      <alignment horizontal="center" readingOrder="0" shrinkToFit="0" vertical="center" wrapText="1"/>
    </xf>
    <xf borderId="21" fillId="0" fontId="2" numFmtId="0" xfId="0" applyBorder="1" applyFont="1"/>
    <xf borderId="14" fillId="12" fontId="3" numFmtId="49" xfId="0" applyAlignment="1" applyBorder="1" applyFill="1" applyFont="1" applyNumberFormat="1">
      <alignment shrinkToFit="0" vertical="center" wrapText="0"/>
    </xf>
    <xf borderId="22" fillId="0" fontId="2" numFmtId="0" xfId="0" applyBorder="1" applyFont="1"/>
    <xf borderId="15" fillId="12" fontId="3" numFmtId="0" xfId="0" applyAlignment="1" applyBorder="1" applyFill="1" applyFont="1">
      <alignment horizontal="right" shrinkToFit="0" vertical="center" wrapText="1"/>
    </xf>
    <xf borderId="0" fillId="11" fontId="1" numFmtId="49" xfId="0" applyAlignment="1" applyFill="1" applyFont="1" applyNumberFormat="1">
      <alignment horizontal="center" readingOrder="0" shrinkToFit="0" vertical="center" wrapText="1"/>
    </xf>
    <xf borderId="23" fillId="11" fontId="1" numFmtId="49" xfId="0" applyAlignment="1" applyBorder="1" applyFill="1" applyFont="1" applyNumberFormat="1">
      <alignment horizontal="center" shrinkToFit="0" vertical="center" wrapText="1"/>
    </xf>
    <xf borderId="1" fillId="11" fontId="1" numFmtId="0" xfId="0" applyAlignment="1" applyBorder="1" applyFill="1" applyFont="1">
      <alignment horizontal="left" readingOrder="0" shrinkToFit="0" vertical="center" wrapText="1"/>
    </xf>
    <xf borderId="15" fillId="11" fontId="1" numFmtId="0" xfId="0" applyAlignment="1" applyBorder="1" applyFill="1" applyFont="1">
      <alignment horizontal="center" readingOrder="0" shrinkToFit="0" vertical="center" wrapText="1"/>
    </xf>
    <xf borderId="24" fillId="0" fontId="2" numFmtId="0" xfId="0" applyBorder="1" applyFont="1"/>
    <xf borderId="0" fillId="11" fontId="1" numFmtId="0" xfId="0" applyAlignment="1" applyFill="1" applyFont="1">
      <alignment horizontal="left" readingOrder="0" shrinkToFit="0" vertical="center" wrapText="1"/>
    </xf>
    <xf borderId="15" fillId="12" fontId="1" numFmtId="49" xfId="0" applyAlignment="1" applyBorder="1" applyFill="1" applyFont="1" applyNumberFormat="1">
      <alignment horizontal="center" readingOrder="0" shrinkToFit="0" vertical="center" wrapText="1"/>
    </xf>
    <xf borderId="25" fillId="11" fontId="1" numFmtId="49" xfId="0" applyAlignment="1" applyBorder="1" applyFill="1" applyFont="1" applyNumberFormat="1">
      <alignment horizontal="left" readingOrder="0" shrinkToFit="0" vertical="center" wrapText="1"/>
    </xf>
    <xf borderId="4" fillId="11" fontId="3" numFmtId="0" xfId="0" applyAlignment="1" applyBorder="1" applyFill="1" applyFont="1">
      <alignment shrinkToFit="0" vertical="center" wrapText="1"/>
    </xf>
    <xf borderId="4" fillId="11" fontId="3" numFmtId="0" xfId="0" applyAlignment="1" applyBorder="1" applyFill="1" applyFont="1">
      <alignment horizontal="center" shrinkToFit="0" vertical="center" wrapText="1"/>
    </xf>
    <xf borderId="4" fillId="11" fontId="3" numFmtId="0" xfId="0" applyAlignment="1" applyBorder="1" applyFill="1" applyFont="1">
      <alignment horizontal="center" readingOrder="0" shrinkToFit="0" vertical="center" wrapText="1"/>
    </xf>
    <xf borderId="1" fillId="11" fontId="3" numFmtId="0" xfId="0" applyAlignment="1" applyBorder="1" applyFill="1" applyFont="1">
      <alignment horizontal="center" readingOrder="0" shrinkToFit="0" vertical="center" wrapText="1"/>
    </xf>
    <xf borderId="26" fillId="11" fontId="3" numFmtId="167" xfId="0" applyAlignment="1" applyBorder="1" applyFill="1" applyFont="1" applyNumberFormat="1">
      <alignment horizontal="center" shrinkToFit="0" vertical="center" wrapText="1"/>
    </xf>
    <xf borderId="0" fillId="11" fontId="3" numFmtId="167" xfId="0" applyAlignment="1" applyFill="1" applyFont="1" applyNumberFormat="1">
      <alignment horizontal="center" shrinkToFit="0" vertical="center" wrapText="1"/>
    </xf>
    <xf borderId="4" fillId="11" fontId="3" numFmtId="0" xfId="0" applyAlignment="1" applyBorder="1" applyFill="1" applyFont="1">
      <alignment readingOrder="0" shrinkToFit="0" vertical="center" wrapText="1"/>
    </xf>
    <xf borderId="15" fillId="3" fontId="1" numFmtId="49" xfId="0" applyAlignment="1" applyBorder="1" applyFill="1" applyFont="1" applyNumberFormat="1">
      <alignment horizontal="center" readingOrder="0" shrinkToFit="0" vertical="center" wrapText="1"/>
    </xf>
    <xf borderId="1" fillId="11" fontId="1" numFmtId="0" xfId="0" applyAlignment="1" applyBorder="1" applyFill="1" applyFont="1">
      <alignment readingOrder="0" shrinkToFit="0" vertical="center" wrapText="1"/>
    </xf>
    <xf borderId="0" fillId="11" fontId="1" numFmtId="0" xfId="0" applyAlignment="1" applyFill="1" applyFont="1">
      <alignment readingOrder="0" shrinkToFit="0" vertical="center" wrapText="1"/>
    </xf>
    <xf borderId="14" fillId="12" fontId="3" numFmtId="49" xfId="0" applyAlignment="1" applyBorder="1" applyFill="1" applyFont="1" applyNumberFormat="1">
      <alignment horizontal="center" shrinkToFit="0" vertical="center" wrapText="1"/>
    </xf>
    <xf borderId="25" fillId="11" fontId="1" numFmtId="49" xfId="0" applyAlignment="1" applyBorder="1" applyFill="1" applyFont="1" applyNumberFormat="1">
      <alignment horizontal="left" shrinkToFit="0" vertical="center" wrapText="1"/>
    </xf>
    <xf borderId="8" fillId="11" fontId="1" numFmtId="0" xfId="0" applyAlignment="1" applyBorder="1" applyFill="1" applyFont="1">
      <alignment horizontal="right" shrinkToFit="0" vertical="center" wrapText="1"/>
    </xf>
    <xf borderId="0" fillId="11" fontId="3" numFmtId="0" xfId="0" applyAlignment="1" applyFill="1" applyFont="1">
      <alignment horizontal="center" shrinkToFit="0" vertical="center" wrapText="1"/>
    </xf>
    <xf borderId="8" fillId="11" fontId="3" numFmtId="0" xfId="0" applyAlignment="1" applyBorder="1" applyFill="1" applyFont="1">
      <alignment horizontal="center" shrinkToFit="0" vertical="center" wrapText="1"/>
    </xf>
    <xf borderId="5" fillId="11" fontId="3" numFmtId="0" xfId="0" applyAlignment="1" applyBorder="1" applyFill="1" applyFont="1">
      <alignment horizontal="center" shrinkToFit="0" vertical="center" wrapText="1"/>
    </xf>
    <xf borderId="27" fillId="11" fontId="1" numFmtId="167" xfId="0" applyAlignment="1" applyBorder="1" applyFill="1" applyFont="1" applyNumberFormat="1">
      <alignment horizontal="center" shrinkToFit="0" vertical="center" wrapText="1"/>
    </xf>
    <xf borderId="0" fillId="11" fontId="1" numFmtId="167" xfId="0" applyAlignment="1" applyFill="1" applyFont="1" applyNumberFormat="1">
      <alignment horizontal="center" shrinkToFit="0" vertical="center" wrapText="1"/>
    </xf>
    <xf borderId="4" fillId="11" fontId="3" numFmtId="0" xfId="0" applyAlignment="1" applyBorder="1" applyFill="1" applyFont="1">
      <alignment horizontal="right" shrinkToFit="0" vertical="center" wrapText="1"/>
    </xf>
    <xf borderId="1" fillId="11" fontId="3" numFmtId="0" xfId="0" applyAlignment="1" applyBorder="1" applyFill="1" applyFont="1">
      <alignment horizontal="center" shrinkToFit="0" vertical="center" wrapText="1"/>
    </xf>
    <xf borderId="14" fillId="2" fontId="1" numFmtId="49" xfId="0" applyAlignment="1" applyBorder="1" applyFill="1" applyFont="1" applyNumberFormat="1">
      <alignment horizontal="center" shrinkToFit="0" vertical="center" wrapText="1"/>
    </xf>
    <xf borderId="1" fillId="13" fontId="1" numFmtId="0" xfId="0" applyAlignment="1" applyBorder="1" applyFill="1" applyFont="1">
      <alignment horizontal="center" readingOrder="0" shrinkToFit="0" vertical="center" wrapText="1"/>
    </xf>
    <xf borderId="15" fillId="2" fontId="3" numFmtId="0" xfId="0" applyAlignment="1" applyBorder="1" applyFill="1" applyFont="1">
      <alignment readingOrder="0" shrinkToFit="0" vertical="center" wrapText="1"/>
    </xf>
    <xf borderId="0" fillId="13" fontId="1" numFmtId="0" xfId="0" applyAlignment="1" applyFill="1" applyFont="1">
      <alignment horizontal="center" readingOrder="0" shrinkToFit="0" vertical="center" wrapText="1"/>
    </xf>
    <xf borderId="14" fillId="2" fontId="1" numFmtId="0" xfId="0" applyAlignment="1" applyBorder="1" applyFill="1" applyFont="1">
      <alignment horizontal="center" shrinkToFit="0" vertical="center" wrapText="1"/>
    </xf>
    <xf borderId="14" fillId="2" fontId="1" numFmtId="2" xfId="0" applyAlignment="1" applyBorder="1" applyFill="1" applyFont="1" applyNumberFormat="1">
      <alignment horizontal="center" shrinkToFit="0" vertical="center" wrapText="1"/>
    </xf>
    <xf borderId="14" fillId="2" fontId="3" numFmtId="49" xfId="0" applyAlignment="1" applyBorder="1" applyFill="1" applyFont="1" applyNumberFormat="1">
      <alignment horizontal="center" shrinkToFit="0" vertical="center" wrapText="1"/>
    </xf>
    <xf borderId="14" fillId="2" fontId="3" numFmtId="0" xfId="0" applyAlignment="1" applyBorder="1" applyFill="1" applyFont="1">
      <alignment shrinkToFit="0" vertical="center" wrapText="1"/>
    </xf>
    <xf borderId="14" fillId="2" fontId="3" numFmtId="0" xfId="0" applyAlignment="1" applyBorder="1" applyFill="1" applyFont="1">
      <alignment horizontal="center" shrinkToFit="0" vertical="center" wrapText="1"/>
    </xf>
    <xf borderId="0" fillId="13" fontId="1" numFmtId="167" xfId="0" applyAlignment="1" applyFill="1" applyFont="1" applyNumberFormat="1">
      <alignment horizontal="center" readingOrder="0" shrinkToFit="0" vertical="center" wrapText="1"/>
    </xf>
    <xf borderId="14" fillId="2" fontId="3" numFmtId="0" xfId="0" applyAlignment="1" applyBorder="1" applyFill="1" applyFont="1">
      <alignment horizontal="center" readingOrder="0" shrinkToFit="0" vertical="center" wrapText="1"/>
    </xf>
    <xf borderId="14" fillId="2" fontId="3" numFmtId="2" xfId="0" applyAlignment="1" applyBorder="1" applyFill="1" applyFont="1" applyNumberFormat="1">
      <alignment horizontal="right" shrinkToFit="0" vertical="center" wrapText="1"/>
    </xf>
    <xf borderId="14" fillId="2" fontId="3" numFmtId="49" xfId="0" applyAlignment="1" applyBorder="1" applyFill="1" applyFont="1" applyNumberFormat="1">
      <alignment shrinkToFit="0" vertical="center" wrapText="0"/>
    </xf>
    <xf borderId="15" fillId="2" fontId="3" numFmtId="0" xfId="0" applyAlignment="1" applyBorder="1" applyFill="1" applyFont="1">
      <alignment horizontal="right" shrinkToFit="0" vertical="center" wrapText="1"/>
    </xf>
    <xf borderId="15" fillId="2" fontId="1" numFmtId="49" xfId="0" applyAlignment="1" applyBorder="1" applyFill="1" applyFont="1" applyNumberFormat="1">
      <alignment horizontal="center" readingOrder="0" shrinkToFit="0" vertical="center" wrapText="1"/>
    </xf>
    <xf borderId="1" fillId="0" fontId="1" numFmtId="0" xfId="0" applyAlignment="1" applyBorder="1" applyFont="1">
      <alignment horizontal="center" shrinkToFit="0" vertical="center" wrapText="1"/>
    </xf>
    <xf borderId="0" fillId="0" fontId="14" numFmtId="0" xfId="0" applyAlignment="1" applyFont="1">
      <alignment horizontal="center" vertical="center"/>
    </xf>
    <xf borderId="1" fillId="0" fontId="1" numFmtId="0" xfId="0" applyAlignment="1" applyBorder="1" applyFont="1">
      <alignment horizontal="center" readingOrder="0" shrinkToFit="0" vertical="center" wrapText="1"/>
    </xf>
    <xf borderId="4" fillId="3" fontId="1" numFmtId="0" xfId="0" applyAlignment="1" applyBorder="1" applyFill="1" applyFont="1">
      <alignment horizontal="center" readingOrder="0" shrinkToFit="0" vertical="center" wrapText="1"/>
    </xf>
    <xf borderId="1" fillId="0" fontId="1" numFmtId="0" xfId="0" applyAlignment="1" applyBorder="1" applyFont="1">
      <alignment horizontal="center" shrinkToFit="0" vertical="center" wrapText="1"/>
    </xf>
    <xf borderId="4" fillId="3" fontId="3" numFmtId="168" xfId="0" applyAlignment="1" applyBorder="1" applyFill="1" applyFont="1" applyNumberFormat="1">
      <alignment horizontal="center" shrinkToFit="0" vertical="center" wrapText="1"/>
    </xf>
    <xf borderId="1" fillId="14" fontId="1" numFmtId="0" xfId="0" applyAlignment="1" applyBorder="1" applyFill="1" applyFont="1">
      <alignment horizontal="center" readingOrder="0" shrinkToFit="0" vertical="center" wrapText="1"/>
    </xf>
    <xf borderId="15" fillId="3" fontId="3" numFmtId="0" xfId="0" applyAlignment="1" applyBorder="1" applyFill="1" applyFont="1">
      <alignment horizontal="right" readingOrder="0" shrinkToFit="0" vertical="center" wrapText="1"/>
    </xf>
    <xf borderId="4" fillId="0" fontId="3" numFmtId="0" xfId="0" applyAlignment="1" applyBorder="1" applyFont="1">
      <alignment horizontal="center" shrinkToFit="0" vertical="center" wrapText="0"/>
    </xf>
    <xf borderId="4" fillId="0" fontId="3" numFmtId="0" xfId="0" applyAlignment="1" applyBorder="1" applyFont="1">
      <alignment shrinkToFit="0" vertical="center" wrapText="1"/>
    </xf>
    <xf borderId="4" fillId="0" fontId="3" numFmtId="0" xfId="0" applyAlignment="1" applyBorder="1" applyFont="1">
      <alignment horizontal="center" shrinkToFit="0" vertical="center" wrapText="1"/>
    </xf>
    <xf borderId="4" fillId="0" fontId="3" numFmtId="0" xfId="0" applyAlignment="1" applyBorder="1" applyFont="1">
      <alignment horizontal="center" readingOrder="0" shrinkToFit="0" vertical="center" wrapText="1"/>
    </xf>
    <xf borderId="4" fillId="3" fontId="3" numFmtId="168" xfId="0" applyAlignment="1" applyBorder="1" applyFill="1" applyFont="1" applyNumberFormat="1">
      <alignment horizontal="center" readingOrder="0" shrinkToFit="0" vertical="center" wrapText="1"/>
    </xf>
    <xf borderId="4" fillId="0" fontId="3" numFmtId="0" xfId="0" applyAlignment="1" applyBorder="1" applyFont="1">
      <alignment readingOrder="0" shrinkToFit="0" vertical="center" wrapText="1"/>
    </xf>
    <xf borderId="4" fillId="3" fontId="1" numFmtId="168" xfId="0" applyAlignment="1" applyBorder="1" applyFill="1" applyFont="1" applyNumberFormat="1">
      <alignment horizontal="center" shrinkToFit="0" vertical="center" wrapText="1"/>
    </xf>
    <xf borderId="4" fillId="3" fontId="3" numFmtId="2" xfId="0" applyAlignment="1" applyBorder="1" applyFill="1" applyFont="1" applyNumberFormat="1">
      <alignment horizontal="center" readingOrder="0" shrinkToFit="0" vertical="center" wrapText="1"/>
    </xf>
    <xf borderId="0" fillId="11" fontId="15" numFmtId="0" xfId="0" applyAlignment="1" applyFill="1" applyFont="1">
      <alignment horizontal="center" readingOrder="0" shrinkToFit="0" vertical="center" wrapText="1"/>
    </xf>
    <xf borderId="18" fillId="11" fontId="3" numFmtId="0" xfId="0" applyAlignment="1" applyBorder="1" applyFill="1" applyFont="1">
      <alignment horizontal="center" shrinkToFit="0" vertical="center" wrapText="0"/>
    </xf>
    <xf borderId="15" fillId="11" fontId="3" numFmtId="0" xfId="0" applyAlignment="1" applyBorder="1" applyFill="1" applyFont="1">
      <alignment horizontal="left" shrinkToFit="0" vertical="center" wrapText="0"/>
    </xf>
    <xf borderId="28" fillId="0" fontId="2" numFmtId="0" xfId="0" applyBorder="1" applyFont="1"/>
    <xf borderId="15" fillId="11" fontId="1" numFmtId="0" xfId="0" applyAlignment="1" applyBorder="1" applyFill="1" applyFont="1">
      <alignment horizontal="center" shrinkToFit="0" vertical="center" wrapText="0"/>
    </xf>
    <xf borderId="14" fillId="11" fontId="1" numFmtId="0" xfId="0" applyAlignment="1" applyBorder="1" applyFill="1" applyFont="1">
      <alignment horizontal="center" shrinkToFit="0" vertical="center" wrapText="0"/>
    </xf>
    <xf borderId="14" fillId="11" fontId="1" numFmtId="168" xfId="0" applyAlignment="1" applyBorder="1" applyFill="1" applyFont="1" applyNumberFormat="1">
      <alignment horizontal="center" shrinkToFit="0" vertical="center" wrapText="0"/>
    </xf>
    <xf borderId="1" fillId="15" fontId="1" numFmtId="0" xfId="0" applyAlignment="1" applyBorder="1" applyFill="1" applyFont="1">
      <alignment horizontal="center" readingOrder="0" shrinkToFit="0" vertical="center" wrapText="1"/>
    </xf>
    <xf borderId="4" fillId="15" fontId="1" numFmtId="0" xfId="0" applyAlignment="1" applyBorder="1" applyFill="1" applyFont="1">
      <alignment horizontal="center" readingOrder="0" shrinkToFit="0" vertical="center" wrapText="1"/>
    </xf>
    <xf borderId="4" fillId="15" fontId="3" numFmtId="0" xfId="0" applyAlignment="1" applyBorder="1" applyFill="1" applyFont="1">
      <alignment horizontal="center" shrinkToFit="0" vertical="center" wrapText="1"/>
    </xf>
    <xf borderId="4" fillId="15" fontId="3" numFmtId="0" xfId="0" applyAlignment="1" applyBorder="1" applyFill="1" applyFont="1">
      <alignment shrinkToFit="0" vertical="center" wrapText="1"/>
    </xf>
    <xf borderId="15" fillId="11" fontId="3" numFmtId="0" xfId="0" applyAlignment="1" applyBorder="1" applyFill="1" applyFont="1">
      <alignment horizontal="center" shrinkToFit="0" vertical="center" wrapText="0"/>
    </xf>
    <xf borderId="14" fillId="11" fontId="3" numFmtId="0" xfId="0" applyAlignment="1" applyBorder="1" applyFill="1" applyFont="1">
      <alignment horizontal="center" shrinkToFit="0" vertical="center" wrapText="0"/>
    </xf>
    <xf borderId="4" fillId="15" fontId="3" numFmtId="168" xfId="0" applyAlignment="1" applyBorder="1" applyFill="1" applyFont="1" applyNumberFormat="1">
      <alignment horizontal="center" shrinkToFit="0" vertical="center" wrapText="1"/>
    </xf>
    <xf borderId="14" fillId="11" fontId="3" numFmtId="168" xfId="0" applyAlignment="1" applyBorder="1" applyFill="1" applyFont="1" applyNumberFormat="1">
      <alignment horizontal="center" shrinkToFit="0" vertical="center" wrapText="0"/>
    </xf>
    <xf borderId="4" fillId="15" fontId="3" numFmtId="0" xfId="0" applyAlignment="1" applyBorder="1" applyFill="1" applyFont="1">
      <alignment readingOrder="0" shrinkToFit="0" vertical="center" wrapText="1"/>
    </xf>
    <xf borderId="4" fillId="15" fontId="3" numFmtId="0" xfId="0" applyAlignment="1" applyBorder="1" applyFill="1" applyFont="1">
      <alignment horizontal="center" readingOrder="0" shrinkToFit="0" vertical="center" wrapText="1"/>
    </xf>
    <xf borderId="4" fillId="15" fontId="3" numFmtId="168" xfId="0" applyAlignment="1" applyBorder="1" applyFill="1" applyFont="1" applyNumberFormat="1">
      <alignment horizontal="center" readingOrder="0" shrinkToFit="0" vertical="center" wrapText="1"/>
    </xf>
    <xf borderId="4" fillId="15" fontId="1" numFmtId="168" xfId="0" applyAlignment="1" applyBorder="1" applyFill="1" applyFont="1" applyNumberFormat="1">
      <alignment horizontal="center" shrinkToFit="0" vertical="center" wrapText="1"/>
    </xf>
    <xf borderId="4" fillId="15" fontId="3" numFmtId="2" xfId="0" applyAlignment="1" applyBorder="1" applyFill="1" applyFont="1" applyNumberFormat="1">
      <alignment horizontal="center" readingOrder="0" shrinkToFit="0" vertical="center" wrapText="1"/>
    </xf>
    <xf borderId="15" fillId="11" fontId="1" numFmtId="0" xfId="0" applyAlignment="1" applyBorder="1" applyFill="1" applyFont="1">
      <alignment horizontal="left" shrinkToFit="0" vertical="center" wrapText="0"/>
    </xf>
    <xf borderId="4" fillId="15" fontId="3" numFmtId="169" xfId="0" applyAlignment="1" applyBorder="1" applyFill="1" applyFont="1" applyNumberFormat="1">
      <alignment horizontal="center" shrinkToFit="0" vertical="center" wrapText="1"/>
    </xf>
    <xf borderId="8" fillId="15" fontId="3" numFmtId="0" xfId="0" applyAlignment="1" applyBorder="1" applyFill="1" applyFont="1">
      <alignment horizontal="center" shrinkToFit="0" vertical="center" wrapText="1"/>
    </xf>
    <xf borderId="0" fillId="0" fontId="14" numFmtId="0" xfId="0" applyAlignment="1" applyFont="1">
      <alignment horizontal="center" vertical="center"/>
    </xf>
    <xf borderId="14" fillId="11" fontId="3" numFmtId="0" xfId="0" applyAlignment="1" applyBorder="1" applyFill="1" applyFont="1">
      <alignment readingOrder="0" shrinkToFit="0" vertical="center" wrapText="0"/>
    </xf>
    <xf borderId="4" fillId="0" fontId="3" numFmtId="0" xfId="0" applyAlignment="1" applyBorder="1" applyFont="1">
      <alignment horizontal="center" shrinkToFit="0" vertical="center" wrapText="1"/>
    </xf>
    <xf borderId="1" fillId="7" fontId="11" numFmtId="0" xfId="0" applyAlignment="1" applyBorder="1" applyFill="1" applyFont="1">
      <alignment readingOrder="0" shrinkToFit="0" vertical="top" wrapText="1"/>
    </xf>
    <xf borderId="0" fillId="0" fontId="14" numFmtId="0" xfId="0" applyFont="1"/>
    <xf borderId="4" fillId="7" fontId="12" numFmtId="0" xfId="0" applyAlignment="1" applyBorder="1" applyFill="1" applyFont="1">
      <alignment vertical="top"/>
    </xf>
    <xf borderId="4" fillId="7" fontId="12" numFmtId="0" xfId="0" applyAlignment="1" applyBorder="1" applyFill="1" applyFont="1">
      <alignment readingOrder="0" vertical="top"/>
    </xf>
    <xf borderId="4" fillId="7" fontId="12" numFmtId="0" xfId="0" applyAlignment="1" applyBorder="1" applyFill="1" applyFont="1">
      <alignment horizontal="left" vertical="top"/>
    </xf>
    <xf borderId="1" fillId="7" fontId="12" numFmtId="0" xfId="0" applyAlignment="1" applyBorder="1" applyFill="1" applyFont="1">
      <alignment horizontal="left" vertical="top"/>
    </xf>
    <xf borderId="1" fillId="0" fontId="12" numFmtId="0" xfId="0" applyAlignment="1" applyBorder="1" applyFont="1">
      <alignment horizontal="left" readingOrder="0" vertical="top"/>
    </xf>
    <xf borderId="8" fillId="7" fontId="12" numFmtId="0" xfId="0" applyAlignment="1" applyBorder="1" applyFill="1" applyFont="1">
      <alignment vertical="top"/>
    </xf>
    <xf borderId="8" fillId="7" fontId="12" numFmtId="0" xfId="0" applyAlignment="1" applyBorder="1" applyFill="1" applyFont="1">
      <alignment readingOrder="0" vertical="top"/>
    </xf>
    <xf borderId="15" fillId="11" fontId="3" numFmtId="0" xfId="0" applyAlignment="1" applyBorder="1" applyFill="1" applyFont="1">
      <alignment horizontal="center" readingOrder="0" shrinkToFit="0" vertical="center" wrapText="0"/>
    </xf>
    <xf borderId="1" fillId="7" fontId="12" numFmtId="0" xfId="0" applyAlignment="1" applyBorder="1" applyFill="1" applyFont="1">
      <alignment horizontal="left" readingOrder="0" vertical="top"/>
    </xf>
    <xf borderId="18" fillId="11" fontId="3" numFmtId="0" xfId="0" applyAlignment="1" applyBorder="1" applyFill="1" applyFont="1">
      <alignment shrinkToFit="0" vertical="center" wrapText="0"/>
    </xf>
    <xf borderId="14" fillId="11" fontId="3" numFmtId="168" xfId="0" applyAlignment="1" applyBorder="1" applyFill="1" applyFont="1" applyNumberFormat="1">
      <alignment horizontal="center" shrinkToFit="0" vertical="center" wrapText="1"/>
    </xf>
    <xf borderId="18" fillId="11" fontId="3" numFmtId="168" xfId="0" applyAlignment="1" applyBorder="1" applyFill="1" applyFont="1" applyNumberFormat="1">
      <alignment horizontal="center" shrinkToFit="0" vertical="center" wrapText="0"/>
    </xf>
    <xf borderId="2" fillId="11" fontId="1" numFmtId="0" xfId="0" applyAlignment="1" applyBorder="1" applyFill="1" applyFont="1">
      <alignment horizontal="center" shrinkToFit="0" vertical="center" wrapText="0"/>
    </xf>
    <xf borderId="14" fillId="11" fontId="3" numFmtId="2" xfId="0" applyAlignment="1" applyBorder="1" applyFill="1" applyFont="1" applyNumberFormat="1">
      <alignment horizontal="center" shrinkToFit="0" vertical="center" wrapText="1"/>
    </xf>
    <xf borderId="4" fillId="11" fontId="1" numFmtId="168" xfId="0" applyAlignment="1" applyBorder="1" applyFill="1" applyFont="1" applyNumberFormat="1">
      <alignment horizontal="center" shrinkToFit="0" vertical="center" wrapText="0"/>
    </xf>
    <xf borderId="0" fillId="0" fontId="12" numFmtId="2" xfId="0" applyAlignment="1" applyFont="1" applyNumberFormat="1">
      <alignment horizontal="center" readingOrder="0" shrinkToFit="0" vertical="center" wrapText="1"/>
    </xf>
    <xf borderId="4" fillId="11" fontId="3" numFmtId="0" xfId="0" applyAlignment="1" applyBorder="1" applyFill="1" applyFont="1">
      <alignment horizontal="center" shrinkToFit="0" vertical="center" wrapText="0"/>
    </xf>
    <xf borderId="29" fillId="11" fontId="1" numFmtId="0" xfId="0" applyAlignment="1" applyBorder="1" applyFill="1" applyFont="1">
      <alignment horizontal="center" shrinkToFit="0" vertical="center" wrapText="0"/>
    </xf>
    <xf borderId="15" fillId="11" fontId="3" numFmtId="0" xfId="0" applyAlignment="1" applyBorder="1" applyFill="1" applyFont="1">
      <alignment horizontal="left" readingOrder="0" shrinkToFit="0" vertical="center" wrapText="1"/>
    </xf>
    <xf borderId="19" fillId="11" fontId="1" numFmtId="0" xfId="0" applyAlignment="1" applyBorder="1" applyFill="1" applyFont="1">
      <alignment horizontal="center" shrinkToFit="0" vertical="center" wrapText="0"/>
    </xf>
    <xf borderId="19" fillId="11" fontId="1" numFmtId="168" xfId="0" applyAlignment="1" applyBorder="1" applyFill="1" applyFont="1" applyNumberFormat="1">
      <alignment horizontal="center" shrinkToFit="0" vertical="center" wrapText="0"/>
    </xf>
    <xf borderId="14" fillId="11" fontId="3" numFmtId="0" xfId="0" applyAlignment="1" applyBorder="1" applyFill="1" applyFont="1">
      <alignment horizontal="left" shrinkToFit="0" vertical="center" wrapText="1"/>
    </xf>
    <xf borderId="19" fillId="11" fontId="3" numFmtId="0" xfId="0" applyAlignment="1" applyBorder="1" applyFill="1" applyFont="1">
      <alignment horizontal="center" shrinkToFit="0" vertical="center" wrapText="0"/>
    </xf>
    <xf borderId="14" fillId="11" fontId="3" numFmtId="0" xfId="0" applyAlignment="1" applyBorder="1" applyFill="1" applyFont="1">
      <alignment horizontal="center" readingOrder="0" shrinkToFit="0" vertical="center" wrapText="0"/>
    </xf>
    <xf borderId="4" fillId="7" fontId="11" numFmtId="0" xfId="0" applyAlignment="1" applyBorder="1" applyFill="1" applyFont="1">
      <alignment horizontal="right" readingOrder="0" shrinkToFit="0" vertical="center" wrapText="1"/>
    </xf>
    <xf borderId="14" fillId="11" fontId="3" numFmtId="170" xfId="0" applyAlignment="1" applyBorder="1" applyFill="1" applyFont="1" applyNumberFormat="1">
      <alignment horizontal="center" shrinkToFit="0" vertical="center" wrapText="1"/>
    </xf>
    <xf borderId="18" fillId="11" fontId="3" numFmtId="0" xfId="0" applyAlignment="1" applyBorder="1" applyFill="1" applyFont="1">
      <alignment horizontal="center" readingOrder="0" shrinkToFit="0" vertical="center" wrapText="0"/>
    </xf>
    <xf borderId="18" fillId="11" fontId="3" numFmtId="0" xfId="0" applyAlignment="1" applyBorder="1" applyFill="1" applyFont="1">
      <alignment horizontal="left" readingOrder="0" shrinkToFit="0" vertical="center" wrapText="1"/>
    </xf>
    <xf borderId="15" fillId="11" fontId="3" numFmtId="0" xfId="0" applyAlignment="1" applyBorder="1" applyFill="1" applyFont="1">
      <alignment horizontal="center" shrinkToFit="0" vertical="center" wrapText="1"/>
    </xf>
    <xf borderId="1" fillId="7" fontId="11" numFmtId="0" xfId="0" applyAlignment="1" applyBorder="1" applyFill="1" applyFont="1">
      <alignment readingOrder="0" vertical="top"/>
    </xf>
    <xf borderId="4" fillId="7" fontId="12" numFmtId="0" xfId="0" applyAlignment="1" applyBorder="1" applyFill="1" applyFont="1">
      <alignment horizontal="left" readingOrder="0" vertical="top"/>
    </xf>
    <xf borderId="1" fillId="7" fontId="12" numFmtId="0" xfId="0" applyAlignment="1" applyBorder="1" applyFill="1" applyFont="1">
      <alignment readingOrder="0" vertical="top"/>
    </xf>
    <xf borderId="14" fillId="11" fontId="3" numFmtId="168" xfId="0" applyAlignment="1" applyBorder="1" applyFill="1" applyFont="1" applyNumberFormat="1">
      <alignment horizontal="center" readingOrder="0" shrinkToFit="0" vertical="center" wrapText="0"/>
    </xf>
    <xf borderId="15" fillId="11" fontId="1" numFmtId="0" xfId="0" applyAlignment="1" applyBorder="1" applyFill="1" applyFont="1">
      <alignment horizontal="center" readingOrder="0" shrinkToFit="0" vertical="center" wrapText="0"/>
    </xf>
    <xf borderId="0" fillId="12" fontId="10" numFmtId="0" xfId="0" applyAlignment="1" applyFill="1" applyFont="1">
      <alignment horizontal="center" readingOrder="0" vertical="center"/>
    </xf>
    <xf borderId="15" fillId="11" fontId="3" numFmtId="0" xfId="0" applyAlignment="1" applyBorder="1" applyFill="1" applyFont="1">
      <alignment shrinkToFit="0" vertical="center" wrapText="1"/>
    </xf>
    <xf borderId="30" fillId="12" fontId="16" numFmtId="0" xfId="0" applyAlignment="1" applyBorder="1" applyFill="1" applyFont="1">
      <alignment horizontal="center" readingOrder="0" shrinkToFit="0" vertical="center" wrapText="0"/>
    </xf>
    <xf borderId="4" fillId="7" fontId="11" numFmtId="0" xfId="0" applyAlignment="1" applyBorder="1" applyFill="1" applyFont="1">
      <alignment readingOrder="0" vertical="top"/>
    </xf>
    <xf borderId="15" fillId="12" fontId="16" numFmtId="0" xfId="0" applyAlignment="1" applyBorder="1" applyFill="1" applyFont="1">
      <alignment horizontal="left" readingOrder="0" shrinkToFit="0" vertical="center" wrapText="0"/>
    </xf>
    <xf borderId="31" fillId="0" fontId="2" numFmtId="0" xfId="0" applyBorder="1" applyFont="1"/>
    <xf borderId="15" fillId="12" fontId="17" numFmtId="0" xfId="0" applyAlignment="1" applyBorder="1" applyFill="1" applyFont="1">
      <alignment horizontal="center" readingOrder="0" shrinkToFit="0" vertical="center" wrapText="0"/>
    </xf>
    <xf borderId="14" fillId="12" fontId="17" numFmtId="0" xfId="0" applyAlignment="1" applyBorder="1" applyFill="1" applyFont="1">
      <alignment horizontal="center" readingOrder="0" shrinkToFit="0" vertical="center" wrapText="0"/>
    </xf>
    <xf borderId="32" fillId="0" fontId="18" numFmtId="0" xfId="0" applyAlignment="1" applyBorder="1" applyFont="1">
      <alignment horizontal="center" readingOrder="0" shrinkToFit="0" vertical="center" wrapText="1"/>
    </xf>
    <xf borderId="33" fillId="0" fontId="2" numFmtId="0" xfId="0" applyBorder="1" applyFont="1"/>
    <xf borderId="14" fillId="12" fontId="17" numFmtId="168" xfId="0" applyAlignment="1" applyBorder="1" applyFill="1" applyFont="1" applyNumberFormat="1">
      <alignment horizontal="center" readingOrder="0" shrinkToFit="0" vertical="center" wrapText="0"/>
    </xf>
    <xf borderId="34" fillId="0" fontId="2" numFmtId="0" xfId="0" applyBorder="1" applyFont="1"/>
    <xf borderId="14" fillId="12" fontId="17" numFmtId="0" xfId="0" applyAlignment="1" applyBorder="1" applyFill="1" applyFont="1">
      <alignment readingOrder="0" shrinkToFit="0" vertical="center" wrapText="0"/>
    </xf>
    <xf borderId="16" fillId="12" fontId="16" numFmtId="0" xfId="0" applyAlignment="1" applyBorder="1" applyFill="1" applyFont="1">
      <alignment horizontal="center" readingOrder="0" shrinkToFit="0" vertical="center" wrapText="0"/>
    </xf>
    <xf borderId="14" fillId="12" fontId="16" numFmtId="0" xfId="0" applyAlignment="1" applyBorder="1" applyFill="1" applyFont="1">
      <alignment horizontal="center" readingOrder="0" shrinkToFit="0" vertical="center" wrapText="0"/>
    </xf>
    <xf borderId="14" fillId="12" fontId="16" numFmtId="168" xfId="0" applyAlignment="1" applyBorder="1" applyFill="1" applyFont="1" applyNumberFormat="1">
      <alignment horizontal="center" readingOrder="0" shrinkToFit="0" vertical="center" wrapText="0"/>
    </xf>
    <xf borderId="14" fillId="12" fontId="16" numFmtId="0" xfId="0" applyAlignment="1" applyBorder="1" applyFill="1" applyFont="1">
      <alignment readingOrder="0" shrinkToFit="0" vertical="center" wrapText="0"/>
    </xf>
    <xf borderId="15" fillId="12" fontId="17" numFmtId="0" xfId="0" applyAlignment="1" applyBorder="1" applyFill="1" applyFont="1">
      <alignment horizontal="left" readingOrder="0" shrinkToFit="0" vertical="center" wrapText="0"/>
    </xf>
    <xf borderId="16" fillId="12" fontId="16" numFmtId="0" xfId="0" applyAlignment="1" applyBorder="1" applyFill="1" applyFont="1">
      <alignment horizontal="center" shrinkToFit="0" vertical="center" wrapText="0"/>
    </xf>
    <xf borderId="4" fillId="0" fontId="3" numFmtId="2" xfId="0" applyAlignment="1" applyBorder="1" applyFont="1" applyNumberFormat="1">
      <alignment horizontal="left" shrinkToFit="0" vertical="center" wrapText="1"/>
    </xf>
    <xf borderId="15" fillId="12" fontId="16" numFmtId="0" xfId="0" applyAlignment="1" applyBorder="1" applyFill="1" applyFont="1">
      <alignment horizontal="center" shrinkToFit="0" vertical="center" wrapText="0"/>
    </xf>
    <xf borderId="8" fillId="6" fontId="19" numFmtId="0" xfId="0" applyAlignment="1" applyBorder="1" applyFill="1" applyFont="1">
      <alignment horizontal="center" readingOrder="0" shrinkToFit="0" vertical="center" wrapText="1"/>
    </xf>
    <xf borderId="1" fillId="6" fontId="19" numFmtId="0" xfId="0" applyAlignment="1" applyBorder="1" applyFill="1" applyFont="1">
      <alignment horizontal="center" readingOrder="0" shrinkToFit="0" vertical="center" wrapText="1"/>
    </xf>
    <xf borderId="0" fillId="0" fontId="13" numFmtId="2" xfId="0" applyAlignment="1" applyFont="1" applyNumberFormat="1">
      <alignment horizontal="center" readingOrder="0" shrinkToFit="0" vertical="center" wrapText="1"/>
    </xf>
    <xf borderId="4" fillId="6" fontId="19" numFmtId="0" xfId="0" applyAlignment="1" applyBorder="1" applyFill="1" applyFont="1">
      <alignment horizontal="center" readingOrder="0" shrinkToFit="0" vertical="center" wrapText="1"/>
    </xf>
    <xf borderId="15" fillId="12" fontId="16" numFmtId="0" xfId="0" applyAlignment="1" applyBorder="1" applyFill="1" applyFont="1">
      <alignment horizontal="center" readingOrder="0" shrinkToFit="0" vertical="center" wrapText="0"/>
    </xf>
    <xf borderId="14" fillId="12" fontId="16" numFmtId="0" xfId="0" applyAlignment="1" applyBorder="1" applyFill="1" applyFont="1">
      <alignment horizontal="center" shrinkToFit="0" vertical="center" wrapText="0"/>
    </xf>
    <xf borderId="1" fillId="0" fontId="18" numFmtId="0" xfId="0" applyAlignment="1" applyBorder="1" applyFont="1">
      <alignment horizontal="left" readingOrder="0" shrinkToFit="0" vertical="center" wrapText="1"/>
    </xf>
    <xf borderId="35" fillId="0" fontId="2" numFmtId="0" xfId="0" applyBorder="1" applyFont="1"/>
    <xf borderId="4" fillId="0" fontId="20" numFmtId="0" xfId="0" applyAlignment="1" applyBorder="1" applyFont="1">
      <alignment shrinkToFit="0" vertical="center" wrapText="1"/>
    </xf>
    <xf borderId="2" fillId="12" fontId="17" numFmtId="0" xfId="0" applyAlignment="1" applyBorder="1" applyFill="1" applyFont="1">
      <alignment horizontal="center" readingOrder="0" shrinkToFit="0" vertical="center" wrapText="0"/>
    </xf>
    <xf borderId="1" fillId="0" fontId="20" numFmtId="0" xfId="0" applyAlignment="1" applyBorder="1" applyFont="1">
      <alignment readingOrder="0" shrinkToFit="0" vertical="center" wrapText="1"/>
    </xf>
    <xf borderId="4" fillId="12" fontId="17" numFmtId="168" xfId="0" applyAlignment="1" applyBorder="1" applyFill="1" applyFont="1" applyNumberFormat="1">
      <alignment horizontal="center" readingOrder="0" shrinkToFit="0" vertical="center" wrapText="0"/>
    </xf>
    <xf borderId="14" fillId="12" fontId="17" numFmtId="0" xfId="0" applyAlignment="1" applyBorder="1" applyFill="1" applyFont="1">
      <alignment horizontal="center" shrinkToFit="0" vertical="center" wrapText="0"/>
    </xf>
    <xf borderId="8" fillId="16" fontId="20" numFmtId="0" xfId="0" applyAlignment="1" applyBorder="1" applyFill="1" applyFont="1">
      <alignment shrinkToFit="0" vertical="center" wrapText="1"/>
    </xf>
    <xf borderId="14" fillId="12" fontId="16" numFmtId="0" xfId="0" applyAlignment="1" applyBorder="1" applyFill="1" applyFont="1">
      <alignment readingOrder="0" vertical="center"/>
    </xf>
    <xf borderId="8" fillId="16" fontId="20" numFmtId="0" xfId="0" applyAlignment="1" applyBorder="1" applyFill="1" applyFont="1">
      <alignment readingOrder="0" shrinkToFit="0" vertical="center" wrapText="1"/>
    </xf>
    <xf borderId="14" fillId="12" fontId="16" numFmtId="0" xfId="0" applyAlignment="1" applyBorder="1" applyFill="1" applyFont="1">
      <alignment horizontal="center" vertical="center"/>
    </xf>
    <xf borderId="1" fillId="16" fontId="20" numFmtId="0" xfId="0" applyAlignment="1" applyBorder="1" applyFill="1" applyFont="1">
      <alignment readingOrder="0" shrinkToFit="0" vertical="center" wrapText="1"/>
    </xf>
    <xf borderId="1" fillId="16" fontId="20" numFmtId="0" xfId="0" applyAlignment="1" applyBorder="1" applyFill="1" applyFont="1">
      <alignment shrinkToFit="0" vertical="center" wrapText="1"/>
    </xf>
    <xf borderId="14" fillId="12" fontId="16" numFmtId="0" xfId="0" applyAlignment="1" applyBorder="1" applyFill="1" applyFont="1">
      <alignment horizontal="center" readingOrder="0" vertical="center"/>
    </xf>
    <xf borderId="4" fillId="16" fontId="20" numFmtId="0" xfId="0" applyAlignment="1" applyBorder="1" applyFill="1" applyFont="1">
      <alignment readingOrder="0" shrinkToFit="0" vertical="center" wrapText="1"/>
    </xf>
    <xf borderId="28" fillId="12" fontId="16" numFmtId="0" xfId="0" applyAlignment="1" applyBorder="1" applyFill="1" applyFont="1">
      <alignment horizontal="center" readingOrder="0" shrinkToFit="0" vertical="center" wrapText="0"/>
    </xf>
    <xf borderId="28" fillId="12" fontId="16" numFmtId="0" xfId="0" applyAlignment="1" applyBorder="1" applyFill="1" applyFont="1">
      <alignment readingOrder="0" vertical="center"/>
    </xf>
    <xf borderId="14" fillId="12" fontId="16" numFmtId="168" xfId="0" applyAlignment="1" applyBorder="1" applyFill="1" applyFont="1" applyNumberFormat="1">
      <alignment horizontal="center" shrinkToFit="0" vertical="center" wrapText="0"/>
    </xf>
    <xf borderId="16" fillId="12" fontId="16" numFmtId="0" xfId="0" applyAlignment="1" applyBorder="1" applyFill="1" applyFont="1">
      <alignment horizontal="center" readingOrder="0" vertical="center"/>
    </xf>
    <xf borderId="16" fillId="12" fontId="16" numFmtId="0" xfId="0" applyAlignment="1" applyBorder="1" applyFill="1" applyFont="1">
      <alignment horizontal="left" readingOrder="0" shrinkToFit="0" vertical="center" wrapText="0"/>
    </xf>
    <xf borderId="1" fillId="16" fontId="21" numFmtId="0" xfId="0" applyAlignment="1" applyBorder="1" applyFill="1" applyFont="1">
      <alignment readingOrder="0" shrinkToFit="0" vertical="center" wrapText="1"/>
    </xf>
    <xf borderId="16" fillId="12" fontId="17" numFmtId="0" xfId="0" applyAlignment="1" applyBorder="1" applyFill="1" applyFont="1">
      <alignment horizontal="left" readingOrder="0" shrinkToFit="0" vertical="center" wrapText="0"/>
    </xf>
    <xf borderId="4" fillId="16" fontId="20" numFmtId="0" xfId="0" applyAlignment="1" applyBorder="1" applyFill="1" applyFont="1">
      <alignment shrinkToFit="0" vertical="center" wrapText="1"/>
    </xf>
    <xf borderId="14" fillId="12" fontId="3" numFmtId="0" xfId="0" applyAlignment="1" applyBorder="1" applyFill="1" applyFont="1">
      <alignment horizontal="center" readingOrder="0" shrinkToFit="0" vertical="center" wrapText="0"/>
    </xf>
    <xf borderId="16" fillId="12" fontId="1" numFmtId="0" xfId="0" applyAlignment="1" applyBorder="1" applyFill="1" applyFont="1">
      <alignment horizontal="center" shrinkToFit="0" vertical="center" wrapText="0"/>
    </xf>
    <xf borderId="4" fillId="0" fontId="20" numFmtId="0" xfId="0" applyAlignment="1" applyBorder="1" applyFont="1">
      <alignment readingOrder="0" shrinkToFit="0" vertical="center" wrapText="1"/>
    </xf>
    <xf borderId="0" fillId="11" fontId="14" numFmtId="0" xfId="0" applyFill="1" applyFont="1"/>
    <xf borderId="30" fillId="11" fontId="3" numFmtId="0" xfId="0" applyAlignment="1" applyBorder="1" applyFill="1" applyFont="1">
      <alignment horizontal="center" shrinkToFit="0" vertical="center" wrapText="0"/>
    </xf>
    <xf borderId="14" fillId="11" fontId="1" numFmtId="0" xfId="0" applyAlignment="1" applyBorder="1" applyFill="1" applyFont="1">
      <alignment shrinkToFit="0" vertical="center" wrapText="0"/>
    </xf>
    <xf borderId="4" fillId="0" fontId="20" numFmtId="171" xfId="0" applyAlignment="1" applyBorder="1" applyFont="1" applyNumberFormat="1">
      <alignment readingOrder="0" shrinkToFit="0" vertical="center" wrapText="1"/>
    </xf>
    <xf borderId="1" fillId="0" fontId="18" numFmtId="0" xfId="0" applyAlignment="1" applyBorder="1" applyFont="1">
      <alignment readingOrder="0" shrinkToFit="0" vertical="center" wrapText="1"/>
    </xf>
    <xf borderId="4" fillId="0" fontId="20" numFmtId="0" xfId="0" applyAlignment="1" applyBorder="1" applyFont="1">
      <alignment shrinkToFit="0" vertical="center" wrapText="1"/>
    </xf>
    <xf borderId="4" fillId="0" fontId="18" numFmtId="0" xfId="0" applyAlignment="1" applyBorder="1" applyFont="1">
      <alignment readingOrder="0" shrinkToFit="0" vertical="center" wrapText="1"/>
    </xf>
    <xf borderId="15" fillId="11" fontId="3" numFmtId="0" xfId="0" applyAlignment="1" applyBorder="1" applyFill="1" applyFont="1">
      <alignment horizontal="left" shrinkToFit="0" vertical="center" wrapText="1"/>
    </xf>
    <xf borderId="14" fillId="11" fontId="3" numFmtId="0" xfId="0" applyAlignment="1" applyBorder="1" applyFill="1" applyFont="1">
      <alignment horizontal="left" readingOrder="0" shrinkToFit="0" vertical="center" wrapText="1"/>
    </xf>
    <xf borderId="1" fillId="3" fontId="18" numFmtId="0" xfId="0" applyAlignment="1" applyBorder="1" applyFill="1" applyFont="1">
      <alignment horizontal="center" readingOrder="0" shrinkToFit="0" vertical="center" wrapText="1"/>
    </xf>
    <xf borderId="4" fillId="3" fontId="18" numFmtId="0" xfId="0" applyAlignment="1" applyBorder="1" applyFill="1" applyFont="1">
      <alignment readingOrder="0" shrinkToFit="0" vertical="center" wrapText="1"/>
    </xf>
    <xf borderId="0" fillId="10" fontId="13" numFmtId="2" xfId="0" applyAlignment="1" applyFill="1" applyFont="1" applyNumberFormat="1">
      <alignment horizontal="center" readingOrder="0" shrinkToFit="0" vertical="center" wrapText="1"/>
    </xf>
    <xf borderId="14" fillId="11" fontId="3" numFmtId="168" xfId="0" applyAlignment="1" applyBorder="1" applyFill="1" applyFont="1" applyNumberFormat="1">
      <alignment horizontal="center" readingOrder="0" shrinkToFit="0" vertical="center" wrapText="1"/>
    </xf>
    <xf borderId="1" fillId="11" fontId="1" numFmtId="0" xfId="0" applyAlignment="1" applyBorder="1" applyFill="1" applyFont="1">
      <alignment horizontal="center" shrinkToFit="0" vertical="center" wrapText="0"/>
    </xf>
    <xf borderId="15" fillId="11" fontId="3" numFmtId="0" xfId="0" applyAlignment="1" applyBorder="1" applyFill="1" applyFont="1">
      <alignment shrinkToFit="0" vertical="center" wrapText="0"/>
    </xf>
    <xf borderId="15" fillId="11" fontId="1" numFmtId="0" xfId="0" applyAlignment="1" applyBorder="1" applyFill="1" applyFont="1">
      <alignment shrinkToFit="0" vertical="center" wrapText="1"/>
    </xf>
    <xf borderId="14" fillId="11" fontId="1" numFmtId="2" xfId="0" applyAlignment="1" applyBorder="1" applyFill="1" applyFont="1" applyNumberFormat="1">
      <alignment horizontal="center" shrinkToFit="0" vertical="center" wrapText="1"/>
    </xf>
    <xf borderId="16" fillId="12" fontId="16" numFmtId="0" xfId="0" applyAlignment="1" applyBorder="1" applyFill="1" applyFont="1">
      <alignment readingOrder="0" shrinkToFit="0" vertical="center" wrapText="0"/>
    </xf>
    <xf borderId="15" fillId="12" fontId="1" numFmtId="0" xfId="0" applyAlignment="1" applyBorder="1" applyFill="1" applyFont="1">
      <alignment horizontal="center" readingOrder="0" shrinkToFit="0" vertical="center" wrapText="0"/>
    </xf>
    <xf borderId="0" fillId="0" fontId="13" numFmtId="2" xfId="0" applyAlignment="1" applyFont="1" applyNumberFormat="1">
      <alignment shrinkToFit="0" vertical="center" wrapText="1"/>
    </xf>
    <xf borderId="8" fillId="16" fontId="20" numFmtId="0" xfId="0" applyAlignment="1" applyBorder="1" applyFill="1" applyFont="1">
      <alignment shrinkToFit="0" vertical="center" wrapText="1"/>
    </xf>
    <xf borderId="4" fillId="16" fontId="20" numFmtId="0" xfId="0" applyAlignment="1" applyBorder="1" applyFill="1" applyFont="1">
      <alignment shrinkToFit="0" vertical="center" wrapText="1"/>
    </xf>
    <xf borderId="8" fillId="16" fontId="20" numFmtId="0" xfId="0" applyAlignment="1" applyBorder="1" applyFill="1" applyFont="1">
      <alignment horizontal="left" readingOrder="0" shrinkToFit="0" vertical="center" wrapText="1"/>
    </xf>
    <xf borderId="1" fillId="17" fontId="15" numFmtId="49" xfId="0" applyAlignment="1" applyBorder="1" applyFill="1" applyFont="1" applyNumberFormat="1">
      <alignment horizontal="center" readingOrder="0" shrinkToFit="0" vertical="center" wrapText="1"/>
    </xf>
    <xf borderId="0" fillId="0" fontId="14" numFmtId="2" xfId="0" applyAlignment="1" applyFont="1" applyNumberFormat="1">
      <alignment horizontal="center"/>
    </xf>
    <xf borderId="4" fillId="2" fontId="15" numFmtId="49" xfId="0" applyAlignment="1" applyBorder="1" applyFill="1" applyFont="1" applyNumberFormat="1">
      <alignment horizontal="center" readingOrder="0" shrinkToFit="0" vertical="center" wrapText="1"/>
    </xf>
    <xf borderId="1" fillId="2" fontId="15" numFmtId="0" xfId="0" applyAlignment="1" applyBorder="1" applyFill="1" applyFont="1">
      <alignment horizontal="left" readingOrder="0" shrinkToFit="0" vertical="center" wrapText="1"/>
    </xf>
    <xf borderId="4" fillId="0" fontId="9" numFmtId="49" xfId="0" applyAlignment="1" applyBorder="1" applyFont="1" applyNumberFormat="1">
      <alignment horizontal="center" readingOrder="0" shrinkToFit="0" vertical="center" wrapText="1"/>
    </xf>
    <xf borderId="4" fillId="0" fontId="9" numFmtId="0" xfId="0" applyAlignment="1" applyBorder="1" applyFont="1">
      <alignment horizontal="left" readingOrder="0" shrinkToFit="0" vertical="center" wrapText="1"/>
    </xf>
    <xf borderId="4" fillId="0" fontId="9" numFmtId="0" xfId="0" applyAlignment="1" applyBorder="1" applyFont="1">
      <alignment horizontal="center" readingOrder="0" shrinkToFit="0" vertical="center" wrapText="1"/>
    </xf>
    <xf borderId="4" fillId="0" fontId="9" numFmtId="3" xfId="0" applyAlignment="1" applyBorder="1" applyFont="1" applyNumberFormat="1">
      <alignment horizontal="center" readingOrder="0" shrinkToFit="0" vertical="center" wrapText="1"/>
    </xf>
    <xf borderId="4" fillId="0" fontId="9" numFmtId="167" xfId="0" applyAlignment="1" applyBorder="1" applyFont="1" applyNumberFormat="1">
      <alignment horizontal="center" shrinkToFit="0" vertical="center" wrapText="1"/>
    </xf>
    <xf borderId="1" fillId="11" fontId="1" numFmtId="0" xfId="0" applyAlignment="1" applyBorder="1" applyFill="1" applyFont="1">
      <alignment horizontal="center" readingOrder="0" shrinkToFit="0" vertical="center" wrapText="1"/>
    </xf>
    <xf borderId="0" fillId="0" fontId="22" numFmtId="0" xfId="0" applyAlignment="1" applyFont="1">
      <alignment horizontal="center" readingOrder="0" shrinkToFit="0" vertical="center" wrapText="1"/>
    </xf>
    <xf borderId="4" fillId="11" fontId="20" numFmtId="0" xfId="0" applyAlignment="1" applyBorder="1" applyFill="1" applyFont="1">
      <alignment horizontal="center" shrinkToFit="0" vertical="center" wrapText="1"/>
    </xf>
    <xf borderId="4" fillId="11" fontId="20" numFmtId="0" xfId="0" applyAlignment="1" applyBorder="1" applyFill="1" applyFont="1">
      <alignment horizontal="left" shrinkToFit="0" vertical="center" wrapText="1"/>
    </xf>
    <xf borderId="4" fillId="11" fontId="20" numFmtId="167" xfId="0" applyAlignment="1" applyBorder="1" applyFill="1" applyFont="1" applyNumberFormat="1">
      <alignment horizontal="center" shrinkToFit="0" vertical="center" wrapText="1"/>
    </xf>
    <xf borderId="4" fillId="11" fontId="20" numFmtId="2" xfId="0" applyAlignment="1" applyBorder="1" applyFill="1" applyFont="1" applyNumberFormat="1">
      <alignment horizontal="center" shrinkToFit="0" vertical="center" wrapText="1"/>
    </xf>
    <xf borderId="0" fillId="0" fontId="20" numFmtId="2" xfId="0" applyAlignment="1" applyFont="1" applyNumberFormat="1">
      <alignment horizontal="center" shrinkToFit="0" vertical="center" wrapText="1"/>
    </xf>
    <xf borderId="8" fillId="11" fontId="20" numFmtId="0" xfId="0" applyAlignment="1" applyBorder="1" applyFill="1" applyFont="1">
      <alignment horizontal="center" shrinkToFit="0" vertical="center" wrapText="1"/>
    </xf>
    <xf borderId="4" fillId="0" fontId="9" numFmtId="49" xfId="0" applyAlignment="1" applyBorder="1" applyFont="1" applyNumberFormat="1">
      <alignment horizontal="center" shrinkToFit="0" vertical="center" wrapText="1"/>
    </xf>
    <xf borderId="4" fillId="0" fontId="9" numFmtId="0" xfId="0" applyAlignment="1" applyBorder="1" applyFont="1">
      <alignment horizontal="center" shrinkToFit="0" vertical="center" wrapText="1"/>
    </xf>
    <xf borderId="1" fillId="11" fontId="20" numFmtId="0" xfId="0" applyAlignment="1" applyBorder="1" applyFill="1" applyFont="1">
      <alignment horizontal="left" readingOrder="0" shrinkToFit="0" vertical="center" wrapText="1"/>
    </xf>
    <xf borderId="0" fillId="0" fontId="20" numFmtId="0" xfId="0" applyAlignment="1" applyFont="1">
      <alignment horizontal="center" shrinkToFit="0" vertical="center" wrapText="1"/>
    </xf>
    <xf borderId="4" fillId="0" fontId="3" numFmtId="2" xfId="0" applyAlignment="1" applyBorder="1" applyFont="1" applyNumberFormat="1">
      <alignment horizontal="center" readingOrder="0" shrinkToFit="0" vertical="center" wrapText="1"/>
    </xf>
    <xf borderId="4" fillId="0" fontId="9" numFmtId="0" xfId="0" applyAlignment="1" applyBorder="1" applyFont="1">
      <alignment horizontal="left" shrinkToFit="0" vertical="center" wrapText="1"/>
    </xf>
    <xf borderId="4" fillId="8" fontId="3" numFmtId="4" xfId="0" applyAlignment="1" applyBorder="1" applyFill="1" applyFont="1" applyNumberFormat="1">
      <alignment horizontal="center" shrinkToFit="0" vertical="center" wrapText="1"/>
    </xf>
    <xf borderId="4" fillId="11" fontId="20" numFmtId="0" xfId="0" applyAlignment="1" applyBorder="1" applyFill="1" applyFont="1">
      <alignment horizontal="center" readingOrder="0" shrinkToFit="0" vertical="center" wrapText="1"/>
    </xf>
    <xf borderId="4" fillId="0" fontId="15" numFmtId="0" xfId="0" applyAlignment="1" applyBorder="1" applyFont="1">
      <alignment horizontal="left" shrinkToFit="0" vertical="center" wrapText="1"/>
    </xf>
    <xf borderId="4" fillId="0" fontId="15" numFmtId="167" xfId="0" applyAlignment="1" applyBorder="1" applyFont="1" applyNumberFormat="1">
      <alignment horizontal="center" shrinkToFit="0" vertical="center" wrapText="1"/>
    </xf>
    <xf borderId="4" fillId="0" fontId="9" numFmtId="49" xfId="0" applyAlignment="1" applyBorder="1" applyFont="1" applyNumberFormat="1">
      <alignment horizontal="left" readingOrder="0" shrinkToFit="0" vertical="center" wrapText="1"/>
    </xf>
    <xf borderId="4" fillId="0" fontId="23" numFmtId="0" xfId="0" applyAlignment="1" applyBorder="1" applyFont="1">
      <alignment horizontal="center" readingOrder="0" shrinkToFit="0" vertical="center" wrapText="1"/>
    </xf>
    <xf borderId="4" fillId="11" fontId="20" numFmtId="0" xfId="0" applyAlignment="1" applyBorder="1" applyFill="1" applyFont="1">
      <alignment horizontal="left" readingOrder="0" shrinkToFit="0" vertical="center" wrapText="1"/>
    </xf>
    <xf borderId="4" fillId="0" fontId="15" numFmtId="49" xfId="0" applyAlignment="1" applyBorder="1" applyFont="1" applyNumberFormat="1">
      <alignment horizontal="center" shrinkToFit="0" vertical="center" wrapText="1"/>
    </xf>
    <xf borderId="4" fillId="11" fontId="20" numFmtId="167" xfId="0" applyAlignment="1" applyBorder="1" applyFill="1" applyFont="1" applyNumberFormat="1">
      <alignment horizontal="center" readingOrder="0" shrinkToFit="0" vertical="center" wrapText="1"/>
    </xf>
    <xf borderId="1" fillId="13" fontId="15" numFmtId="0" xfId="0" applyAlignment="1" applyBorder="1" applyFill="1" applyFont="1">
      <alignment horizontal="center" readingOrder="0" shrinkToFit="0" vertical="center" wrapText="1"/>
    </xf>
    <xf borderId="4" fillId="11" fontId="14" numFmtId="0" xfId="0" applyBorder="1" applyFill="1" applyFont="1"/>
    <xf borderId="4" fillId="11" fontId="20" numFmtId="2" xfId="0" applyAlignment="1" applyBorder="1" applyFill="1" applyFont="1" applyNumberFormat="1">
      <alignment horizontal="center" readingOrder="0" shrinkToFit="0" vertical="center" wrapText="1"/>
    </xf>
    <xf borderId="8" fillId="11" fontId="20" numFmtId="0" xfId="0" applyAlignment="1" applyBorder="1" applyFill="1" applyFont="1">
      <alignment horizontal="center" readingOrder="0" shrinkToFit="0" vertical="center" wrapText="1"/>
    </xf>
    <xf borderId="0" fillId="0" fontId="20" numFmtId="0" xfId="0" applyAlignment="1" applyFont="1">
      <alignment horizontal="left" readingOrder="0" shrinkToFit="0" vertical="center" wrapText="1"/>
    </xf>
    <xf borderId="4" fillId="11" fontId="14" numFmtId="0" xfId="0" applyAlignment="1" applyBorder="1" applyFill="1" applyFont="1">
      <alignment readingOrder="0"/>
    </xf>
    <xf borderId="1" fillId="11" fontId="18" numFmtId="0" xfId="0" applyAlignment="1" applyBorder="1" applyFill="1" applyFont="1">
      <alignment horizontal="center" readingOrder="0" shrinkToFit="0" vertical="center" wrapText="1"/>
    </xf>
    <xf borderId="4" fillId="11" fontId="18" numFmtId="2" xfId="0" applyAlignment="1" applyBorder="1" applyFill="1" applyFont="1" applyNumberFormat="1">
      <alignment horizontal="center" shrinkToFit="0" vertical="center" wrapText="1"/>
    </xf>
    <xf borderId="0" fillId="0" fontId="18" numFmtId="2" xfId="0" applyAlignment="1" applyFont="1" applyNumberFormat="1">
      <alignment horizontal="center" shrinkToFit="0" vertical="center" wrapText="1"/>
    </xf>
    <xf borderId="0" fillId="0" fontId="18" numFmtId="2" xfId="0" applyAlignment="1" applyFont="1" applyNumberFormat="1">
      <alignment horizontal="center" readingOrder="0" shrinkToFit="0" vertical="center" wrapText="1"/>
    </xf>
    <xf borderId="15" fillId="12" fontId="3" numFmtId="0" xfId="0" applyAlignment="1" applyBorder="1" applyFill="1" applyFont="1">
      <alignment horizontal="left" readingOrder="0" shrinkToFit="0" vertical="center" wrapText="1"/>
    </xf>
    <xf borderId="14" fillId="12" fontId="3" numFmtId="49" xfId="0" applyAlignment="1" applyBorder="1" applyFill="1" applyFont="1" applyNumberFormat="1">
      <alignment shrinkToFit="0" vertical="center" wrapText="1"/>
    </xf>
    <xf borderId="14" fillId="12" fontId="3" numFmtId="0" xfId="0" applyAlignment="1" applyBorder="1" applyFill="1" applyFont="1">
      <alignment readingOrder="0" shrinkToFit="0" vertical="center" wrapText="1"/>
    </xf>
    <xf borderId="14" fillId="12" fontId="3" numFmtId="0" xfId="0" applyAlignment="1" applyBorder="1" applyFill="1" applyFont="1">
      <alignment horizontal="right" shrinkToFit="0" vertical="center" wrapText="1"/>
    </xf>
    <xf borderId="14" fillId="12" fontId="3" numFmtId="2" xfId="0" applyAlignment="1" applyBorder="1" applyFill="1" applyFont="1" applyNumberFormat="1">
      <alignment shrinkToFit="0" vertical="center" wrapText="1"/>
    </xf>
    <xf borderId="14" fillId="3" fontId="3" numFmtId="49" xfId="0" applyAlignment="1" applyBorder="1" applyFill="1" applyFont="1" applyNumberFormat="1">
      <alignment shrinkToFit="0" vertical="center" wrapText="1"/>
    </xf>
    <xf borderId="14" fillId="3" fontId="3" numFmtId="49" xfId="0" applyAlignment="1" applyBorder="1" applyFill="1" applyFont="1" applyNumberFormat="1">
      <alignment horizontal="center" readingOrder="0" shrinkToFit="0" vertical="center" wrapText="1"/>
    </xf>
    <xf borderId="14" fillId="3" fontId="3" numFmtId="2" xfId="0" applyAlignment="1" applyBorder="1" applyFill="1" applyFont="1" applyNumberFormat="1">
      <alignment shrinkToFit="0" vertical="center" wrapText="1"/>
    </xf>
    <xf borderId="0" fillId="5" fontId="4" numFmtId="2" xfId="0" applyAlignment="1" applyFill="1" applyFont="1" applyNumberFormat="1">
      <alignment readingOrder="0" shrinkToFit="0" vertical="bottom" wrapText="1"/>
    </xf>
    <xf borderId="1" fillId="18" fontId="17" numFmtId="0" xfId="0" applyAlignment="1" applyBorder="1" applyFill="1" applyFont="1">
      <alignment readingOrder="0" shrinkToFit="0" vertical="center" wrapText="1"/>
    </xf>
    <xf borderId="0" fillId="7" fontId="17" numFmtId="2" xfId="0" applyAlignment="1" applyFill="1" applyFont="1" applyNumberFormat="1">
      <alignment readingOrder="0" shrinkToFit="0" vertical="top" wrapText="1"/>
    </xf>
    <xf borderId="0" fillId="7" fontId="12" numFmtId="2" xfId="0" applyAlignment="1" applyFill="1" applyFont="1" applyNumberFormat="1">
      <alignment horizontal="left" shrinkToFit="0" vertical="top" wrapText="1"/>
    </xf>
    <xf borderId="0" fillId="7" fontId="12" numFmtId="2" xfId="0" applyAlignment="1" applyFill="1" applyFont="1" applyNumberFormat="1">
      <alignment horizontal="left" readingOrder="0" shrinkToFit="0" vertical="top" wrapText="1"/>
    </xf>
    <xf borderId="0" fillId="10" fontId="12" numFmtId="2" xfId="0" applyAlignment="1" applyFill="1" applyFont="1" applyNumberFormat="1">
      <alignment horizontal="center" readingOrder="0" shrinkToFit="0" vertical="top" wrapText="1"/>
    </xf>
    <xf borderId="8" fillId="7" fontId="16" numFmtId="0" xfId="0" applyAlignment="1" applyBorder="1" applyFill="1" applyFont="1">
      <alignment horizontal="center" readingOrder="0" shrinkToFit="0" vertical="center" wrapText="1"/>
    </xf>
    <xf borderId="1" fillId="7" fontId="16" numFmtId="0" xfId="0" applyAlignment="1" applyBorder="1" applyFill="1" applyFont="1">
      <alignment horizontal="left" readingOrder="0" shrinkToFit="0" vertical="center" wrapText="1"/>
    </xf>
    <xf borderId="1" fillId="7" fontId="16" numFmtId="2" xfId="0" applyAlignment="1" applyBorder="1" applyFill="1" applyFont="1" applyNumberFormat="1">
      <alignment horizontal="left" shrinkToFit="0" vertical="center" wrapText="1"/>
    </xf>
    <xf borderId="0" fillId="7" fontId="16" numFmtId="2" xfId="0" applyAlignment="1" applyFill="1" applyFont="1" applyNumberFormat="1">
      <alignment horizontal="left" shrinkToFit="0" vertical="top" wrapText="1"/>
    </xf>
    <xf borderId="4" fillId="7" fontId="16" numFmtId="0" xfId="0" applyAlignment="1" applyBorder="1" applyFill="1" applyFont="1">
      <alignment horizontal="center" readingOrder="0" shrinkToFit="0" vertical="center" wrapText="1"/>
    </xf>
    <xf borderId="4" fillId="7" fontId="16" numFmtId="0" xfId="0" applyAlignment="1" applyBorder="1" applyFill="1" applyFont="1">
      <alignment horizontal="right" readingOrder="0" shrinkToFit="0" vertical="center" wrapText="1"/>
    </xf>
    <xf borderId="4" fillId="7" fontId="16" numFmtId="165" xfId="0" applyAlignment="1" applyBorder="1" applyFill="1" applyFont="1" applyNumberFormat="1">
      <alignment horizontal="right" readingOrder="0" shrinkToFit="0" vertical="center" wrapText="1"/>
    </xf>
    <xf borderId="0" fillId="7" fontId="16" numFmtId="2" xfId="0" applyAlignment="1" applyFill="1" applyFont="1" applyNumberFormat="1">
      <alignment horizontal="center" readingOrder="0" shrinkToFit="0" vertical="top" wrapText="1"/>
    </xf>
    <xf borderId="4" fillId="7" fontId="12" numFmtId="165" xfId="0" applyAlignment="1" applyBorder="1" applyFill="1" applyFont="1" applyNumberFormat="1">
      <alignment horizontal="right" readingOrder="0" shrinkToFit="0" vertical="center" wrapText="1"/>
    </xf>
    <xf borderId="4" fillId="7" fontId="12" numFmtId="165" xfId="0" applyAlignment="1" applyBorder="1" applyFill="1" applyFont="1" applyNumberFormat="1">
      <alignment horizontal="center" readingOrder="0" shrinkToFit="0" vertical="center" wrapText="1"/>
    </xf>
    <xf borderId="0" fillId="7" fontId="12" numFmtId="2" xfId="0" applyAlignment="1" applyFill="1" applyFont="1" applyNumberFormat="1">
      <alignment horizontal="center" readingOrder="0" shrinkToFit="0" vertical="top" wrapText="1"/>
    </xf>
    <xf borderId="1" fillId="7" fontId="12" numFmtId="165" xfId="0" applyAlignment="1" applyBorder="1" applyFill="1" applyFont="1" applyNumberFormat="1">
      <alignment horizontal="left" shrinkToFit="0" vertical="center" wrapText="1"/>
    </xf>
    <xf borderId="4" fillId="7" fontId="12" numFmtId="165" xfId="0" applyAlignment="1" applyBorder="1" applyFill="1" applyFont="1" applyNumberFormat="1">
      <alignment horizontal="left" shrinkToFit="0" vertical="center" wrapText="1"/>
    </xf>
    <xf borderId="1" fillId="10" fontId="17" numFmtId="0" xfId="0" applyAlignment="1" applyBorder="1" applyFill="1" applyFont="1">
      <alignment horizontal="center" readingOrder="0" shrinkToFit="0" vertical="center" wrapText="1"/>
    </xf>
    <xf borderId="1" fillId="19" fontId="17" numFmtId="0" xfId="0" applyAlignment="1" applyBorder="1" applyFill="1" applyFont="1">
      <alignment readingOrder="0" shrinkToFit="0" vertical="center" wrapText="1"/>
    </xf>
    <xf borderId="4" fillId="7" fontId="16" numFmtId="0" xfId="0" applyAlignment="1" applyBorder="1" applyFill="1" applyFont="1">
      <alignment horizontal="center" shrinkToFit="0" vertical="center" wrapText="1"/>
    </xf>
    <xf borderId="0" fillId="7" fontId="16" numFmtId="2" xfId="0" applyAlignment="1" applyFill="1" applyFont="1" applyNumberFormat="1">
      <alignment horizontal="left" readingOrder="0" shrinkToFit="0" vertical="top" wrapText="1"/>
    </xf>
    <xf borderId="1" fillId="10" fontId="16" numFmtId="0" xfId="0" applyAlignment="1" applyBorder="1" applyFill="1" applyFont="1">
      <alignment horizontal="left" readingOrder="0" shrinkToFit="0" vertical="center" wrapText="1"/>
    </xf>
    <xf borderId="4" fillId="10" fontId="16" numFmtId="0" xfId="0" applyAlignment="1" applyBorder="1" applyFill="1" applyFont="1">
      <alignment horizontal="center" readingOrder="0" shrinkToFit="0" vertical="center" wrapText="1"/>
    </xf>
    <xf borderId="0" fillId="10" fontId="16" numFmtId="2" xfId="0" applyAlignment="1" applyFill="1" applyFont="1" applyNumberFormat="1">
      <alignment horizontal="center" readingOrder="0" shrinkToFit="0" vertical="top" wrapText="1"/>
    </xf>
    <xf borderId="8" fillId="7" fontId="16" numFmtId="0" xfId="0" applyAlignment="1" applyBorder="1" applyFill="1" applyFont="1">
      <alignment horizontal="center" shrinkToFit="0" vertical="center" wrapText="1"/>
    </xf>
    <xf borderId="4" fillId="7" fontId="16" numFmtId="2" xfId="0" applyAlignment="1" applyBorder="1" applyFill="1" applyFont="1" applyNumberFormat="1">
      <alignment horizontal="right" readingOrder="0" shrinkToFit="0" vertical="center" wrapText="1"/>
    </xf>
    <xf borderId="4" fillId="8" fontId="3" numFmtId="0" xfId="0" applyAlignment="1" applyBorder="1" applyFill="1" applyFont="1">
      <alignment horizontal="center" shrinkToFit="0" vertical="center" wrapText="1"/>
    </xf>
    <xf borderId="0" fillId="0" fontId="14" numFmtId="2" xfId="0" applyAlignment="1" applyFont="1" applyNumberFormat="1">
      <alignment horizontal="center" shrinkToFit="0" vertical="center" wrapText="1"/>
    </xf>
    <xf borderId="1" fillId="0" fontId="11" numFmtId="0" xfId="0" applyAlignment="1" applyBorder="1" applyFont="1">
      <alignment readingOrder="0" shrinkToFit="0" vertical="center" wrapText="1"/>
    </xf>
    <xf borderId="1" fillId="7" fontId="12" numFmtId="0" xfId="0" applyAlignment="1" applyBorder="1" applyFill="1" applyFont="1">
      <alignment horizontal="left" shrinkToFit="0" vertical="center" wrapText="1"/>
    </xf>
    <xf borderId="4" fillId="0" fontId="3" numFmtId="0" xfId="0" applyAlignment="1" applyBorder="1" applyFont="1">
      <alignment shrinkToFit="0" vertical="center" wrapText="1"/>
    </xf>
    <xf borderId="1" fillId="19" fontId="11" numFmtId="0" xfId="0" applyAlignment="1" applyBorder="1" applyFill="1" applyFont="1">
      <alignment readingOrder="0" shrinkToFit="0" vertical="center" wrapText="1"/>
    </xf>
    <xf borderId="4" fillId="0" fontId="12" numFmtId="0" xfId="0" applyAlignment="1" applyBorder="1" applyFont="1">
      <alignment horizontal="right" readingOrder="0" shrinkToFit="0" vertical="center" wrapText="1"/>
    </xf>
    <xf borderId="1" fillId="10" fontId="11" numFmtId="0" xfId="0" applyAlignment="1" applyBorder="1" applyFill="1" applyFont="1">
      <alignment horizontal="center" readingOrder="0" shrinkToFit="0" vertical="center" wrapText="1"/>
    </xf>
    <xf borderId="4" fillId="10" fontId="11" numFmtId="0" xfId="0" applyAlignment="1" applyBorder="1" applyFill="1" applyFont="1">
      <alignment horizontal="left" readingOrder="0" shrinkToFit="0" vertical="center" wrapText="1"/>
    </xf>
    <xf borderId="0" fillId="0" fontId="13" numFmtId="2" xfId="0" applyAlignment="1" applyFont="1" applyNumberFormat="1">
      <alignment horizontal="center" shrinkToFit="0" vertical="center" wrapText="1"/>
    </xf>
    <xf borderId="4" fillId="0" fontId="13" numFmtId="2" xfId="0" applyAlignment="1" applyBorder="1" applyFont="1" applyNumberFormat="1">
      <alignment horizontal="center" readingOrder="0" shrinkToFit="0" vertical="center" wrapText="1"/>
    </xf>
    <xf borderId="8" fillId="7" fontId="12" numFmtId="0" xfId="0" applyAlignment="1" applyBorder="1" applyFill="1" applyFont="1">
      <alignment horizontal="center" shrinkToFit="0" vertical="center" wrapText="1"/>
    </xf>
    <xf borderId="8" fillId="7" fontId="20" numFmtId="0" xfId="0" applyBorder="1" applyFill="1" applyFont="1"/>
    <xf borderId="1" fillId="7" fontId="12" numFmtId="0" xfId="0" applyAlignment="1" applyBorder="1" applyFill="1" applyFont="1">
      <alignment shrinkToFit="0" wrapText="1"/>
    </xf>
    <xf borderId="1" fillId="7" fontId="20" numFmtId="0" xfId="0" applyBorder="1" applyFill="1" applyFont="1"/>
    <xf borderId="0" fillId="0" fontId="20" numFmtId="2" xfId="0" applyFont="1" applyNumberFormat="1"/>
    <xf borderId="4" fillId="7" fontId="12" numFmtId="0" xfId="0" applyAlignment="1" applyBorder="1" applyFill="1" applyFont="1">
      <alignment horizontal="center" shrinkToFit="0" wrapText="1"/>
    </xf>
    <xf borderId="4" fillId="7" fontId="12" numFmtId="0" xfId="0" applyAlignment="1" applyBorder="1" applyFill="1" applyFont="1">
      <alignment horizontal="right" shrinkToFit="0" wrapText="1"/>
    </xf>
    <xf borderId="4" fillId="7" fontId="12" numFmtId="0" xfId="0" applyAlignment="1" applyBorder="1" applyFill="1" applyFont="1">
      <alignment horizontal="center" readingOrder="0" shrinkToFit="0" wrapText="1"/>
    </xf>
    <xf borderId="8" fillId="7" fontId="12" numFmtId="0" xfId="0" applyAlignment="1" applyBorder="1" applyFill="1" applyFont="1">
      <alignment horizontal="center" shrinkToFit="0" wrapText="1"/>
    </xf>
    <xf borderId="8" fillId="5" fontId="4" numFmtId="0" xfId="0" applyAlignment="1" applyBorder="1" applyFill="1" applyFont="1">
      <alignment shrinkToFit="0" vertical="bottom" wrapText="1"/>
    </xf>
    <xf borderId="1" fillId="5" fontId="4" numFmtId="0" xfId="0" applyAlignment="1" applyBorder="1" applyFill="1" applyFont="1">
      <alignment shrinkToFit="0" vertical="bottom" wrapText="1"/>
    </xf>
    <xf borderId="4" fillId="0" fontId="20" numFmtId="2" xfId="0" applyAlignment="1" applyBorder="1" applyFont="1" applyNumberFormat="1">
      <alignment vertical="bottom"/>
    </xf>
    <xf borderId="4" fillId="5" fontId="4" numFmtId="0" xfId="0" applyAlignment="1" applyBorder="1" applyFill="1" applyFont="1">
      <alignment shrinkToFit="0" vertical="bottom" wrapText="1"/>
    </xf>
    <xf borderId="1" fillId="19" fontId="11" numFmtId="0" xfId="0" applyAlignment="1" applyBorder="1" applyFill="1" applyFont="1">
      <alignment readingOrder="0" shrinkToFit="0" vertical="bottom" wrapText="1"/>
    </xf>
    <xf borderId="4" fillId="7" fontId="20" numFmtId="0" xfId="0" applyAlignment="1" applyBorder="1" applyFill="1" applyFont="1">
      <alignment vertical="bottom"/>
    </xf>
    <xf borderId="4" fillId="7" fontId="12" numFmtId="0" xfId="0" applyAlignment="1" applyBorder="1" applyFill="1" applyFont="1">
      <alignment horizontal="center" shrinkToFit="0" vertical="bottom" wrapText="1"/>
    </xf>
    <xf borderId="4" fillId="7" fontId="12" numFmtId="0" xfId="0" applyAlignment="1" applyBorder="1" applyFill="1" applyFont="1">
      <alignment horizontal="right" shrinkToFit="0" vertical="bottom" wrapText="1"/>
    </xf>
    <xf borderId="1" fillId="7" fontId="20" numFmtId="0" xfId="0" applyAlignment="1" applyBorder="1" applyFill="1" applyFont="1">
      <alignment vertical="bottom"/>
    </xf>
    <xf borderId="1" fillId="18" fontId="11" numFmtId="0" xfId="0" applyAlignment="1" applyBorder="1" applyFill="1" applyFont="1">
      <alignment readingOrder="0" shrinkToFit="0" vertical="center" wrapText="1"/>
    </xf>
    <xf borderId="1" fillId="7" fontId="12" numFmtId="0" xfId="0" applyAlignment="1" applyBorder="1" applyFill="1" applyFont="1">
      <alignment shrinkToFit="0" vertical="bottom" wrapText="1"/>
    </xf>
    <xf borderId="1" fillId="10" fontId="12" numFmtId="0" xfId="0" applyAlignment="1" applyBorder="1" applyFill="1" applyFont="1">
      <alignment shrinkToFit="0" vertical="bottom" wrapText="1"/>
    </xf>
    <xf borderId="4" fillId="10" fontId="12" numFmtId="0" xfId="0" applyAlignment="1" applyBorder="1" applyFill="1" applyFont="1">
      <alignment horizontal="center" shrinkToFit="0" vertical="bottom" wrapText="1"/>
    </xf>
    <xf borderId="8" fillId="7" fontId="20" numFmtId="0" xfId="0" applyAlignment="1" applyBorder="1" applyFill="1" applyFont="1">
      <alignment vertical="bottom"/>
    </xf>
    <xf borderId="1" fillId="7" fontId="12" numFmtId="0" xfId="0" applyAlignment="1" applyBorder="1" applyFill="1" applyFont="1">
      <alignment readingOrder="0" shrinkToFit="0" vertical="bottom" wrapText="1"/>
    </xf>
    <xf borderId="4" fillId="7" fontId="12" numFmtId="0" xfId="0" applyAlignment="1" applyBorder="1" applyFill="1" applyFont="1">
      <alignment horizontal="right" readingOrder="0" shrinkToFit="0" vertical="bottom" wrapText="1"/>
    </xf>
    <xf borderId="1" fillId="7" fontId="11" numFmtId="0" xfId="0" applyAlignment="1" applyBorder="1" applyFill="1" applyFont="1">
      <alignment horizontal="center" shrinkToFit="0" vertical="bottom" wrapText="1"/>
    </xf>
    <xf borderId="4" fillId="7" fontId="12" numFmtId="0" xfId="0" applyAlignment="1" applyBorder="1" applyFill="1" applyFont="1">
      <alignment shrinkToFit="0" vertical="bottom" wrapText="1"/>
    </xf>
    <xf borderId="1" fillId="7" fontId="12" numFmtId="0" xfId="0" applyAlignment="1" applyBorder="1" applyFill="1" applyFont="1">
      <alignment horizontal="center" shrinkToFit="0" vertical="bottom" wrapText="1"/>
    </xf>
    <xf borderId="4" fillId="7" fontId="11" numFmtId="0" xfId="0" applyAlignment="1" applyBorder="1" applyFill="1" applyFont="1">
      <alignment horizontal="right" shrinkToFit="0" vertical="bottom" wrapText="1"/>
    </xf>
    <xf borderId="8" fillId="7" fontId="12" numFmtId="0" xfId="0" applyAlignment="1" applyBorder="1" applyFill="1" applyFont="1">
      <alignment horizontal="center" shrinkToFit="0" vertical="bottom" wrapText="1"/>
    </xf>
    <xf borderId="1" fillId="10" fontId="1" numFmtId="0" xfId="0" applyAlignment="1" applyBorder="1" applyFill="1" applyFont="1">
      <alignment horizontal="center" shrinkToFit="0" vertical="bottom" wrapText="1"/>
    </xf>
    <xf borderId="4" fillId="0" fontId="13" numFmtId="2" xfId="0" applyAlignment="1" applyBorder="1" applyFont="1" applyNumberFormat="1">
      <alignment horizontal="center" shrinkToFit="0" vertical="bottom" wrapText="1"/>
    </xf>
    <xf borderId="4" fillId="0" fontId="12" numFmtId="0" xfId="0" applyAlignment="1" applyBorder="1" applyFont="1">
      <alignment horizontal="center" shrinkToFit="0" vertical="center" wrapText="1"/>
    </xf>
    <xf borderId="4" fillId="0" fontId="12" numFmtId="0" xfId="0" applyAlignment="1" applyBorder="1" applyFont="1">
      <alignment horizontal="center" readingOrder="0" shrinkToFit="0" vertical="center" wrapText="1"/>
    </xf>
    <xf borderId="1" fillId="0" fontId="12" numFmtId="0" xfId="0" applyAlignment="1" applyBorder="1" applyFont="1">
      <alignment horizontal="left" shrinkToFit="0" vertical="center" wrapText="1"/>
    </xf>
    <xf borderId="1" fillId="0" fontId="12" numFmtId="0" xfId="0" applyAlignment="1" applyBorder="1" applyFont="1">
      <alignment horizontal="left" readingOrder="0" shrinkToFit="0" vertical="center" wrapText="1"/>
    </xf>
    <xf borderId="8" fillId="0" fontId="12" numFmtId="0" xfId="0" applyAlignment="1" applyBorder="1" applyFont="1">
      <alignment horizontal="center" shrinkToFit="0" vertical="center" wrapText="1"/>
    </xf>
    <xf borderId="8" fillId="0" fontId="12" numFmtId="0" xfId="0" applyAlignment="1" applyBorder="1" applyFont="1">
      <alignment horizontal="center" readingOrder="0" shrinkToFit="0" vertical="center" wrapText="1"/>
    </xf>
    <xf borderId="1" fillId="14" fontId="11" numFmtId="0" xfId="0" applyAlignment="1" applyBorder="1" applyFill="1" applyFont="1">
      <alignment readingOrder="0" shrinkToFit="0" vertical="center" wrapText="1"/>
    </xf>
    <xf borderId="4" fillId="11" fontId="1" numFmtId="0" xfId="0" applyAlignment="1" applyBorder="1" applyFill="1" applyFont="1">
      <alignment horizontal="center" readingOrder="0" shrinkToFit="0" vertical="center" wrapText="1"/>
    </xf>
    <xf borderId="1" fillId="11" fontId="3" numFmtId="0" xfId="0" applyAlignment="1" applyBorder="1" applyFill="1" applyFont="1">
      <alignment readingOrder="0" shrinkToFit="0" vertical="center" wrapText="1"/>
    </xf>
    <xf borderId="4" fillId="11" fontId="1" numFmtId="0" xfId="0" applyAlignment="1" applyBorder="1" applyFill="1" applyFont="1">
      <alignment horizontal="center" shrinkToFit="0" vertical="center" wrapText="1"/>
    </xf>
    <xf borderId="8" fillId="11" fontId="3" numFmtId="0" xfId="0" applyAlignment="1" applyBorder="1" applyFill="1" applyFont="1">
      <alignment shrinkToFit="0" vertical="center" wrapText="1"/>
    </xf>
    <xf borderId="8" fillId="11" fontId="3" numFmtId="0" xfId="0" applyAlignment="1" applyBorder="1" applyFill="1" applyFont="1">
      <alignment horizontal="right" shrinkToFit="0" vertical="center" wrapText="1"/>
    </xf>
    <xf borderId="1" fillId="11" fontId="3" numFmtId="0" xfId="0" applyAlignment="1" applyBorder="1" applyFill="1" applyFont="1">
      <alignment horizontal="right" shrinkToFit="0" vertical="center" wrapText="1"/>
    </xf>
    <xf borderId="4" fillId="11" fontId="3" numFmtId="165" xfId="0" applyAlignment="1" applyBorder="1" applyFill="1" applyFont="1" applyNumberFormat="1">
      <alignment horizontal="right" shrinkToFit="0" vertical="center" wrapText="1"/>
    </xf>
    <xf borderId="4" fillId="11" fontId="3" numFmtId="2" xfId="0" applyAlignment="1" applyBorder="1" applyFill="1" applyFont="1" applyNumberFormat="1">
      <alignment horizontal="right" shrinkToFit="0" vertical="center" wrapText="1"/>
    </xf>
    <xf borderId="1" fillId="11" fontId="1" numFmtId="0" xfId="0" applyAlignment="1" applyBorder="1" applyFill="1" applyFont="1">
      <alignment horizontal="center" readingOrder="0" shrinkToFit="0" vertical="center" wrapText="1"/>
    </xf>
    <xf borderId="8" fillId="3" fontId="3" numFmtId="0" xfId="0" applyAlignment="1" applyBorder="1" applyFill="1" applyFont="1">
      <alignment shrinkToFit="0" vertical="center" wrapText="1"/>
    </xf>
    <xf borderId="8" fillId="3" fontId="3" numFmtId="0" xfId="0" applyAlignment="1" applyBorder="1" applyFill="1" applyFont="1">
      <alignment horizontal="right" shrinkToFit="0" vertical="center" wrapText="1"/>
    </xf>
    <xf borderId="4" fillId="3" fontId="3" numFmtId="165" xfId="0" applyAlignment="1" applyBorder="1" applyFill="1" applyFont="1" applyNumberFormat="1">
      <alignment horizontal="right" shrinkToFit="0" vertical="center" wrapText="1"/>
    </xf>
    <xf borderId="4" fillId="3" fontId="3" numFmtId="2" xfId="0" applyAlignment="1" applyBorder="1" applyFill="1" applyFont="1" applyNumberFormat="1">
      <alignment horizontal="right" shrinkToFit="0" vertical="center" wrapText="1"/>
    </xf>
    <xf borderId="4" fillId="17" fontId="1" numFmtId="0" xfId="0" applyAlignment="1" applyBorder="1" applyFill="1" applyFont="1">
      <alignment horizontal="center" readingOrder="0" shrinkToFit="0" vertical="center" wrapText="1"/>
    </xf>
    <xf borderId="1" fillId="17" fontId="3" numFmtId="0" xfId="0" applyAlignment="1" applyBorder="1" applyFill="1" applyFont="1">
      <alignment readingOrder="0" shrinkToFit="0" vertical="center" wrapText="1"/>
    </xf>
    <xf borderId="4" fillId="17" fontId="1" numFmtId="0" xfId="0" applyAlignment="1" applyBorder="1" applyFill="1" applyFont="1">
      <alignment horizontal="center" shrinkToFit="0" vertical="center" wrapText="1"/>
    </xf>
    <xf borderId="8" fillId="17" fontId="3" numFmtId="0" xfId="0" applyAlignment="1" applyBorder="1" applyFill="1" applyFont="1">
      <alignment shrinkToFit="0" vertical="center" wrapText="1"/>
    </xf>
    <xf borderId="4" fillId="17" fontId="3" numFmtId="0" xfId="0" applyAlignment="1" applyBorder="1" applyFill="1" applyFont="1">
      <alignment shrinkToFit="0" vertical="center" wrapText="1"/>
    </xf>
    <xf borderId="8" fillId="17" fontId="3" numFmtId="0" xfId="0" applyAlignment="1" applyBorder="1" applyFill="1" applyFont="1">
      <alignment horizontal="center" readingOrder="0" shrinkToFit="0" vertical="center" wrapText="1"/>
    </xf>
    <xf borderId="8" fillId="17" fontId="3" numFmtId="0" xfId="0" applyAlignment="1" applyBorder="1" applyFill="1" applyFont="1">
      <alignment horizontal="center" shrinkToFit="0" vertical="center" wrapText="1"/>
    </xf>
    <xf borderId="8" fillId="17" fontId="3" numFmtId="165" xfId="0" applyAlignment="1" applyBorder="1" applyFill="1" applyFont="1" applyNumberFormat="1">
      <alignment horizontal="right" shrinkToFit="0" vertical="center" wrapText="1"/>
    </xf>
    <xf borderId="1" fillId="17" fontId="3" numFmtId="0" xfId="0" applyAlignment="1" applyBorder="1" applyFill="1" applyFont="1">
      <alignment horizontal="right" shrinkToFit="0" vertical="center" wrapText="1"/>
    </xf>
    <xf borderId="4" fillId="17" fontId="3" numFmtId="165" xfId="0" applyAlignment="1" applyBorder="1" applyFill="1" applyFont="1" applyNumberFormat="1">
      <alignment horizontal="right" shrinkToFit="0" vertical="center" wrapText="1"/>
    </xf>
    <xf borderId="4" fillId="17" fontId="3" numFmtId="2" xfId="0" applyAlignment="1" applyBorder="1" applyFill="1" applyFont="1" applyNumberFormat="1">
      <alignment horizontal="right" shrinkToFit="0" vertical="center" wrapText="1"/>
    </xf>
    <xf borderId="4" fillId="17" fontId="3" numFmtId="0" xfId="0" applyAlignment="1" applyBorder="1" applyFill="1" applyFont="1">
      <alignment horizontal="center" shrinkToFit="0" vertical="center" wrapText="1"/>
    </xf>
    <xf borderId="4" fillId="17" fontId="3" numFmtId="0" xfId="0" applyAlignment="1" applyBorder="1" applyFill="1" applyFont="1">
      <alignment horizontal="center" readingOrder="0" shrinkToFit="0" vertical="center" wrapText="1"/>
    </xf>
    <xf borderId="1" fillId="17" fontId="1" numFmtId="0" xfId="0" applyAlignment="1" applyBorder="1" applyFill="1" applyFont="1">
      <alignment horizontal="center" readingOrder="0" shrinkToFit="0" vertical="center" wrapText="1"/>
    </xf>
    <xf borderId="1" fillId="7" fontId="12" numFmtId="0" xfId="0" applyAlignment="1" applyBorder="1" applyFill="1" applyFont="1">
      <alignment readingOrder="0" shrinkToFit="0" wrapText="1"/>
    </xf>
    <xf borderId="4" fillId="7" fontId="12" numFmtId="0" xfId="0" applyAlignment="1" applyBorder="1" applyFill="1" applyFont="1">
      <alignment horizontal="right" readingOrder="0" shrinkToFit="0" wrapText="1"/>
    </xf>
    <xf borderId="8" fillId="17" fontId="3" numFmtId="0" xfId="0" applyAlignment="1" applyBorder="1" applyFill="1" applyFont="1">
      <alignment horizontal="right" shrinkToFit="0" vertical="center" wrapText="1"/>
    </xf>
    <xf borderId="4" fillId="17" fontId="3" numFmtId="0" xfId="0" applyAlignment="1" applyBorder="1" applyFill="1" applyFont="1">
      <alignment readingOrder="0" shrinkToFit="0" vertical="center" wrapText="1"/>
    </xf>
    <xf borderId="0" fillId="5" fontId="4" numFmtId="2" xfId="0" applyAlignment="1" applyFill="1" applyFont="1" applyNumberFormat="1">
      <alignment readingOrder="0" shrinkToFit="0" vertical="center" wrapText="1"/>
    </xf>
    <xf borderId="0" fillId="7" fontId="11" numFmtId="2" xfId="0" applyAlignment="1" applyFill="1" applyFont="1" applyNumberFormat="1">
      <alignment readingOrder="0" shrinkToFit="0" vertical="center" wrapText="1"/>
    </xf>
    <xf borderId="0" fillId="7" fontId="12" numFmtId="2" xfId="0" applyAlignment="1" applyFill="1" applyFont="1" applyNumberFormat="1">
      <alignment horizontal="left" shrinkToFit="0" vertical="center" wrapText="1"/>
    </xf>
    <xf borderId="0" fillId="7" fontId="12" numFmtId="2" xfId="0" applyAlignment="1" applyFill="1" applyFont="1" applyNumberFormat="1">
      <alignment horizontal="left" readingOrder="0" shrinkToFit="0" vertical="center" wrapText="1"/>
    </xf>
    <xf borderId="0" fillId="10" fontId="12" numFmtId="2" xfId="0" applyAlignment="1" applyFill="1" applyFont="1" applyNumberFormat="1">
      <alignment horizontal="center" readingOrder="0" shrinkToFit="0" vertical="center" wrapText="1"/>
    </xf>
    <xf borderId="0" fillId="7" fontId="12" numFmtId="2" xfId="0" applyAlignment="1" applyFill="1" applyFont="1" applyNumberFormat="1">
      <alignment horizontal="center" readingOrder="0" shrinkToFit="0" vertical="center" wrapText="1"/>
    </xf>
    <xf borderId="8" fillId="5" fontId="4" numFmtId="0" xfId="0" applyAlignment="1" applyBorder="1" applyFill="1" applyFont="1">
      <alignment shrinkToFit="0" wrapText="1"/>
    </xf>
    <xf borderId="1" fillId="5" fontId="4" numFmtId="0" xfId="0" applyAlignment="1" applyBorder="1" applyFill="1" applyFont="1">
      <alignment shrinkToFit="0" wrapText="1"/>
    </xf>
    <xf borderId="4" fillId="0" fontId="20" numFmtId="2" xfId="0" applyBorder="1" applyFont="1" applyNumberFormat="1"/>
    <xf borderId="4" fillId="5" fontId="4" numFmtId="0" xfId="0" applyAlignment="1" applyBorder="1" applyFill="1" applyFont="1">
      <alignment shrinkToFit="0" wrapText="1"/>
    </xf>
    <xf borderId="1" fillId="19" fontId="11" numFmtId="0" xfId="0" applyAlignment="1" applyBorder="1" applyFill="1" applyFont="1">
      <alignment shrinkToFit="0" wrapText="1"/>
    </xf>
    <xf borderId="4" fillId="7" fontId="20" numFmtId="0" xfId="0" applyBorder="1" applyFill="1" applyFont="1"/>
    <xf borderId="1" fillId="7" fontId="20" numFmtId="0" xfId="0" applyBorder="1" applyFill="1" applyFont="1"/>
    <xf borderId="1" fillId="10" fontId="12" numFmtId="0" xfId="0" applyAlignment="1" applyBorder="1" applyFill="1" applyFont="1">
      <alignment shrinkToFit="0" wrapText="1"/>
    </xf>
    <xf borderId="4" fillId="10" fontId="12" numFmtId="0" xfId="0" applyAlignment="1" applyBorder="1" applyFill="1" applyFont="1">
      <alignment horizontal="center" shrinkToFit="0" wrapText="1"/>
    </xf>
    <xf borderId="8" fillId="7" fontId="20" numFmtId="0" xfId="0" applyBorder="1" applyFill="1" applyFont="1"/>
    <xf borderId="1" fillId="7" fontId="11" numFmtId="0" xfId="0" applyAlignment="1" applyBorder="1" applyFill="1" applyFont="1">
      <alignment horizontal="center" shrinkToFit="0" wrapText="1"/>
    </xf>
    <xf borderId="4" fillId="7" fontId="12" numFmtId="0" xfId="0" applyAlignment="1" applyBorder="1" applyFill="1" applyFont="1">
      <alignment shrinkToFit="0" wrapText="1"/>
    </xf>
    <xf borderId="1" fillId="7" fontId="12" numFmtId="0" xfId="0" applyAlignment="1" applyBorder="1" applyFill="1" applyFont="1">
      <alignment horizontal="center" shrinkToFit="0" wrapText="1"/>
    </xf>
    <xf borderId="4" fillId="7" fontId="11" numFmtId="0" xfId="0" applyAlignment="1" applyBorder="1" applyFill="1" applyFont="1">
      <alignment horizontal="right" shrinkToFit="0" wrapText="1"/>
    </xf>
    <xf borderId="1" fillId="10" fontId="1" numFmtId="0" xfId="0" applyAlignment="1" applyBorder="1" applyFill="1" applyFont="1">
      <alignment horizontal="center" shrinkToFit="0" wrapText="1"/>
    </xf>
    <xf borderId="18" fillId="11" fontId="3" numFmtId="165" xfId="0" applyAlignment="1" applyBorder="1" applyFill="1" applyFont="1" applyNumberFormat="1">
      <alignment horizontal="right" shrinkToFit="0" vertical="center" wrapText="1"/>
    </xf>
    <xf borderId="4" fillId="0" fontId="13" numFmtId="2" xfId="0" applyAlignment="1" applyBorder="1" applyFont="1" applyNumberFormat="1">
      <alignment horizontal="center" shrinkToFit="0" wrapText="1"/>
    </xf>
    <xf borderId="4" fillId="11" fontId="3" numFmtId="0" xfId="0" applyAlignment="1" applyBorder="1" applyFill="1" applyFont="1">
      <alignment horizontal="center" shrinkToFit="0" vertical="center" wrapText="1"/>
    </xf>
    <xf borderId="0" fillId="0" fontId="14" numFmtId="2" xfId="0" applyAlignment="1" applyFont="1" applyNumberFormat="1">
      <alignment horizontal="center" readingOrder="0" shrinkToFit="0" vertical="center" wrapText="1"/>
    </xf>
    <xf borderId="4" fillId="11" fontId="3" numFmtId="0" xfId="0" applyAlignment="1" applyBorder="1" applyFill="1" applyFont="1">
      <alignment shrinkToFit="0" vertical="center" wrapText="1"/>
    </xf>
    <xf borderId="4" fillId="11" fontId="3" numFmtId="0" xfId="0" applyAlignment="1" applyBorder="1" applyFill="1" applyFont="1">
      <alignment horizontal="center" readingOrder="0" shrinkToFit="0" vertical="center" wrapText="1"/>
    </xf>
    <xf borderId="4" fillId="11" fontId="3" numFmtId="165" xfId="0" applyAlignment="1" applyBorder="1" applyFill="1" applyFont="1" applyNumberFormat="1">
      <alignment horizontal="right" shrinkToFit="0" vertical="center" wrapText="1"/>
    </xf>
    <xf borderId="1" fillId="11" fontId="3" numFmtId="0" xfId="0" applyAlignment="1" applyBorder="1" applyFill="1" applyFont="1">
      <alignment horizontal="right" shrinkToFit="0" vertical="center" wrapText="1"/>
    </xf>
    <xf borderId="2" fillId="0" fontId="2" numFmtId="0" xfId="0" applyBorder="1" applyFont="1"/>
    <xf borderId="3" fillId="0" fontId="2" numFmtId="0" xfId="0" applyBorder="1" applyFont="1"/>
    <xf borderId="1" fillId="19" fontId="11" numFmtId="0" xfId="0" applyAlignment="1" applyBorder="1" applyFill="1" applyFont="1">
      <alignment readingOrder="0" shrinkToFit="0" wrapText="1"/>
    </xf>
    <xf borderId="8" fillId="7" fontId="12" numFmtId="0" xfId="0" applyAlignment="1" applyBorder="1" applyFill="1" applyFont="1">
      <alignment horizontal="center" readingOrder="0" shrinkToFit="0" wrapText="1"/>
    </xf>
    <xf borderId="18" fillId="3" fontId="3" numFmtId="165" xfId="0" applyAlignment="1" applyBorder="1" applyFill="1" applyFont="1" applyNumberFormat="1">
      <alignment horizontal="right" shrinkToFit="0" vertical="center" wrapText="1"/>
    </xf>
    <xf borderId="4" fillId="3" fontId="3" numFmtId="0" xfId="0" applyAlignment="1" applyBorder="1" applyFill="1" applyFont="1">
      <alignment horizontal="center" shrinkToFit="0" vertical="center" wrapText="1"/>
    </xf>
    <xf borderId="4" fillId="3" fontId="3" numFmtId="0" xfId="0" applyAlignment="1" applyBorder="1" applyFill="1" applyFont="1">
      <alignment shrinkToFit="0" vertical="center" wrapText="1"/>
    </xf>
    <xf borderId="4" fillId="3" fontId="3" numFmtId="0" xfId="0" applyAlignment="1" applyBorder="1" applyFill="1" applyFont="1">
      <alignment horizontal="center" readingOrder="0" shrinkToFit="0" vertical="center" wrapText="1"/>
    </xf>
    <xf borderId="4" fillId="3" fontId="3" numFmtId="165" xfId="0" applyAlignment="1" applyBorder="1" applyFill="1" applyFont="1" applyNumberFormat="1">
      <alignment horizontal="right" shrinkToFit="0" vertical="center" wrapText="1"/>
    </xf>
    <xf borderId="1" fillId="3" fontId="3" numFmtId="0" xfId="0" applyAlignment="1" applyBorder="1" applyFill="1" applyFont="1">
      <alignment horizontal="right" shrinkToFit="0" vertical="center" wrapText="1"/>
    </xf>
    <xf borderId="4" fillId="0" fontId="20" numFmtId="0" xfId="0" applyBorder="1" applyFont="1"/>
    <xf borderId="4" fillId="0" fontId="1" numFmtId="49" xfId="0" applyAlignment="1" applyBorder="1" applyFont="1" applyNumberFormat="1">
      <alignment horizontal="center" readingOrder="0"/>
    </xf>
    <xf borderId="4" fillId="0" fontId="1" numFmtId="49" xfId="0" applyAlignment="1" applyBorder="1" applyFont="1" applyNumberFormat="1">
      <alignment horizontal="center" readingOrder="0" shrinkToFit="0" wrapText="0"/>
    </xf>
    <xf borderId="4" fillId="0" fontId="1" numFmtId="0" xfId="0" applyAlignment="1" applyBorder="1" applyFont="1">
      <alignment horizontal="center" readingOrder="0" shrinkToFit="0" wrapText="0"/>
    </xf>
    <xf borderId="4" fillId="0" fontId="3" numFmtId="49" xfId="0" applyAlignment="1" applyBorder="1" applyFont="1" applyNumberFormat="1">
      <alignment horizontal="center" readingOrder="0"/>
    </xf>
    <xf borderId="4" fillId="0" fontId="3" numFmtId="49" xfId="0" applyAlignment="1" applyBorder="1" applyFont="1" applyNumberFormat="1">
      <alignment readingOrder="0"/>
    </xf>
    <xf borderId="4" fillId="0" fontId="3" numFmtId="0" xfId="0" applyAlignment="1" applyBorder="1" applyFont="1">
      <alignment horizontal="center" readingOrder="0"/>
    </xf>
    <xf borderId="4" fillId="0" fontId="3" numFmtId="0" xfId="0" applyAlignment="1" applyBorder="1" applyFont="1">
      <alignment readingOrder="0"/>
    </xf>
    <xf borderId="1" fillId="0" fontId="18" numFmtId="0" xfId="0" applyAlignment="1" applyBorder="1" applyFont="1">
      <alignment horizontal="center" readingOrder="0" shrinkToFit="0" vertical="center" wrapText="1"/>
    </xf>
    <xf borderId="0" fillId="0" fontId="11" numFmtId="2" xfId="0" applyAlignment="1" applyFont="1" applyNumberFormat="1">
      <alignment readingOrder="0" shrinkToFit="0" vertical="center" wrapText="1"/>
    </xf>
    <xf borderId="0" fillId="0" fontId="12" numFmtId="2" xfId="0" applyAlignment="1" applyFont="1" applyNumberFormat="1">
      <alignment horizontal="left" shrinkToFit="0" vertical="center" wrapText="1"/>
    </xf>
    <xf borderId="0" fillId="0" fontId="12" numFmtId="2" xfId="0" applyAlignment="1" applyFont="1" applyNumberFormat="1">
      <alignment horizontal="left" readingOrder="0" shrinkToFit="0" vertical="center" wrapText="1"/>
    </xf>
    <xf borderId="1" fillId="20" fontId="11" numFmtId="0" xfId="0" applyAlignment="1" applyBorder="1" applyFill="1" applyFont="1">
      <alignment readingOrder="0" shrinkToFit="0" vertical="center" wrapText="1"/>
    </xf>
    <xf borderId="4" fillId="7" fontId="12" numFmtId="0" xfId="0" applyAlignment="1" applyBorder="1" applyFill="1" applyFont="1">
      <alignment horizontal="center" shrinkToFit="0" vertical="center" wrapText="1"/>
    </xf>
    <xf borderId="1" fillId="7" fontId="12" numFmtId="0" xfId="0" applyAlignment="1" applyBorder="1" applyFill="1" applyFont="1">
      <alignment horizontal="left" shrinkToFit="0" vertical="center" wrapText="1"/>
    </xf>
    <xf borderId="4" fillId="7" fontId="12" numFmtId="0" xfId="0" applyAlignment="1" applyBorder="1" applyFill="1" applyFont="1">
      <alignment horizontal="left" shrinkToFit="0" vertical="center" wrapText="1"/>
    </xf>
    <xf borderId="4" fillId="10" fontId="12" numFmtId="0" xfId="0" applyAlignment="1" applyBorder="1" applyFill="1" applyFont="1">
      <alignment horizontal="left" shrinkToFit="0" vertical="center" wrapText="1"/>
    </xf>
    <xf borderId="4" fillId="10" fontId="12" numFmtId="0" xfId="0" applyAlignment="1" applyBorder="1" applyFill="1" applyFont="1">
      <alignment horizontal="right" readingOrder="0" shrinkToFit="0" vertical="center" wrapText="1"/>
    </xf>
    <xf borderId="0" fillId="6" fontId="24" numFmtId="0" xfId="0" applyAlignment="1" applyFill="1" applyFont="1">
      <alignment horizontal="center" readingOrder="0" shrinkToFit="0" vertical="center" wrapText="1"/>
    </xf>
    <xf borderId="0" fillId="0" fontId="24" numFmtId="0" xfId="0" applyAlignment="1" applyFont="1">
      <alignment horizontal="left" readingOrder="0" shrinkToFit="0" vertical="center" wrapText="1"/>
    </xf>
    <xf borderId="0" fillId="0" fontId="25" numFmtId="0" xfId="0" applyAlignment="1" applyFont="1">
      <alignment shrinkToFit="0" vertical="center" wrapText="1"/>
    </xf>
    <xf borderId="0" fillId="0" fontId="25" numFmtId="0" xfId="0" applyAlignment="1" applyFont="1">
      <alignment readingOrder="0" shrinkToFit="0" vertical="center" wrapText="1"/>
    </xf>
    <xf borderId="0" fillId="16" fontId="25" numFmtId="0" xfId="0" applyAlignment="1" applyFill="1" applyFont="1">
      <alignment shrinkToFit="0" vertical="center" wrapText="1"/>
    </xf>
    <xf borderId="0" fillId="16" fontId="25" numFmtId="0" xfId="0" applyAlignment="1" applyFill="1" applyFont="1">
      <alignment readingOrder="0" shrinkToFit="0" vertical="center" wrapText="1"/>
    </xf>
    <xf borderId="0" fillId="16" fontId="25" numFmtId="0" xfId="0" applyAlignment="1" applyFill="1" applyFont="1">
      <alignment shrinkToFit="0" vertical="center" wrapText="1"/>
    </xf>
    <xf borderId="0" fillId="0" fontId="25" numFmtId="0" xfId="0" applyAlignment="1" applyFont="1">
      <alignment shrinkToFit="0" vertical="center" wrapText="1"/>
    </xf>
    <xf borderId="0" fillId="0" fontId="24" numFmtId="0" xfId="0" applyAlignment="1" applyFont="1">
      <alignment readingOrder="0" shrinkToFit="0" vertical="center" wrapText="1"/>
    </xf>
    <xf borderId="0" fillId="0" fontId="13" numFmtId="2" xfId="0" applyAlignment="1" applyFont="1" applyNumberFormat="1">
      <alignment horizontal="center" vertical="center"/>
    </xf>
    <xf borderId="0" fillId="11" fontId="1" numFmtId="0" xfId="0" applyAlignment="1" applyFill="1" applyFont="1">
      <alignment horizontal="center" readingOrder="0" shrinkToFit="0" vertical="center" wrapText="1"/>
    </xf>
    <xf borderId="36" fillId="0" fontId="16" numFmtId="0" xfId="0" applyAlignment="1" applyBorder="1" applyFont="1">
      <alignment horizontal="center" readingOrder="0" shrinkToFit="0" vertical="center" wrapText="1"/>
    </xf>
    <xf borderId="14" fillId="0" fontId="16" numFmtId="0" xfId="0" applyAlignment="1" applyBorder="1" applyFont="1">
      <alignment readingOrder="0" shrinkToFit="0" vertical="center" wrapText="1"/>
    </xf>
    <xf borderId="14" fillId="0" fontId="16" numFmtId="0" xfId="0" applyAlignment="1" applyBorder="1" applyFont="1">
      <alignment horizontal="center" readingOrder="0" shrinkToFit="0" vertical="center" wrapText="1"/>
    </xf>
    <xf borderId="14" fillId="11" fontId="3" numFmtId="172" xfId="0" applyAlignment="1" applyBorder="1" applyFill="1" applyFont="1" applyNumberFormat="1">
      <alignment horizontal="center" shrinkToFit="0" vertical="center" wrapText="1"/>
    </xf>
    <xf borderId="14" fillId="11" fontId="3" numFmtId="173" xfId="0" applyAlignment="1" applyBorder="1" applyFill="1" applyFont="1" applyNumberFormat="1">
      <alignment horizontal="center" shrinkToFit="0" vertical="center" wrapText="1"/>
    </xf>
    <xf borderId="14" fillId="11" fontId="3" numFmtId="174" xfId="0" applyAlignment="1" applyBorder="1" applyFill="1" applyFont="1" applyNumberFormat="1">
      <alignment horizontal="center" shrinkToFit="0" vertical="center" wrapText="1"/>
    </xf>
    <xf borderId="20" fillId="0" fontId="1" numFmtId="49" xfId="0" applyAlignment="1" applyBorder="1" applyFont="1" applyNumberFormat="1">
      <alignment horizontal="center" shrinkToFit="0" vertical="center" wrapText="1"/>
    </xf>
    <xf borderId="0" fillId="0" fontId="26" numFmtId="2" xfId="0" applyAlignment="1" applyFont="1" applyNumberFormat="1">
      <alignment horizontal="center" shrinkToFit="0" vertical="center" wrapText="1"/>
    </xf>
    <xf borderId="25" fillId="3" fontId="1" numFmtId="49" xfId="0" applyAlignment="1" applyBorder="1" applyFill="1" applyFont="1" applyNumberFormat="1">
      <alignment horizontal="center" readingOrder="0" shrinkToFit="0" vertical="center" wrapText="1"/>
    </xf>
    <xf borderId="0" fillId="0" fontId="26" numFmtId="2" xfId="0" applyAlignment="1" applyFont="1" applyNumberFormat="1">
      <alignment horizontal="center" readingOrder="0" shrinkToFit="0" vertical="center" wrapText="1"/>
    </xf>
    <xf borderId="23" fillId="0" fontId="1" numFmtId="49" xfId="0" applyAlignment="1" applyBorder="1" applyFont="1" applyNumberFormat="1">
      <alignment horizontal="center" shrinkToFit="0" vertical="center" wrapText="1"/>
    </xf>
    <xf borderId="14" fillId="11" fontId="3" numFmtId="165" xfId="0" applyAlignment="1" applyBorder="1" applyFill="1" applyFont="1" applyNumberFormat="1">
      <alignment horizontal="center" shrinkToFit="0" vertical="center" wrapText="1"/>
    </xf>
    <xf borderId="1" fillId="0" fontId="1" numFmtId="0" xfId="0" applyAlignment="1" applyBorder="1" applyFont="1">
      <alignment horizontal="left" readingOrder="0" shrinkToFit="0" vertical="center" wrapText="1"/>
    </xf>
    <xf borderId="0" fillId="0" fontId="26" numFmtId="2" xfId="0" applyAlignment="1" applyFont="1" applyNumberFormat="1">
      <alignment horizontal="left" readingOrder="0" shrinkToFit="0" vertical="center" wrapText="1"/>
    </xf>
    <xf borderId="25" fillId="0" fontId="1" numFmtId="49" xfId="0" applyAlignment="1" applyBorder="1" applyFont="1" applyNumberFormat="1">
      <alignment horizontal="center" readingOrder="0" shrinkToFit="0" vertical="center" wrapText="1"/>
    </xf>
    <xf borderId="4" fillId="0" fontId="3" numFmtId="0" xfId="0" applyAlignment="1" applyBorder="1" applyFont="1">
      <alignment readingOrder="0" shrinkToFit="0" vertical="center" wrapText="1"/>
    </xf>
    <xf borderId="4" fillId="0" fontId="3" numFmtId="0" xfId="0" applyAlignment="1" applyBorder="1" applyFont="1">
      <alignment horizontal="center" shrinkToFit="0" vertical="center" wrapText="1"/>
    </xf>
    <xf borderId="1" fillId="0" fontId="3" numFmtId="0" xfId="0" applyAlignment="1" applyBorder="1" applyFont="1">
      <alignment horizontal="center" shrinkToFit="0" vertical="center" wrapText="1"/>
    </xf>
    <xf borderId="26" fillId="0" fontId="3" numFmtId="167" xfId="0" applyAlignment="1" applyBorder="1" applyFont="1" applyNumberFormat="1">
      <alignment horizontal="center" shrinkToFit="0" vertical="center" wrapText="1"/>
    </xf>
    <xf borderId="25" fillId="0" fontId="1" numFmtId="49" xfId="0" applyAlignment="1" applyBorder="1" applyFont="1" applyNumberFormat="1">
      <alignment horizontal="center" shrinkToFit="0" vertical="center" wrapText="1"/>
    </xf>
    <xf borderId="4" fillId="0" fontId="3" numFmtId="0" xfId="0" applyAlignment="1" applyBorder="1" applyFont="1">
      <alignment horizontal="right" shrinkToFit="0" vertical="center" wrapText="1"/>
    </xf>
    <xf borderId="8" fillId="0" fontId="1" numFmtId="0" xfId="0" applyAlignment="1" applyBorder="1" applyFont="1">
      <alignment horizontal="right" readingOrder="0" shrinkToFit="0" vertical="center" wrapText="1"/>
    </xf>
    <xf borderId="0" fillId="0" fontId="3" numFmtId="0" xfId="0" applyAlignment="1" applyFont="1">
      <alignment horizontal="center" shrinkToFit="0" vertical="center" wrapText="1"/>
    </xf>
    <xf borderId="8" fillId="0" fontId="3" numFmtId="0" xfId="0" applyAlignment="1" applyBorder="1" applyFont="1">
      <alignment horizontal="center" shrinkToFit="0" vertical="center" wrapText="1"/>
    </xf>
    <xf borderId="5" fillId="0" fontId="3" numFmtId="0" xfId="0" applyAlignment="1" applyBorder="1" applyFont="1">
      <alignment horizontal="center" shrinkToFit="0" vertical="center" wrapText="1"/>
    </xf>
    <xf borderId="27" fillId="0" fontId="1" numFmtId="167" xfId="0" applyAlignment="1" applyBorder="1" applyFont="1" applyNumberFormat="1">
      <alignment horizontal="center" shrinkToFit="0" vertical="center" wrapText="1"/>
    </xf>
    <xf borderId="0" fillId="0" fontId="26" numFmtId="2" xfId="0" applyAlignment="1" applyFont="1" applyNumberFormat="1">
      <alignment horizontal="center" shrinkToFit="0" vertical="center" wrapText="1"/>
    </xf>
    <xf borderId="4" fillId="0" fontId="3" numFmtId="0" xfId="0" applyAlignment="1" applyBorder="1" applyFont="1">
      <alignment shrinkToFit="0" vertical="center" wrapText="1"/>
    </xf>
    <xf borderId="4" fillId="0" fontId="3" numFmtId="0" xfId="0" applyAlignment="1" applyBorder="1" applyFont="1">
      <alignment horizontal="center" readingOrder="0" shrinkToFit="0" vertical="center" wrapText="1"/>
    </xf>
    <xf borderId="14" fillId="11" fontId="3" numFmtId="2" xfId="0" applyAlignment="1" applyBorder="1" applyFill="1" applyFont="1" applyNumberFormat="1">
      <alignment horizontal="center" readingOrder="0" shrinkToFit="0" vertical="center" wrapText="1"/>
    </xf>
    <xf borderId="1" fillId="0" fontId="3" numFmtId="0" xfId="0" applyAlignment="1" applyBorder="1" applyFont="1">
      <alignment horizontal="center" readingOrder="0" shrinkToFit="0" vertical="center" wrapText="1"/>
    </xf>
    <xf borderId="23" fillId="0" fontId="1" numFmtId="49" xfId="0" applyAlignment="1" applyBorder="1" applyFont="1" applyNumberFormat="1">
      <alignment horizontal="center" readingOrder="0" shrinkToFit="0" vertical="center" wrapText="1"/>
    </xf>
    <xf borderId="4" fillId="0" fontId="3" numFmtId="0" xfId="0" applyAlignment="1" applyBorder="1" applyFont="1">
      <alignment horizontal="center" readingOrder="0" vertical="center"/>
    </xf>
    <xf borderId="4" fillId="0" fontId="3" numFmtId="0" xfId="0" applyAlignment="1" applyBorder="1" applyFont="1">
      <alignment horizontal="center" vertical="center"/>
    </xf>
    <xf borderId="0" fillId="21" fontId="27" numFmtId="0" xfId="0" applyAlignment="1" applyFill="1" applyFont="1">
      <alignment horizontal="center" readingOrder="0" shrinkToFit="0" vertical="center" wrapText="1"/>
    </xf>
    <xf borderId="8" fillId="21" fontId="27" numFmtId="0" xfId="0" applyAlignment="1" applyBorder="1" applyFill="1" applyFont="1">
      <alignment horizontal="center" readingOrder="0" shrinkToFit="0" vertical="center" wrapText="1"/>
    </xf>
    <xf borderId="1" fillId="21" fontId="28" numFmtId="0" xfId="0" applyAlignment="1" applyBorder="1" applyFill="1" applyFont="1">
      <alignment horizontal="center" readingOrder="0" shrinkToFit="0" vertical="center" wrapText="1"/>
    </xf>
    <xf borderId="12" fillId="22" fontId="2" numFmtId="0" xfId="0" applyBorder="1" applyFill="1" applyFont="1"/>
    <xf borderId="4" fillId="21" fontId="28" numFmtId="0" xfId="0" applyAlignment="1" applyBorder="1" applyFill="1" applyFont="1">
      <alignment horizontal="center" readingOrder="0" shrinkToFit="0" vertical="center" wrapText="1"/>
    </xf>
    <xf borderId="4" fillId="7" fontId="14" numFmtId="0" xfId="0" applyAlignment="1" applyBorder="1" applyFill="1" applyFont="1">
      <alignment horizontal="center" vertical="center"/>
    </xf>
    <xf borderId="4" fillId="7" fontId="14" numFmtId="0" xfId="0" applyAlignment="1" applyBorder="1" applyFill="1" applyFont="1">
      <alignment horizontal="center" readingOrder="0" vertical="center"/>
    </xf>
    <xf borderId="4" fillId="7" fontId="29" numFmtId="0" xfId="0" applyAlignment="1" applyBorder="1" applyFill="1" applyFont="1">
      <alignment horizontal="center" readingOrder="0" vertical="center"/>
    </xf>
    <xf borderId="4" fillId="8" fontId="14" numFmtId="0" xfId="0" applyAlignment="1" applyBorder="1" applyFill="1" applyFont="1">
      <alignment horizontal="center" vertical="center"/>
    </xf>
    <xf borderId="4" fillId="8" fontId="14" numFmtId="0" xfId="0" applyAlignment="1" applyBorder="1" applyFill="1" applyFont="1">
      <alignment horizontal="center" readingOrder="0" vertical="center"/>
    </xf>
    <xf borderId="4" fillId="8" fontId="29" numFmtId="0" xfId="0" applyAlignment="1" applyBorder="1" applyFill="1" applyFont="1">
      <alignment horizontal="center" readingOrder="0" vertical="center"/>
    </xf>
    <xf borderId="4" fillId="0" fontId="18" numFmtId="0" xfId="0" applyAlignment="1" applyBorder="1" applyFont="1">
      <alignment horizontal="center" readingOrder="0" vertical="center"/>
    </xf>
    <xf borderId="4" fillId="0" fontId="20" numFmtId="0" xfId="0" applyAlignment="1" applyBorder="1" applyFont="1">
      <alignment horizontal="center" vertical="center"/>
    </xf>
    <xf borderId="4" fillId="0" fontId="20" numFmtId="0" xfId="0" applyAlignment="1" applyBorder="1" applyFont="1">
      <alignment horizontal="left" shrinkToFit="0" vertical="center" wrapText="1"/>
    </xf>
    <xf borderId="4" fillId="0" fontId="20" numFmtId="168" xfId="0" applyAlignment="1" applyBorder="1" applyFont="1" applyNumberFormat="1">
      <alignment horizontal="center" vertical="center"/>
    </xf>
    <xf borderId="4" fillId="0" fontId="20" numFmtId="49" xfId="0" applyAlignment="1" applyBorder="1" applyFont="1" applyNumberFormat="1">
      <alignment horizontal="center" vertical="center"/>
    </xf>
    <xf borderId="4" fillId="0" fontId="20" numFmtId="0" xfId="0" applyAlignment="1" applyBorder="1" applyFont="1">
      <alignment readingOrder="0" vertical="center"/>
    </xf>
    <xf borderId="4" fillId="0" fontId="20" numFmtId="0" xfId="0" applyAlignment="1" applyBorder="1" applyFont="1">
      <alignment horizontal="left" readingOrder="0" shrinkToFit="0" vertical="center" wrapText="1"/>
    </xf>
    <xf borderId="0" fillId="0" fontId="30" numFmtId="0" xfId="0" applyAlignment="1" applyFont="1">
      <alignment horizontal="center" vertical="center"/>
    </xf>
    <xf borderId="5" fillId="0" fontId="18" numFmtId="0" xfId="0" applyAlignment="1" applyBorder="1" applyFont="1">
      <alignment horizontal="center" readingOrder="0" shrinkToFit="0" vertical="center" wrapText="1"/>
    </xf>
    <xf borderId="8" fillId="0" fontId="18" numFmtId="0" xfId="0" applyAlignment="1" applyBorder="1" applyFont="1">
      <alignment readingOrder="0" shrinkToFit="0" vertical="center" wrapText="1"/>
    </xf>
    <xf borderId="0" fillId="0" fontId="26" numFmtId="2" xfId="0" applyAlignment="1" applyFont="1" applyNumberFormat="1">
      <alignment horizontal="left" shrinkToFit="0" vertical="center" wrapText="1"/>
    </xf>
    <xf borderId="4" fillId="0" fontId="18" numFmtId="0" xfId="0" applyAlignment="1" applyBorder="1" applyFont="1">
      <alignment horizontal="center" readingOrder="0" shrinkToFit="0" vertical="center" wrapText="1"/>
    </xf>
    <xf borderId="4" fillId="0" fontId="20" numFmtId="0" xfId="0" applyAlignment="1" applyBorder="1" applyFont="1">
      <alignment horizontal="center" readingOrder="0" shrinkToFit="0" vertical="center" wrapText="1"/>
    </xf>
    <xf borderId="4" fillId="0" fontId="20" numFmtId="175" xfId="0" applyAlignment="1" applyBorder="1" applyFont="1" applyNumberFormat="1">
      <alignment horizontal="center" readingOrder="0" shrinkToFit="0" vertical="center" wrapText="1"/>
    </xf>
    <xf borderId="1" fillId="0" fontId="1" numFmtId="0" xfId="0" applyAlignment="1" applyBorder="1" applyFont="1">
      <alignment horizontal="left" shrinkToFit="0" vertical="center" wrapText="1"/>
    </xf>
    <xf borderId="4" fillId="0" fontId="20" numFmtId="0" xfId="0" applyAlignment="1" applyBorder="1" applyFont="1">
      <alignment horizontal="center" readingOrder="0" vertical="center"/>
    </xf>
    <xf borderId="23" fillId="11" fontId="1" numFmtId="49" xfId="0" applyAlignment="1" applyBorder="1" applyFill="1" applyFont="1" applyNumberFormat="1">
      <alignment horizontal="center" readingOrder="0" shrinkToFit="0" vertical="center" wrapText="1"/>
    </xf>
    <xf borderId="0" fillId="0" fontId="13" numFmtId="2" xfId="0" applyAlignment="1" applyFont="1" applyNumberFormat="1">
      <alignment readingOrder="0" shrinkToFit="0" vertical="center" wrapText="1"/>
    </xf>
    <xf borderId="4" fillId="0" fontId="3" numFmtId="0" xfId="0" applyAlignment="1" applyBorder="1" applyFont="1">
      <alignment horizontal="right" readingOrder="0" shrinkToFit="0" vertical="center" wrapText="1"/>
    </xf>
    <xf borderId="4" fillId="0" fontId="3" numFmtId="2" xfId="0" applyAlignment="1" applyBorder="1" applyFont="1" applyNumberFormat="1">
      <alignment horizontal="center" readingOrder="0" shrinkToFit="0" vertical="center" wrapText="1"/>
    </xf>
    <xf borderId="26" fillId="0" fontId="1" numFmtId="167" xfId="0" applyAlignment="1" applyBorder="1" applyFont="1" applyNumberFormat="1">
      <alignment horizontal="center" shrinkToFit="0" vertical="center" wrapText="1"/>
    </xf>
    <xf borderId="4" fillId="0" fontId="1" numFmtId="0" xfId="0" applyAlignment="1" applyBorder="1" applyFont="1">
      <alignment horizontal="center" readingOrder="0" shrinkToFit="0" vertical="center" wrapText="1"/>
    </xf>
    <xf borderId="4" fillId="0" fontId="16" numFmtId="0" xfId="0" applyAlignment="1" applyBorder="1" applyFont="1">
      <alignment horizontal="center" shrinkToFit="0" vertical="center" wrapText="1"/>
    </xf>
    <xf borderId="4" fillId="0" fontId="16" numFmtId="0" xfId="0" applyAlignment="1" applyBorder="1" applyFont="1">
      <alignment horizontal="center" readingOrder="0" shrinkToFit="0" vertical="center" wrapText="1"/>
    </xf>
    <xf borderId="1" fillId="13" fontId="17" numFmtId="0" xfId="0" applyAlignment="1" applyBorder="1" applyFill="1" applyFont="1">
      <alignment horizontal="center" readingOrder="0" shrinkToFit="0" vertical="center" wrapText="1"/>
    </xf>
    <xf borderId="4" fillId="0" fontId="1" numFmtId="0" xfId="0" applyAlignment="1" applyBorder="1" applyFont="1">
      <alignment shrinkToFit="0" vertical="center" wrapText="1"/>
    </xf>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5">
    <tableStyle count="3" pivot="0" name="GWD DR Abstract-style">
      <tableStyleElement dxfId="1" type="headerRow"/>
      <tableStyleElement dxfId="2" type="firstRowStripe"/>
      <tableStyleElement dxfId="3" type="secondRowStripe"/>
    </tableStyle>
    <tableStyle count="3" pivot="0" name="GWD MR Abstract-style">
      <tableStyleElement dxfId="1" type="headerRow"/>
      <tableStyleElement dxfId="2" type="firstRowStripe"/>
      <tableStyleElement dxfId="3" type="secondRowStripe"/>
    </tableStyle>
    <tableStyle count="3" pivot="0" name="Electrical Essentials-style">
      <tableStyleElement dxfId="1" type="headerRow"/>
      <tableStyleElement dxfId="2" type="firstRowStripe"/>
      <tableStyleElement dxfId="3" type="secondRowStripe"/>
    </tableStyle>
    <tableStyle count="3" pivot="0" name="GI on Wall PRICE-style">
      <tableStyleElement dxfId="1" type="headerRow"/>
      <tableStyleElement dxfId="2" type="firstRowStripe"/>
      <tableStyleElement dxfId="3" type="secondRowStripe"/>
    </tableStyle>
    <tableStyle count="3" pivot="0" name="GI With Trench PRICE-style">
      <tableStyleElement dxfId="1" type="headerRow"/>
      <tableStyleElement dxfId="2" type="firstRowStripe"/>
      <tableStyleElement dxfId="3" type="secondRowStripe"/>
    </tableStyle>
    <tableStyle count="3" pivot="0" name="Other Fittings PRICE-style">
      <tableStyleElement dxfId="1" type="headerRow"/>
      <tableStyleElement dxfId="2" type="firstRowStripe"/>
      <tableStyleElement dxfId="3" type="secondRowStripe"/>
    </tableStyle>
    <tableStyle count="3" pivot="0" name="Scaffolding-style">
      <tableStyleElement dxfId="1" type="headerRow"/>
      <tableStyleElement dxfId="2" type="firstRowStripe"/>
      <tableStyleElement dxfId="3" type="secondRowStripe"/>
    </tableStyle>
    <tableStyle count="3" pivot="0" name="Services-style">
      <tableStyleElement dxfId="1" type="headerRow"/>
      <tableStyleElement dxfId="2" type="firstRowStripe"/>
      <tableStyleElement dxfId="3" type="secondRowStripe"/>
    </tableStyle>
    <tableStyle count="3" pivot="0" name="TW Casing Pipes-style">
      <tableStyleElement dxfId="1" type="headerRow"/>
      <tableStyleElement dxfId="2" type="firstRowStripe"/>
      <tableStyleElement dxfId="3" type="secondRowStripe"/>
    </tableStyle>
    <tableStyle count="2" pivot="0" name="TW Casing Pipes-style 2">
      <tableStyleElement dxfId="3" type="firstRowStripe"/>
      <tableStyleElement dxfId="2" type="secondRowStripe"/>
    </tableStyle>
    <tableStyle count="2" pivot="0" name="TW Casing Pipes-style 3">
      <tableStyleElement dxfId="2" type="firstRowStripe"/>
      <tableStyleElement dxfId="3" type="secondRowStripe"/>
    </tableStyle>
    <tableStyle count="3" pivot="0" name="Water Tank-style">
      <tableStyleElement dxfId="1" type="headerRow"/>
      <tableStyleElement dxfId="2" type="firstRowStripe"/>
      <tableStyleElement dxfId="3" type="secondRowStripe"/>
    </tableStyle>
    <tableStyle count="3" pivot="0" name="zCost Index-style">
      <tableStyleElement dxfId="1" type="headerRow"/>
      <tableStyleElement dxfId="2" type="firstRowStripe"/>
      <tableStyleElement dxfId="3" type="secondRowStripe"/>
    </tableStyle>
    <tableStyle count="3" pivot="0" name="zLMR-style">
      <tableStyleElement dxfId="1" type="headerRow"/>
      <tableStyleElement dxfId="2" type="firstRowStripe"/>
      <tableStyleElement dxfId="3" type="secondRowStripe"/>
    </tableStyle>
    <tableStyle count="3" pivot="0" name="zPAMR Gen ID 40-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43" Type="http://schemas.openxmlformats.org/officeDocument/2006/relationships/worksheet" Target="worksheets/sheet39.xml"/><Relationship Id="rId46" Type="http://schemas.openxmlformats.org/officeDocument/2006/relationships/worksheet" Target="worksheets/sheet42.xml"/><Relationship Id="rId45" Type="http://schemas.openxmlformats.org/officeDocument/2006/relationships/worksheet" Target="worksheets/sheet4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48" Type="http://schemas.openxmlformats.org/officeDocument/2006/relationships/worksheet" Target="worksheets/sheet44.xml"/><Relationship Id="rId47" Type="http://schemas.openxmlformats.org/officeDocument/2006/relationships/worksheet" Target="worksheets/sheet43.xml"/><Relationship Id="rId49" Type="http://schemas.openxmlformats.org/officeDocument/2006/relationships/worksheet" Target="worksheets/sheet4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32" Type="http://schemas.openxmlformats.org/officeDocument/2006/relationships/worksheet" Target="worksheets/sheet28.xml"/><Relationship Id="rId35" Type="http://schemas.openxmlformats.org/officeDocument/2006/relationships/worksheet" Target="worksheets/sheet31.xml"/><Relationship Id="rId34" Type="http://schemas.openxmlformats.org/officeDocument/2006/relationships/worksheet" Target="worksheets/sheet30.xml"/><Relationship Id="rId37" Type="http://schemas.openxmlformats.org/officeDocument/2006/relationships/worksheet" Target="worksheets/sheet33.xml"/><Relationship Id="rId36" Type="http://schemas.openxmlformats.org/officeDocument/2006/relationships/worksheet" Target="worksheets/sheet32.xml"/><Relationship Id="rId39" Type="http://schemas.openxmlformats.org/officeDocument/2006/relationships/worksheet" Target="worksheets/sheet35.xml"/><Relationship Id="rId38" Type="http://schemas.openxmlformats.org/officeDocument/2006/relationships/worksheet" Target="worksheets/sheet34.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L394" displayName="Table_1" name="Table_1" id="1">
  <tableColumns count="12">
    <tableColumn name="Sl No" id="1"/>
    <tableColumn name="Code" id="2"/>
    <tableColumn name="Item Name" id="3"/>
    <tableColumn name="Item Name With Code" id="4"/>
    <tableColumn name="Unit" id="5"/>
    <tableColumn name="Main Category" id="6"/>
    <tableColumn name="Sub Category 1" id="7"/>
    <tableColumn name="Sub Category 2" id="8"/>
    <tableColumn name="C1" id="9"/>
    <tableColumn name="C2" id="10"/>
    <tableColumn name="Indexed" id="11"/>
    <tableColumn name="Total" id="12"/>
  </tableColumns>
  <tableStyleInfo name="GWD DR Abstract-style" showColumnStripes="0" showFirstColumn="1" showLastColumn="1" showRowStripes="1"/>
</table>
</file>

<file path=xl/tables/table2.xml><?xml version="1.0" encoding="utf-8"?>
<table xmlns="http://schemas.openxmlformats.org/spreadsheetml/2006/main" ref="A3:L197" displayName="Table_2" name="Table_2" id="2">
  <tableColumns count="12">
    <tableColumn name="Sl No" id="1"/>
    <tableColumn name="Code" id="2"/>
    <tableColumn name="Item Name" id="3"/>
    <tableColumn name="Item Name With Code" id="4"/>
    <tableColumn name="Unit" id="5"/>
    <tableColumn name="Main Category" id="6"/>
    <tableColumn name="Sub Category 1" id="7"/>
    <tableColumn name="Sub Category 2" id="8"/>
    <tableColumn name="C1" id="9"/>
    <tableColumn name="C2" id="10"/>
    <tableColumn name="Indexed" id="11"/>
    <tableColumn name="Total" id="12"/>
  </tableColumns>
  <tableStyleInfo name="GWD MR Abstract-style" showColumnStripes="0" showFirstColumn="1" showLastColumn="1" showRowStripes="1"/>
</table>
</file>

<file path=xl/tables/table3.xml><?xml version="1.0" encoding="utf-8"?>
<table xmlns="http://schemas.openxmlformats.org/spreadsheetml/2006/main" ref="A1:D53" displayName="Table_3" name="Table_3" id="3">
  <tableColumns count="4">
    <tableColumn name="Spec Code" id="1"/>
    <tableColumn name="Specification" id="2"/>
    <tableColumn name="Rate (₹)" id="3"/>
    <tableColumn name="Unit" id="4"/>
  </tableColumns>
  <tableStyleInfo name="Electrical Essentials-style" showColumnStripes="0" showFirstColumn="1" showLastColumn="1" showRowStripes="1"/>
</table>
</file>

<file path=xl/tables/table4.xml><?xml version="1.0" encoding="utf-8"?>
<table xmlns="http://schemas.openxmlformats.org/spreadsheetml/2006/main" ref="A1:D7" displayName="Table_4" name="Table_4" id="4">
  <tableColumns count="4">
    <tableColumn name="Spec Code" id="1"/>
    <tableColumn name="Specification" id="2"/>
    <tableColumn name="Rate (₹)" id="3"/>
    <tableColumn name="Unit" id="4"/>
  </tableColumns>
  <tableStyleInfo name="GI on Wall PRICE-style" showColumnStripes="0" showFirstColumn="1" showLastColumn="1" showRowStripes="1"/>
</table>
</file>

<file path=xl/tables/table5.xml><?xml version="1.0" encoding="utf-8"?>
<table xmlns="http://schemas.openxmlformats.org/spreadsheetml/2006/main" ref="A1:D9" displayName="Table_5" name="Table_5" id="5">
  <tableColumns count="4">
    <tableColumn name="Spec Code" id="1"/>
    <tableColumn name="Specification" id="2"/>
    <tableColumn name="Rate (₹)" id="3"/>
    <tableColumn name="Unit" id="4"/>
  </tableColumns>
  <tableStyleInfo name="GI With Trench PRICE-style" showColumnStripes="0" showFirstColumn="1" showLastColumn="1" showRowStripes="1"/>
</table>
</file>

<file path=xl/tables/table6.xml><?xml version="1.0" encoding="utf-8"?>
<table xmlns="http://schemas.openxmlformats.org/spreadsheetml/2006/main" ref="A1:D36" displayName="Table_6" name="Table_6" id="6">
  <tableColumns count="4">
    <tableColumn name="Spec Code" id="1"/>
    <tableColumn name="Specification" id="2"/>
    <tableColumn name="Rate (₹)" id="3"/>
    <tableColumn name="Unit" id="4"/>
  </tableColumns>
  <tableStyleInfo name="Other Fittings PRICE-style" showColumnStripes="0" showFirstColumn="1" showLastColumn="1" showRowStripes="1"/>
</table>
</file>

<file path=xl/tables/table7.xml><?xml version="1.0" encoding="utf-8"?>
<table xmlns="http://schemas.openxmlformats.org/spreadsheetml/2006/main" ref="A1:D2" displayName="Table_7" name="Table_7" id="7">
  <tableColumns count="4">
    <tableColumn name="Spec Code" id="1"/>
    <tableColumn name="Specification" id="2"/>
    <tableColumn name="Rate (₹)" id="3"/>
    <tableColumn name="Unit" id="4"/>
  </tableColumns>
  <tableStyleInfo name="Scaffolding-style" showColumnStripes="0" showFirstColumn="1" showLastColumn="1" showRowStripes="1"/>
</table>
</file>

<file path=xl/tables/table8.xml><?xml version="1.0" encoding="utf-8"?>
<table xmlns="http://schemas.openxmlformats.org/spreadsheetml/2006/main" ref="A1:D29" displayName="Table_8" name="Table_8" id="8">
  <tableColumns count="4">
    <tableColumn name="Sl. No" id="1"/>
    <tableColumn name="Item Name" id="2"/>
    <tableColumn name="Unit" id="3"/>
    <tableColumn name="Rate" id="4"/>
  </tableColumns>
  <tableStyleInfo name="Services-style" showColumnStripes="0" showFirstColumn="1" showLastColumn="1" showRowStripes="1"/>
</table>
</file>

<file path=xl/tables/table9.xml><?xml version="1.0" encoding="utf-8"?>
<table xmlns="http://schemas.openxmlformats.org/spreadsheetml/2006/main" ref="A1:D7" displayName="Table_9" name="Table_9" id="9">
  <tableColumns count="4">
    <tableColumn name="Spec Code" id="1"/>
    <tableColumn name="Specification" id="2"/>
    <tableColumn name="Rate (₹)" id="3"/>
    <tableColumn name="Unit" id="4"/>
  </tableColumns>
  <tableStyleInfo name="TW Casing Pipes-style" showColumnStripes="0" showFirstColumn="1" showLastColumn="1" showRowStripes="1"/>
</table>
</file>

<file path=xl/tables/table10.xml><?xml version="1.0" encoding="utf-8"?>
<table xmlns="http://schemas.openxmlformats.org/spreadsheetml/2006/main" headerRowCount="0" ref="A9:D11" displayName="Table_10" name="Table_10" id="10">
  <tableColumns count="4">
    <tableColumn name="Column1" id="1"/>
    <tableColumn name="Column2" id="2"/>
    <tableColumn name="Column3" id="3"/>
    <tableColumn name="Column4" id="4"/>
  </tableColumns>
  <tableStyleInfo name="TW Casing Pipes-style 2" showColumnStripes="0" showFirstColumn="1" showLastColumn="1" showRowStripes="1"/>
</table>
</file>

<file path=xl/tables/table11.xml><?xml version="1.0" encoding="utf-8"?>
<table xmlns="http://schemas.openxmlformats.org/spreadsheetml/2006/main" headerRowCount="0" ref="A12:D13" displayName="Table_11" name="Table_11" id="11">
  <tableColumns count="4">
    <tableColumn name="Column1" id="1"/>
    <tableColumn name="Column2" id="2"/>
    <tableColumn name="Column3" id="3"/>
    <tableColumn name="Column4" id="4"/>
  </tableColumns>
  <tableStyleInfo name="TW Casing Pipes-style 3" showColumnStripes="0" showFirstColumn="1" showLastColumn="1" showRowStripes="1"/>
</table>
</file>

<file path=xl/tables/table12.xml><?xml version="1.0" encoding="utf-8"?>
<table xmlns="http://schemas.openxmlformats.org/spreadsheetml/2006/main" headerRowCount="0" ref="A1:D1" displayName="Table_12" name="Table_12" id="12">
  <tableColumns count="4">
    <tableColumn name="Column1" id="1"/>
    <tableColumn name="Column2" id="2"/>
    <tableColumn name="Column3" id="3"/>
    <tableColumn name="Column4" id="4"/>
  </tableColumns>
  <tableStyleInfo name="Water Tank-style" showColumnStripes="0" showFirstColumn="1" showLastColumn="1" showRowStripes="1"/>
  <extLst>
    <ext uri="GoogleSheetsCustomDataVersion1">
      <go:sheetsCustomData xmlns:go="http://customooxmlschemas.google.com/" headerRowCount="1"/>
    </ext>
  </extLst>
</table>
</file>

<file path=xl/tables/table13.xml><?xml version="1.0" encoding="utf-8"?>
<table xmlns="http://schemas.openxmlformats.org/spreadsheetml/2006/main" ref="A1:B16" displayName="Table_13" name="Table_13" id="13">
  <tableColumns count="2">
    <tableColumn name="District" id="1"/>
    <tableColumn name="Index" id="2"/>
  </tableColumns>
  <tableStyleInfo name="zCost Index-style" showColumnStripes="0" showFirstColumn="1" showLastColumn="1" showRowStripes="1"/>
</table>
</file>

<file path=xl/tables/table14.xml><?xml version="1.0" encoding="utf-8"?>
<table xmlns="http://schemas.openxmlformats.org/spreadsheetml/2006/main" ref="A1:C29" displayName="Table_14" name="Table_14" id="14">
  <tableColumns count="3">
    <tableColumn name="LMR Code" id="1"/>
    <tableColumn name="Spec" id="2"/>
    <tableColumn name="Rate" id="3"/>
  </tableColumns>
  <tableStyleInfo name="zLMR-style" showColumnStripes="0" showFirstColumn="1" showLastColumn="1" showRowStripes="1"/>
</table>
</file>

<file path=xl/tables/table15.xml><?xml version="1.0" encoding="utf-8"?>
<table xmlns="http://schemas.openxmlformats.org/spreadsheetml/2006/main" ref="A1:J1709" displayName="Table_15" name="Table_15" id="15">
  <tableColumns count="10">
    <tableColumn name="No" id="1"/>
    <tableColumn name="Core Type" id="2"/>
    <tableColumn name="Misc Type" id="3"/>
    <tableColumn name="Code" id="4"/>
    <tableColumn name="Description" id="5"/>
    <tableColumn name="Rate (₹)" id="6"/>
    <tableColumn name="Unit" id="7"/>
    <tableColumn name="Valid From" id="8"/>
    <tableColumn name="Valid To" id="9"/>
    <tableColumn name="Published On" id="10"/>
  </tableColumns>
  <tableStyleInfo name="zPAMR Gen ID 40-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6.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5" Type="http://schemas.openxmlformats.org/officeDocument/2006/relationships/table" Target="../tables/table9.xml"/><Relationship Id="rId6" Type="http://schemas.openxmlformats.org/officeDocument/2006/relationships/table" Target="../tables/table10.xml"/><Relationship Id="rId7" Type="http://schemas.openxmlformats.org/officeDocument/2006/relationships/table" Target="../tables/table11.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3" Type="http://schemas.openxmlformats.org/officeDocument/2006/relationships/table" Target="../tables/table12.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5.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6.xml"/><Relationship Id="rId3" Type="http://schemas.openxmlformats.org/officeDocument/2006/relationships/table" Target="../tables/table1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7.xml"/></Relationships>
</file>

<file path=xl/worksheets/_rels/sheet48.xml.rels><?xml version="1.0" encoding="UTF-8" standalone="yes"?><Relationships xmlns="http://schemas.openxmlformats.org/package/2006/relationships"><Relationship Id="rId1" Type="http://schemas.openxmlformats.org/officeDocument/2006/relationships/drawing" Target="../drawings/drawing48.xml"/><Relationship Id="rId3" Type="http://schemas.openxmlformats.org/officeDocument/2006/relationships/table" Target="../tables/table14.xml"/></Relationships>
</file>

<file path=xl/worksheets/_rels/sheet49.xml.rels><?xml version="1.0" encoding="UTF-8" standalone="yes"?><Relationships xmlns="http://schemas.openxmlformats.org/package/2006/relationships"><Relationship Id="rId1" Type="http://schemas.openxmlformats.org/officeDocument/2006/relationships/drawing" Target="../drawings/drawing49.xml"/><Relationship Id="rId3"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86"/>
    <col customWidth="1" min="2" max="2" width="20.86"/>
    <col customWidth="1" min="3" max="4" width="50.43"/>
    <col customWidth="1" min="5" max="5" width="14.86"/>
    <col customWidth="1" min="6" max="7" width="30.57"/>
    <col customWidth="1" min="8" max="8" width="26.71"/>
    <col customWidth="1" min="11" max="11" width="13.0"/>
  </cols>
  <sheetData>
    <row r="1">
      <c r="A1" s="10" t="s">
        <v>5</v>
      </c>
      <c r="B1" s="7"/>
      <c r="C1" s="7"/>
      <c r="D1" s="7"/>
      <c r="E1" s="7"/>
      <c r="F1" s="7"/>
      <c r="G1" s="7"/>
      <c r="H1" s="7"/>
      <c r="I1" s="9"/>
      <c r="J1" s="12" t="s">
        <v>12</v>
      </c>
      <c r="K1" s="3"/>
      <c r="L1" s="13" t="s">
        <v>13</v>
      </c>
    </row>
    <row r="2">
      <c r="A2" s="14"/>
      <c r="B2" s="16"/>
      <c r="C2" s="16"/>
      <c r="D2" s="16"/>
      <c r="E2" s="16"/>
      <c r="F2" s="16"/>
      <c r="G2" s="16"/>
      <c r="H2" s="16"/>
      <c r="I2" s="17"/>
      <c r="J2" s="21" t="s">
        <v>16</v>
      </c>
      <c r="K2" s="3"/>
      <c r="L2" s="25">
        <f t="array" ref="L2">((IFERROR(INDEX(CostIndex,MATCH(J2,District,0), ), )))</f>
        <v>1</v>
      </c>
    </row>
    <row r="3">
      <c r="A3" s="26" t="s">
        <v>25</v>
      </c>
      <c r="B3" s="26" t="s">
        <v>4</v>
      </c>
      <c r="C3" s="26" t="s">
        <v>28</v>
      </c>
      <c r="D3" s="26" t="s">
        <v>29</v>
      </c>
      <c r="E3" s="26" t="s">
        <v>8</v>
      </c>
      <c r="F3" s="27" t="s">
        <v>30</v>
      </c>
      <c r="G3" s="27" t="s">
        <v>32</v>
      </c>
      <c r="H3" s="27" t="s">
        <v>33</v>
      </c>
      <c r="I3" s="27" t="s">
        <v>34</v>
      </c>
      <c r="J3" s="27" t="s">
        <v>35</v>
      </c>
      <c r="K3" s="27" t="s">
        <v>36</v>
      </c>
      <c r="L3" s="27" t="s">
        <v>37</v>
      </c>
    </row>
    <row r="4">
      <c r="A4" s="29">
        <v>1.0</v>
      </c>
      <c r="B4" s="30" t="s">
        <v>41</v>
      </c>
      <c r="C4" s="31" t="str">
        <f>'Well Protection'!A1</f>
        <v>Well Protection Cover</v>
      </c>
      <c r="D4" s="31" t="str">
        <f t="shared" ref="D4:D394" si="1">CONCATENATE(C4," (Code: ",B4,")")</f>
        <v>Well Protection Cover (Code: GWDDR001)</v>
      </c>
      <c r="E4" s="29" t="s">
        <v>43</v>
      </c>
      <c r="F4" s="32" t="s">
        <v>48</v>
      </c>
      <c r="G4" s="32" t="s">
        <v>49</v>
      </c>
      <c r="H4" s="32" t="s">
        <v>50</v>
      </c>
      <c r="I4" s="32">
        <v>0.0</v>
      </c>
      <c r="J4" s="33">
        <f>'Well Protection'!J30</f>
        <v>3800.002554</v>
      </c>
      <c r="K4" s="33">
        <f t="shared" ref="K4:K394" si="2">J4*($L$2-1)</f>
        <v>0</v>
      </c>
      <c r="L4" s="33">
        <f t="shared" ref="L4:L394" si="3">SUM(I4:K4)</f>
        <v>3800.002554</v>
      </c>
    </row>
    <row r="5">
      <c r="A5" s="29">
        <v>2.0</v>
      </c>
      <c r="B5" s="30" t="s">
        <v>62</v>
      </c>
      <c r="C5" s="31" t="str">
        <f>'Iron Structure'!A1</f>
        <v>Angle Iron Structure To Support 5000 Litres Capacity Water Tank At 4 m Height</v>
      </c>
      <c r="D5" s="31" t="str">
        <f t="shared" si="1"/>
        <v>Angle Iron Structure To Support 5000 Litres Capacity Water Tank At 4 m Height (Code: GWDDR002)</v>
      </c>
      <c r="E5" s="29" t="s">
        <v>43</v>
      </c>
      <c r="F5" s="32" t="s">
        <v>48</v>
      </c>
      <c r="G5" s="32" t="s">
        <v>49</v>
      </c>
      <c r="H5" s="32" t="s">
        <v>65</v>
      </c>
      <c r="I5" s="32">
        <v>0.0</v>
      </c>
      <c r="J5" s="33">
        <f>'Iron Structure'!J42</f>
        <v>71000.00333</v>
      </c>
      <c r="K5" s="33">
        <f t="shared" si="2"/>
        <v>0</v>
      </c>
      <c r="L5" s="33">
        <f t="shared" si="3"/>
        <v>71000.00333</v>
      </c>
    </row>
    <row r="6">
      <c r="A6" s="29">
        <v>3.0</v>
      </c>
      <c r="B6" s="30" t="s">
        <v>79</v>
      </c>
      <c r="C6" s="31" t="str">
        <f>'Iron Structure'!A44</f>
        <v>Angle Iron Structure To Support 3000 Litres Capacity Water Tank At 4 m Height</v>
      </c>
      <c r="D6" s="31" t="str">
        <f t="shared" si="1"/>
        <v>Angle Iron Structure To Support 3000 Litres Capacity Water Tank At 4 m Height (Code: GWDDR003)</v>
      </c>
      <c r="E6" s="29" t="s">
        <v>43</v>
      </c>
      <c r="F6" s="32" t="s">
        <v>48</v>
      </c>
      <c r="G6" s="32" t="s">
        <v>49</v>
      </c>
      <c r="H6" s="32" t="s">
        <v>65</v>
      </c>
      <c r="I6" s="32">
        <v>0.0</v>
      </c>
      <c r="J6" s="33">
        <f>'Iron Structure'!J85</f>
        <v>62000</v>
      </c>
      <c r="K6" s="33">
        <f t="shared" si="2"/>
        <v>0</v>
      </c>
      <c r="L6" s="33">
        <f t="shared" si="3"/>
        <v>62000</v>
      </c>
    </row>
    <row r="7">
      <c r="A7" s="29">
        <v>4.0</v>
      </c>
      <c r="B7" s="30" t="s">
        <v>88</v>
      </c>
      <c r="C7" s="31" t="str">
        <f>'Iron Structure'!A87</f>
        <v>Angle Iron Structure To Support 5000 Litres Capacity Water Tank At 6 m Height</v>
      </c>
      <c r="D7" s="31" t="str">
        <f t="shared" si="1"/>
        <v>Angle Iron Structure To Support 5000 Litres Capacity Water Tank At 6 m Height (Code: GWDDR004)</v>
      </c>
      <c r="E7" s="29" t="s">
        <v>43</v>
      </c>
      <c r="F7" s="32" t="s">
        <v>48</v>
      </c>
      <c r="G7" s="32" t="s">
        <v>49</v>
      </c>
      <c r="H7" s="32" t="s">
        <v>65</v>
      </c>
      <c r="I7" s="32">
        <v>0.0</v>
      </c>
      <c r="J7" s="33">
        <f>'Iron Structure'!J130</f>
        <v>93999.99709</v>
      </c>
      <c r="K7" s="33">
        <f t="shared" si="2"/>
        <v>0</v>
      </c>
      <c r="L7" s="33">
        <f t="shared" si="3"/>
        <v>93999.99709</v>
      </c>
    </row>
    <row r="8">
      <c r="A8" s="29">
        <v>5.0</v>
      </c>
      <c r="B8" s="30" t="s">
        <v>98</v>
      </c>
      <c r="C8" s="31" t="str">
        <f>'Iron Structure'!A132</f>
        <v>Angle Iron Structure To Support 3000 Litres Capacity Water Tank At 6 m Height</v>
      </c>
      <c r="D8" s="31" t="str">
        <f t="shared" si="1"/>
        <v>Angle Iron Structure To Support 3000 Litres Capacity Water Tank At 6 m Height (Code: GWDDR005)</v>
      </c>
      <c r="E8" s="29" t="s">
        <v>43</v>
      </c>
      <c r="F8" s="32" t="s">
        <v>48</v>
      </c>
      <c r="G8" s="32" t="s">
        <v>49</v>
      </c>
      <c r="H8" s="32" t="s">
        <v>65</v>
      </c>
      <c r="I8" s="32">
        <v>0.0</v>
      </c>
      <c r="J8" s="33">
        <f>'Iron Structure'!J175</f>
        <v>83000</v>
      </c>
      <c r="K8" s="33">
        <f t="shared" si="2"/>
        <v>0</v>
      </c>
      <c r="L8" s="33">
        <f t="shared" si="3"/>
        <v>83000</v>
      </c>
    </row>
    <row r="9">
      <c r="A9" s="29">
        <v>6.0</v>
      </c>
      <c r="B9" s="30" t="s">
        <v>103</v>
      </c>
      <c r="C9" s="31" t="str">
        <f>'Metallic PH'!A1</f>
        <v>Metallic Pump House of size 1.2 x 0.9 x 2 m</v>
      </c>
      <c r="D9" s="31" t="str">
        <f t="shared" si="1"/>
        <v>Metallic Pump House of size 1.2 x 0.9 x 2 m (Code: GWDDR006)</v>
      </c>
      <c r="E9" s="29" t="s">
        <v>43</v>
      </c>
      <c r="F9" s="32" t="s">
        <v>48</v>
      </c>
      <c r="G9" s="32" t="s">
        <v>49</v>
      </c>
      <c r="H9" s="32" t="s">
        <v>50</v>
      </c>
      <c r="I9" s="32">
        <v>0.0</v>
      </c>
      <c r="J9" s="33">
        <f>'Metallic PH'!J62</f>
        <v>25999.99568</v>
      </c>
      <c r="K9" s="33">
        <f t="shared" si="2"/>
        <v>0</v>
      </c>
      <c r="L9" s="33">
        <f t="shared" si="3"/>
        <v>25999.99568</v>
      </c>
    </row>
    <row r="10">
      <c r="A10" s="29">
        <v>7.0</v>
      </c>
      <c r="B10" s="30" t="s">
        <v>112</v>
      </c>
      <c r="C10" s="31" t="str">
        <f>'BW Casing Pipes'!B2</f>
        <v>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v>
      </c>
      <c r="D10" s="31" t="str">
        <f t="shared" si="1"/>
        <v>Supplying, 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(Code: GWDDR007)</v>
      </c>
      <c r="E10" s="29" t="s">
        <v>22</v>
      </c>
      <c r="F10" s="32" t="s">
        <v>48</v>
      </c>
      <c r="G10" s="32" t="s">
        <v>118</v>
      </c>
      <c r="H10" s="32" t="s">
        <v>119</v>
      </c>
      <c r="I10" s="33">
        <f>'BW Casing Pipes'!F13</f>
        <v>326.4</v>
      </c>
      <c r="J10" s="33">
        <f>'BW Casing Pipes'!F26</f>
        <v>11.2</v>
      </c>
      <c r="K10" s="33">
        <f t="shared" si="2"/>
        <v>0</v>
      </c>
      <c r="L10" s="33">
        <f t="shared" si="3"/>
        <v>337.6</v>
      </c>
    </row>
    <row r="11">
      <c r="A11" s="29">
        <v>8.0</v>
      </c>
      <c r="B11" s="30" t="s">
        <v>124</v>
      </c>
      <c r="C11" s="31" t="str">
        <f>'BW Casing Pipes'!B28</f>
        <v>Supplying, assembling, lowering and fixing in vertical position in Borewell, PVC 140 mm 8 Kg/cm2 well casing pipe of required dia, conforming to IS : 4985:2000, including required hire and labour charges, fittings &amp; accessories etc. all complete, for all depths, as per direction of Engineer- in- Charge.</v>
      </c>
      <c r="D11" s="31" t="str">
        <f t="shared" si="1"/>
        <v>Supplying, assembling, lowering and fixing in vertical position in Borewell, PVC 140 mm 8 Kg/cm2 well casing pipe of required dia, conforming to IS : 4985:2000, including required hire and labour charges, fittings &amp; accessories etc. all complete, for all depths, as per direction of Engineer- in- Charge. (Code: GWDDR008)</v>
      </c>
      <c r="E11" s="29" t="s">
        <v>22</v>
      </c>
      <c r="F11" s="32" t="s">
        <v>48</v>
      </c>
      <c r="G11" s="32" t="s">
        <v>118</v>
      </c>
      <c r="H11" s="32" t="s">
        <v>119</v>
      </c>
      <c r="I11" s="33">
        <f>'BW Casing Pipes'!F39</f>
        <v>462.3</v>
      </c>
      <c r="J11" s="33">
        <f>'BW Casing Pipes'!F52</f>
        <v>11.2</v>
      </c>
      <c r="K11" s="33">
        <f t="shared" si="2"/>
        <v>0</v>
      </c>
      <c r="L11" s="33">
        <f t="shared" si="3"/>
        <v>473.5</v>
      </c>
    </row>
    <row r="12">
      <c r="A12" s="29">
        <v>9.0</v>
      </c>
      <c r="B12" s="30" t="s">
        <v>135</v>
      </c>
      <c r="C12" s="31" t="str">
        <f>'BW Casing Pipes'!B54</f>
        <v>Supplying, assembling, lowering and fixing in vertical position in Borewell, PVC 160mm 6 Kg/cm2 well casing pipe of required dia, conforming to IS : 4985:2000, including required hire and labour charges, fittings &amp; accessories etc. all complete, for all depths, as per direction of Engineer- in- Charge.</v>
      </c>
      <c r="D12" s="31" t="str">
        <f t="shared" si="1"/>
        <v>Supplying, assembling, lowering and fixing in vertical position in Borewell, PVC 160mm 6 Kg/cm2 well casing pipe of required dia, conforming to IS : 4985:2000, including required hire and labour charges, fittings &amp; accessories etc. all complete, for all depths, as per direction of Engineer- in- Charge. (Code: GWDDR009)</v>
      </c>
      <c r="E12" s="29" t="s">
        <v>22</v>
      </c>
      <c r="F12" s="32" t="s">
        <v>48</v>
      </c>
      <c r="G12" s="32" t="s">
        <v>118</v>
      </c>
      <c r="H12" s="32" t="s">
        <v>119</v>
      </c>
      <c r="I12" s="33">
        <f>'BW Casing Pipes'!F65</f>
        <v>449.5</v>
      </c>
      <c r="J12" s="33">
        <f>'BW Casing Pipes'!F78</f>
        <v>11.2</v>
      </c>
      <c r="K12" s="33">
        <f t="shared" si="2"/>
        <v>0</v>
      </c>
      <c r="L12" s="33">
        <f t="shared" si="3"/>
        <v>460.7</v>
      </c>
    </row>
    <row r="13">
      <c r="A13" s="29">
        <v>10.0</v>
      </c>
      <c r="B13" s="30" t="s">
        <v>145</v>
      </c>
      <c r="C13" s="31" t="str">
        <f>'BW Casing Pipes'!B80</f>
        <v>Supplying, assembling, lowering and fixing in vertical position in Borewell, PVC 180mm 6 Kg/cm2 well casing pipe of required dia, conforming to IS : 4985:2000, including required hire and labour charges, fittings &amp; accessories etc. all complete, for all depths, as per direction of Engineer- in- Charge.</v>
      </c>
      <c r="D13" s="31" t="str">
        <f t="shared" si="1"/>
        <v>Supplying, assembling, lowering and fixing in vertical position in Borewell, PVC 180mm 6 Kg/cm2 well casing pipe of required dia, conforming to IS : 4985:2000, including required hire and labour charges, fittings &amp; accessories etc. all complete, for all depths, as per direction of Engineer- in- Charge. (Code: GWDDR010)</v>
      </c>
      <c r="E13" s="29" t="s">
        <v>22</v>
      </c>
      <c r="F13" s="32" t="s">
        <v>48</v>
      </c>
      <c r="G13" s="32" t="s">
        <v>118</v>
      </c>
      <c r="H13" s="32" t="s">
        <v>119</v>
      </c>
      <c r="I13" s="33">
        <f>'BW Casing Pipes'!F91</f>
        <v>565.65</v>
      </c>
      <c r="J13" s="33">
        <f>'BW Casing Pipes'!F104</f>
        <v>11.2</v>
      </c>
      <c r="K13" s="33">
        <f t="shared" si="2"/>
        <v>0</v>
      </c>
      <c r="L13" s="33">
        <f t="shared" si="3"/>
        <v>576.85</v>
      </c>
    </row>
    <row r="14">
      <c r="A14" s="29">
        <v>11.0</v>
      </c>
      <c r="B14" s="30" t="s">
        <v>156</v>
      </c>
      <c r="C14" s="31" t="str">
        <f>'BW Casing Pipes'!B106</f>
        <v>Supplying, assembling, lowering and fixing in vertical position in Borewell, PVC 180mm 8 Kg/cm2 well casing pipe of required dia, conforming to IS : 4985:2000, including required hire and labour charges, fittings &amp; accessories etc. all complete, for all depths, as per direction of Engineer- in- Charge.</v>
      </c>
      <c r="D14" s="31" t="str">
        <f t="shared" si="1"/>
        <v>Supplying, assembling, lowering and fixing in vertical position in Borewell, PVC 180mm 8 Kg/cm2 well casing pipe of required dia, conforming to IS : 4985:2000, including required hire and labour charges, fittings &amp; accessories etc. all complete, for all depths, as per direction of Engineer- in- Charge. (Code: GWDDR011)</v>
      </c>
      <c r="E14" s="29" t="s">
        <v>22</v>
      </c>
      <c r="F14" s="32" t="s">
        <v>48</v>
      </c>
      <c r="G14" s="32" t="s">
        <v>118</v>
      </c>
      <c r="H14" s="32" t="s">
        <v>119</v>
      </c>
      <c r="I14" s="33">
        <f>'BW Casing Pipes'!F117</f>
        <v>759.6</v>
      </c>
      <c r="J14" s="33">
        <f>'BW Casing Pipes'!F130</f>
        <v>11.2</v>
      </c>
      <c r="K14" s="33">
        <f t="shared" si="2"/>
        <v>0</v>
      </c>
      <c r="L14" s="33">
        <f t="shared" si="3"/>
        <v>770.8</v>
      </c>
    </row>
    <row r="15">
      <c r="A15" s="29">
        <v>12.0</v>
      </c>
      <c r="B15" s="30" t="s">
        <v>165</v>
      </c>
      <c r="C15" s="31" t="str">
        <f>'BW Casing Pipes'!B132</f>
        <v>Supplying, assembling, lowering and fixing in vertical position in Borewell, PVC 200mm 8 Kg/cm2 well casing pipe of required dia, conforming to IS : 4985:2000, including required hire and labour charges, fittings &amp; accessories etc. all complete, for all depths, as per direction of Engineer- in- Charge.</v>
      </c>
      <c r="D15" s="31" t="str">
        <f t="shared" si="1"/>
        <v>Supplying, assembling, lowering and fixing in vertical position in Borewell, PVC 200mm 8 Kg/cm2 well casing pipe of required dia, conforming to IS : 4985:2000, including required hire and labour charges, fittings &amp; accessories etc. all complete, for all depths, as per direction of Engineer- in- Charge. (Code: GWDDR012)</v>
      </c>
      <c r="E15" s="29" t="s">
        <v>22</v>
      </c>
      <c r="F15" s="32" t="s">
        <v>48</v>
      </c>
      <c r="G15" s="32" t="s">
        <v>118</v>
      </c>
      <c r="H15" s="32" t="s">
        <v>119</v>
      </c>
      <c r="I15" s="33">
        <f>'BW Casing Pipes'!F143</f>
        <v>944.3</v>
      </c>
      <c r="J15" s="33">
        <f>'BW Casing Pipes'!F156</f>
        <v>11.2</v>
      </c>
      <c r="K15" s="33">
        <f t="shared" si="2"/>
        <v>0</v>
      </c>
      <c r="L15" s="33">
        <f t="shared" si="3"/>
        <v>955.5</v>
      </c>
    </row>
    <row r="16">
      <c r="A16" s="29">
        <v>13.0</v>
      </c>
      <c r="B16" s="30" t="s">
        <v>175</v>
      </c>
      <c r="C16" s="31" t="str">
        <f>'BW Casing Pipes'!B158</f>
        <v>Supplying, assembling, lowering and fixing in vertical position in Borewell, PVC 200mm 10 Kg/cm2 well casing pipe of required dia, conforming to IS : 4985:2000, including required hire and labour charges, fittings &amp; accessories etc. all complete, for all depths, as per direction of Engineer- in- Charge.</v>
      </c>
      <c r="D16" s="31" t="str">
        <f t="shared" si="1"/>
        <v>Supplying, assembling, lowering and fixing in vertical position in Borewell, PVC 200mm 10 Kg/cm2 well casing pipe of required dia, conforming to IS : 4985:2000, including required hire and labour charges, fittings &amp; accessories etc. all complete, for all depths, as per direction of Engineer- in- Charge. (Code: GWDDR013)</v>
      </c>
      <c r="E16" s="29" t="s">
        <v>22</v>
      </c>
      <c r="F16" s="32" t="s">
        <v>48</v>
      </c>
      <c r="G16" s="32" t="s">
        <v>118</v>
      </c>
      <c r="H16" s="32" t="s">
        <v>119</v>
      </c>
      <c r="I16" s="33">
        <f>'BW Casing Pipes'!F169</f>
        <v>1111.55</v>
      </c>
      <c r="J16" s="33">
        <f>'BW Casing Pipes'!F182</f>
        <v>11.2</v>
      </c>
      <c r="K16" s="33">
        <f t="shared" si="2"/>
        <v>0</v>
      </c>
      <c r="L16" s="33">
        <f t="shared" si="3"/>
        <v>1122.75</v>
      </c>
    </row>
    <row r="17">
      <c r="A17" s="29">
        <v>14.0</v>
      </c>
      <c r="B17" s="30" t="s">
        <v>185</v>
      </c>
      <c r="C17" s="31" t="str">
        <f>'BW Casing Pipes'!B184</f>
        <v>Supplying, assembling, lowering and fixing in vertical position in Borewell, PVC 110 mm 6 Kg/cm2 well casing pipe of required dia, conforming to IS : 4985:2000, including required hire and labour charges, fittings &amp; accessories etc. all complete, for all depths, as per direction of Engineer- in- Charge.</v>
      </c>
      <c r="D17" s="31" t="str">
        <f t="shared" si="1"/>
        <v>Supplying, assembling, lowering and fixing in vertical position in Borewell, PVC 110 mm 6 Kg/cm2 well casing pipe of required dia, conforming to IS : 4985:2000, including required hire and labour charges, fittings &amp; accessories etc. all complete, for all depths, as per direction of Engineer- in- Charge. (Code: GWDDR014)</v>
      </c>
      <c r="E17" s="29" t="s">
        <v>22</v>
      </c>
      <c r="F17" s="32" t="s">
        <v>48</v>
      </c>
      <c r="G17" s="32" t="s">
        <v>118</v>
      </c>
      <c r="H17" s="32" t="s">
        <v>119</v>
      </c>
      <c r="I17" s="33">
        <f>'BW Casing Pipes'!F195</f>
        <v>209.05</v>
      </c>
      <c r="J17" s="33">
        <f>'BW Casing Pipes'!F208</f>
        <v>11.2</v>
      </c>
      <c r="K17" s="33">
        <f t="shared" si="2"/>
        <v>0</v>
      </c>
      <c r="L17" s="33">
        <f t="shared" si="3"/>
        <v>220.25</v>
      </c>
    </row>
    <row r="18">
      <c r="A18" s="29">
        <v>15.0</v>
      </c>
      <c r="B18" s="30" t="s">
        <v>195</v>
      </c>
      <c r="C18" s="31" t="str">
        <f>'BW Casing Pipes'!B210</f>
        <v>Supplying, assembling, lowering and fixing in vertical position in Borewell, PVC 110 mm 4 Kg/cm2 well casing pipe of required dia, conforming to IS : 4985:2000, including required hire and labour charges, fittings &amp; accessories etc. all complete, for all depths, as per direction of Engineer- in- Charge.</v>
      </c>
      <c r="D18" s="31" t="str">
        <f t="shared" si="1"/>
        <v>Supplying, assembling, lowering and fixing in vertical position in Borewell, PVC 110 mm 4 Kg/cm2 well casing pipe of required dia, conforming to IS : 4985:2000, including required hire and labour charges, fittings &amp; accessories etc. all complete, for all depths, as per direction of Engineer- in- Charge. (Code: GWDDR015)</v>
      </c>
      <c r="E18" s="29" t="s">
        <v>22</v>
      </c>
      <c r="F18" s="32" t="s">
        <v>48</v>
      </c>
      <c r="G18" s="32" t="s">
        <v>118</v>
      </c>
      <c r="H18" s="32" t="s">
        <v>119</v>
      </c>
      <c r="I18" s="33">
        <f>'BW Casing Pipes'!F221</f>
        <v>197.45</v>
      </c>
      <c r="J18" s="33">
        <f>'BW Casing Pipes'!F234</f>
        <v>11.2</v>
      </c>
      <c r="K18" s="33">
        <f t="shared" si="2"/>
        <v>0</v>
      </c>
      <c r="L18" s="33">
        <f t="shared" si="3"/>
        <v>208.65</v>
      </c>
    </row>
    <row r="19">
      <c r="A19" s="29">
        <v>16.0</v>
      </c>
      <c r="B19" s="30" t="s">
        <v>207</v>
      </c>
      <c r="C19" s="31" t="str">
        <f>'BW Casing Pipes'!B236</f>
        <v>Supplying, assembling, lowering and fixing in vertical position in Borewell, PVC 140 mm 10 Kg/cm2 well casing pipe of required dia, conforming to IS : 4985:2000, including required hire and labour charges, fittings &amp; accessories etc. all complete, for all depths, as per direction of Engineer- in- Charge.</v>
      </c>
      <c r="D19" s="31" t="str">
        <f t="shared" si="1"/>
        <v>Supplying, assembling, lowering and fixing in vertical position in Borewell, PVC 140 mm 10 Kg/cm2 well casing pipe of required dia, conforming to IS : 4985:2000, including required hire and labour charges, fittings &amp; accessories etc. all complete, for all depths, as per direction of Engineer- in- Charge. (Code: GWDDR016)</v>
      </c>
      <c r="E19" s="29" t="s">
        <v>22</v>
      </c>
      <c r="F19" s="32" t="s">
        <v>48</v>
      </c>
      <c r="G19" s="32" t="s">
        <v>118</v>
      </c>
      <c r="H19" s="32" t="s">
        <v>119</v>
      </c>
      <c r="I19" s="33">
        <f>'BW Casing Pipes'!F247</f>
        <v>557.5</v>
      </c>
      <c r="J19" s="33">
        <f>'BW Casing Pipes'!F260</f>
        <v>11.2</v>
      </c>
      <c r="K19" s="33">
        <f t="shared" si="2"/>
        <v>0</v>
      </c>
      <c r="L19" s="33">
        <f t="shared" si="3"/>
        <v>568.7</v>
      </c>
    </row>
    <row r="20">
      <c r="A20" s="29">
        <v>17.0</v>
      </c>
      <c r="B20" s="30" t="s">
        <v>218</v>
      </c>
      <c r="C20" s="31" t="str">
        <f>'BW Casing Pipes'!B262</f>
        <v>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v>
      </c>
      <c r="D20" s="31" t="str">
        <f t="shared" si="1"/>
        <v>Supplying, assembling, lowering and fixing in vertical position in Borewell, PVC 180mm 10 Kg/cm2 well casing pipe of required dia, conforming to IS : 4985:2000, including required hire and labour charges, fittings &amp; accessories etc. all complete, for all depths, as per direction of Engineer- in- Charge. (Code: GWDDR017)</v>
      </c>
      <c r="E20" s="29" t="s">
        <v>22</v>
      </c>
      <c r="F20" s="32" t="s">
        <v>48</v>
      </c>
      <c r="G20" s="32" t="s">
        <v>118</v>
      </c>
      <c r="H20" s="32" t="s">
        <v>119</v>
      </c>
      <c r="I20" s="33">
        <f>'BW Casing Pipes'!F273</f>
        <v>914.1</v>
      </c>
      <c r="J20" s="33">
        <f>'BW Casing Pipes'!F286</f>
        <v>11.2</v>
      </c>
      <c r="K20" s="33">
        <f t="shared" si="2"/>
        <v>0</v>
      </c>
      <c r="L20" s="33">
        <f t="shared" si="3"/>
        <v>925.3</v>
      </c>
    </row>
    <row r="21">
      <c r="A21" s="29">
        <v>18.0</v>
      </c>
      <c r="B21" s="30" t="s">
        <v>229</v>
      </c>
      <c r="C21" s="53" t="str">
        <f>'TW Casing Pipes'!B2</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v>
      </c>
      <c r="D21" s="31" t="str">
        <f t="shared" si="1"/>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200 mm nominal size dia (23.3.3) (Code: GWDDR018)</v>
      </c>
      <c r="E21" s="29" t="s">
        <v>22</v>
      </c>
      <c r="F21" s="32" t="s">
        <v>48</v>
      </c>
      <c r="G21" s="32" t="s">
        <v>235</v>
      </c>
      <c r="H21" s="32" t="s">
        <v>236</v>
      </c>
      <c r="I21" s="32">
        <v>0.0</v>
      </c>
      <c r="J21" s="33">
        <f>'TW Casing Pipes'!C2</f>
        <v>826.44</v>
      </c>
      <c r="K21" s="33">
        <f t="shared" si="2"/>
        <v>0</v>
      </c>
      <c r="L21" s="33">
        <f t="shared" si="3"/>
        <v>826.44</v>
      </c>
    </row>
    <row r="22">
      <c r="A22" s="29">
        <v>19.0</v>
      </c>
      <c r="B22" s="30" t="s">
        <v>244</v>
      </c>
      <c r="C22" s="31" t="str">
        <f>'TW Casing Pipes'!B3</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v>
      </c>
      <c r="D22" s="31" t="str">
        <f t="shared" si="1"/>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200 mm nominal size dia (23.4.3) (Code: GWDDR019)</v>
      </c>
      <c r="E22" s="29" t="s">
        <v>22</v>
      </c>
      <c r="F22" s="32" t="s">
        <v>48</v>
      </c>
      <c r="G22" s="32" t="s">
        <v>235</v>
      </c>
      <c r="H22" s="32" t="s">
        <v>236</v>
      </c>
      <c r="I22" s="32">
        <v>0.0</v>
      </c>
      <c r="J22" s="33">
        <f>'TW Casing Pipes'!C3</f>
        <v>954.28</v>
      </c>
      <c r="K22" s="33">
        <f t="shared" si="2"/>
        <v>0</v>
      </c>
      <c r="L22" s="33">
        <f t="shared" si="3"/>
        <v>954.28</v>
      </c>
    </row>
    <row r="23">
      <c r="A23" s="29">
        <v>20.0</v>
      </c>
      <c r="B23" s="30" t="s">
        <v>253</v>
      </c>
      <c r="C23" s="31" t="str">
        <f>'TW Casing Pipes'!B4</f>
        <v>M.S. cap 200 mm dia (7748 - Water Charge and CPOH Added)</v>
      </c>
      <c r="D23" s="31" t="str">
        <f t="shared" si="1"/>
        <v>M.S. cap 200 mm dia (7748 - Water Charge and CPOH Added) (Code: GWDDR020)</v>
      </c>
      <c r="E23" s="29" t="s">
        <v>43</v>
      </c>
      <c r="F23" s="32" t="s">
        <v>48</v>
      </c>
      <c r="G23" s="32" t="s">
        <v>235</v>
      </c>
      <c r="H23" s="32" t="s">
        <v>257</v>
      </c>
      <c r="I23" s="32">
        <v>0.0</v>
      </c>
      <c r="J23" s="33">
        <f>'TW Casing Pipes'!C4</f>
        <v>232.3</v>
      </c>
      <c r="K23" s="33">
        <f t="shared" si="2"/>
        <v>0</v>
      </c>
      <c r="L23" s="33">
        <f t="shared" si="3"/>
        <v>232.3</v>
      </c>
    </row>
    <row r="24">
      <c r="A24" s="29">
        <v>21.0</v>
      </c>
      <c r="B24" s="30" t="s">
        <v>260</v>
      </c>
      <c r="C24" s="31" t="str">
        <f>'TW Casing Pipes'!B5</f>
        <v>Providing and fixing Bail plug / Bottom plug of required dia to the bottom of pipe assembly of tubewell as per IS : 2800 (part I). 200 mm dia (23.15.3)</v>
      </c>
      <c r="D24" s="31" t="str">
        <f t="shared" si="1"/>
        <v>Providing and fixing Bail plug / Bottom plug of required dia to the bottom of pipe assembly of tubewell as per IS : 2800 (part I). 200 mm dia (23.15.3) (Code: GWDDR021)</v>
      </c>
      <c r="E24" s="29" t="s">
        <v>43</v>
      </c>
      <c r="F24" s="32" t="s">
        <v>48</v>
      </c>
      <c r="G24" s="32" t="s">
        <v>235</v>
      </c>
      <c r="H24" s="32" t="s">
        <v>257</v>
      </c>
      <c r="I24" s="32">
        <v>0.0</v>
      </c>
      <c r="J24" s="33">
        <f>'TW Casing Pipes'!C5</f>
        <v>267.85</v>
      </c>
      <c r="K24" s="33">
        <f t="shared" si="2"/>
        <v>0</v>
      </c>
      <c r="L24" s="33">
        <f t="shared" si="3"/>
        <v>267.85</v>
      </c>
    </row>
    <row r="25">
      <c r="A25" s="29">
        <v>22.0</v>
      </c>
      <c r="B25" s="30" t="s">
        <v>267</v>
      </c>
      <c r="C25" s="31" t="str">
        <f>'TW Casing Pipes'!B6</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v>
      </c>
      <c r="D25" s="31" t="str">
        <f t="shared" si="1"/>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150 mm nominal size dia (23.3.2) (Code: GWDDR022)</v>
      </c>
      <c r="E25" s="29" t="s">
        <v>22</v>
      </c>
      <c r="F25" s="32" t="s">
        <v>48</v>
      </c>
      <c r="G25" s="32" t="s">
        <v>235</v>
      </c>
      <c r="H25" s="32" t="s">
        <v>236</v>
      </c>
      <c r="I25" s="32">
        <v>0.0</v>
      </c>
      <c r="J25" s="33">
        <f>'TW Casing Pipes'!C6</f>
        <v>580.35</v>
      </c>
      <c r="K25" s="33">
        <f t="shared" si="2"/>
        <v>0</v>
      </c>
      <c r="L25" s="33">
        <f t="shared" si="3"/>
        <v>580.35</v>
      </c>
    </row>
    <row r="26">
      <c r="A26" s="29">
        <v>23.0</v>
      </c>
      <c r="B26" s="30" t="s">
        <v>272</v>
      </c>
      <c r="C26" s="31" t="str">
        <f>'TW Casing Pipes'!B7</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v>
      </c>
      <c r="D26" s="31" t="str">
        <f t="shared" si="1"/>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150 mm nominal size dia (23.4.2) (Code: GWDDR023)</v>
      </c>
      <c r="E26" s="29" t="s">
        <v>22</v>
      </c>
      <c r="F26" s="32" t="s">
        <v>48</v>
      </c>
      <c r="G26" s="32" t="s">
        <v>235</v>
      </c>
      <c r="H26" s="32" t="s">
        <v>236</v>
      </c>
      <c r="I26" s="32">
        <v>0.0</v>
      </c>
      <c r="J26" s="33">
        <f>'TW Casing Pipes'!C7</f>
        <v>591.96</v>
      </c>
      <c r="K26" s="33">
        <f t="shared" si="2"/>
        <v>0</v>
      </c>
      <c r="L26" s="33">
        <f t="shared" si="3"/>
        <v>591.96</v>
      </c>
    </row>
    <row r="27">
      <c r="A27" s="29">
        <v>24.0</v>
      </c>
      <c r="B27" s="30" t="s">
        <v>276</v>
      </c>
      <c r="C27" s="31" t="str">
        <f>'TW Casing Pipes'!B8</f>
        <v>M.S. cap 150 mm dia (7747 - Water Charge and CPOH Added)</v>
      </c>
      <c r="D27" s="31" t="str">
        <f t="shared" si="1"/>
        <v>M.S. cap 150 mm dia (7747 - Water Charge and CPOH Added) (Code: GWDDR024)</v>
      </c>
      <c r="E27" s="29" t="s">
        <v>43</v>
      </c>
      <c r="F27" s="32" t="s">
        <v>48</v>
      </c>
      <c r="G27" s="32" t="s">
        <v>235</v>
      </c>
      <c r="H27" s="32" t="s">
        <v>257</v>
      </c>
      <c r="I27" s="32">
        <v>0.0</v>
      </c>
      <c r="J27" s="33">
        <f>'TW Casing Pipes'!C8</f>
        <v>174.225</v>
      </c>
      <c r="K27" s="33">
        <f t="shared" si="2"/>
        <v>0</v>
      </c>
      <c r="L27" s="33">
        <f t="shared" si="3"/>
        <v>174.225</v>
      </c>
    </row>
    <row r="28">
      <c r="A28" s="29">
        <v>25.0</v>
      </c>
      <c r="B28" s="30" t="s">
        <v>279</v>
      </c>
      <c r="C28" s="31" t="str">
        <f>'TW Casing Pipes'!B9</f>
        <v>Providing and fixing Bail plug / Bottom plug of required dia to the bottom of pipe assembly of tubewell as per IS : 2800 (part I). 150 mm dia (23.15.2)</v>
      </c>
      <c r="D28" s="31" t="str">
        <f t="shared" si="1"/>
        <v>Providing and fixing Bail plug / Bottom plug of required dia to the bottom of pipe assembly of tubewell as per IS : 2800 (part I). 150 mm dia (23.15.2) (Code: GWDDR025)</v>
      </c>
      <c r="E28" s="29" t="s">
        <v>43</v>
      </c>
      <c r="F28" s="32" t="s">
        <v>48</v>
      </c>
      <c r="G28" s="32" t="s">
        <v>235</v>
      </c>
      <c r="H28" s="32" t="s">
        <v>257</v>
      </c>
      <c r="I28" s="32">
        <v>0.0</v>
      </c>
      <c r="J28" s="33">
        <f>'TW Casing Pipes'!C9</f>
        <v>244.62</v>
      </c>
      <c r="K28" s="33">
        <f t="shared" si="2"/>
        <v>0</v>
      </c>
      <c r="L28" s="33">
        <f t="shared" si="3"/>
        <v>244.62</v>
      </c>
    </row>
    <row r="29">
      <c r="A29" s="29">
        <v>26.0</v>
      </c>
      <c r="B29" s="30" t="s">
        <v>286</v>
      </c>
      <c r="C29" s="31" t="str">
        <f>'TW Casing Pipes'!B10</f>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(23.3.1)</v>
      </c>
      <c r="D29" s="31" t="str">
        <f t="shared" si="1"/>
        <v>Supplying, assembling, lowering and fixing in vertical position in bore well, unplasticized PVC medium well casing (CM) pipe of required dia, conforming to IS : 12818, including required hire and labour charges, fittings &amp; accessories etc. all complete, for all depths, as per direction of Engineer- in- Charge. 100 mm nominal size dia (23.3.1) (Code: GWDDR026)</v>
      </c>
      <c r="E29" s="29" t="s">
        <v>22</v>
      </c>
      <c r="F29" s="32" t="s">
        <v>48</v>
      </c>
      <c r="G29" s="32" t="s">
        <v>235</v>
      </c>
      <c r="H29" s="32" t="s">
        <v>236</v>
      </c>
      <c r="I29" s="32">
        <v>0.0</v>
      </c>
      <c r="J29" s="33">
        <f>'TW Casing Pipes'!C10</f>
        <v>480.23</v>
      </c>
      <c r="K29" s="33">
        <f t="shared" si="2"/>
        <v>0</v>
      </c>
      <c r="L29" s="33">
        <f t="shared" si="3"/>
        <v>480.23</v>
      </c>
    </row>
    <row r="30">
      <c r="A30" s="29">
        <v>27.0</v>
      </c>
      <c r="B30" s="30" t="s">
        <v>293</v>
      </c>
      <c r="C30" s="31" t="str">
        <f>'TW Casing Pipes'!B11</f>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(23.4.1)</v>
      </c>
      <c r="D30" s="31" t="str">
        <f t="shared" si="1"/>
        <v>Supplying, assembling, lowering and fixing in vertical position in bore well unplasticized PVC medium well screen (RMS) pipes with ribs, conforming to IS: 12818, including hire &amp; labour charges, fittings &amp; accessories etc. all complete, for all depths, as per direction of Engineer - in-charge 100 mm nominal size dia (23.4.1) (Code: GWDDR027)</v>
      </c>
      <c r="E30" s="29" t="s">
        <v>22</v>
      </c>
      <c r="F30" s="32" t="s">
        <v>48</v>
      </c>
      <c r="G30" s="32" t="s">
        <v>235</v>
      </c>
      <c r="H30" s="32" t="s">
        <v>236</v>
      </c>
      <c r="I30" s="32">
        <v>0.0</v>
      </c>
      <c r="J30" s="33">
        <f>'TW Casing Pipes'!C11</f>
        <v>503.46</v>
      </c>
      <c r="K30" s="33">
        <f t="shared" si="2"/>
        <v>0</v>
      </c>
      <c r="L30" s="33">
        <f t="shared" si="3"/>
        <v>503.46</v>
      </c>
    </row>
    <row r="31">
      <c r="A31" s="29">
        <v>28.0</v>
      </c>
      <c r="B31" s="30" t="s">
        <v>301</v>
      </c>
      <c r="C31" s="31" t="str">
        <f>'TW Casing Pipes'!B12</f>
        <v>M.S. cap 100 mm dia (7760 - Water Charge and CPOH Added)</v>
      </c>
      <c r="D31" s="31" t="str">
        <f t="shared" si="1"/>
        <v>M.S. cap 100 mm dia (7760 - Water Charge and CPOH Added) (Code: GWDDR028)</v>
      </c>
      <c r="E31" s="29" t="s">
        <v>43</v>
      </c>
      <c r="F31" s="32" t="s">
        <v>48</v>
      </c>
      <c r="G31" s="32" t="s">
        <v>235</v>
      </c>
      <c r="H31" s="32" t="s">
        <v>257</v>
      </c>
      <c r="I31" s="32">
        <v>0.0</v>
      </c>
      <c r="J31" s="33">
        <f>'TW Casing Pipes'!C12</f>
        <v>156.8025</v>
      </c>
      <c r="K31" s="33">
        <f t="shared" si="2"/>
        <v>0</v>
      </c>
      <c r="L31" s="33">
        <f t="shared" si="3"/>
        <v>156.8025</v>
      </c>
    </row>
    <row r="32">
      <c r="A32" s="29">
        <v>29.0</v>
      </c>
      <c r="B32" s="30" t="s">
        <v>308</v>
      </c>
      <c r="C32" s="31" t="str">
        <f>'TW Casing Pipes'!B13</f>
        <v>Providing and fixing Bail plug / Bottom plug of required dia to the bottom of pipe assembly of tubewell as per IS : 2800 (part I). 100 mm dia (23.15.1)</v>
      </c>
      <c r="D32" s="31" t="str">
        <f t="shared" si="1"/>
        <v>Providing and fixing Bail plug / Bottom plug of required dia to the bottom of pipe assembly of tubewell as per IS : 2800 (part I). 100 mm dia (23.15.1) (Code: GWDDR029)</v>
      </c>
      <c r="E32" s="29" t="s">
        <v>43</v>
      </c>
      <c r="F32" s="32" t="s">
        <v>48</v>
      </c>
      <c r="G32" s="32" t="s">
        <v>235</v>
      </c>
      <c r="H32" s="32" t="s">
        <v>257</v>
      </c>
      <c r="I32" s="32">
        <v>0.0</v>
      </c>
      <c r="J32" s="33">
        <f>'TW Casing Pipes'!C13</f>
        <v>198.15</v>
      </c>
      <c r="K32" s="33">
        <f t="shared" si="2"/>
        <v>0</v>
      </c>
      <c r="L32" s="33">
        <f t="shared" si="3"/>
        <v>198.15</v>
      </c>
    </row>
    <row r="33">
      <c r="A33" s="29">
        <v>30.0</v>
      </c>
      <c r="B33" s="30" t="s">
        <v>315</v>
      </c>
      <c r="C33" s="31" t="str">
        <f>'GI wo Trench'!B2</f>
        <v>Providing and fixing G.I. pipes complete with G.I fittings: 25 mm dia nominal bore</v>
      </c>
      <c r="D33" s="31" t="str">
        <f t="shared" si="1"/>
        <v>Providing and fixing G.I. pipes complete with G.I fittings: 25 mm dia nominal bore (Code: GWDDR030)</v>
      </c>
      <c r="E33" s="29" t="s">
        <v>22</v>
      </c>
      <c r="F33" s="32" t="s">
        <v>48</v>
      </c>
      <c r="G33" s="32" t="s">
        <v>49</v>
      </c>
      <c r="H33" s="32" t="s">
        <v>318</v>
      </c>
      <c r="I33" s="32">
        <v>0.0</v>
      </c>
      <c r="J33" s="33">
        <f>'GI wo Trench'!F21</f>
        <v>263.95</v>
      </c>
      <c r="K33" s="33">
        <f t="shared" si="2"/>
        <v>0</v>
      </c>
      <c r="L33" s="33">
        <f t="shared" si="3"/>
        <v>263.95</v>
      </c>
    </row>
    <row r="34">
      <c r="A34" s="29">
        <v>31.0</v>
      </c>
      <c r="B34" s="30" t="s">
        <v>322</v>
      </c>
      <c r="C34" s="31" t="str">
        <f>'GI wo Trench'!B22</f>
        <v>Providing and fixing G.I. pipes complete with G.I fittings: 32 mm dia nominal bore</v>
      </c>
      <c r="D34" s="31" t="str">
        <f t="shared" si="1"/>
        <v>Providing and fixing G.I. pipes complete with G.I fittings: 32 mm dia nominal bore (Code: GWDDR031)</v>
      </c>
      <c r="E34" s="29" t="s">
        <v>22</v>
      </c>
      <c r="F34" s="32" t="s">
        <v>48</v>
      </c>
      <c r="G34" s="32" t="s">
        <v>49</v>
      </c>
      <c r="H34" s="32" t="s">
        <v>318</v>
      </c>
      <c r="I34" s="32">
        <v>0.0</v>
      </c>
      <c r="J34" s="33">
        <f>'GI wo Trench'!F41</f>
        <v>298.45</v>
      </c>
      <c r="K34" s="33">
        <f t="shared" si="2"/>
        <v>0</v>
      </c>
      <c r="L34" s="33">
        <f t="shared" si="3"/>
        <v>298.45</v>
      </c>
    </row>
    <row r="35">
      <c r="A35" s="29">
        <v>32.0</v>
      </c>
      <c r="B35" s="30" t="s">
        <v>327</v>
      </c>
      <c r="C35" s="31" t="str">
        <f>'GI wo Trench'!B42</f>
        <v>Providing and fixing G.I. pipes complete with G.I fittings: 40 mm dia nominal bore</v>
      </c>
      <c r="D35" s="31" t="str">
        <f t="shared" si="1"/>
        <v>Providing and fixing G.I. pipes complete with G.I fittings: 40 mm dia nominal bore (Code: GWDDR032)</v>
      </c>
      <c r="E35" s="29" t="s">
        <v>22</v>
      </c>
      <c r="F35" s="32" t="s">
        <v>48</v>
      </c>
      <c r="G35" s="32" t="s">
        <v>49</v>
      </c>
      <c r="H35" s="32" t="s">
        <v>318</v>
      </c>
      <c r="I35" s="32">
        <v>0.0</v>
      </c>
      <c r="J35" s="33">
        <f>'GI wo Trench'!F61</f>
        <v>385.85</v>
      </c>
      <c r="K35" s="33">
        <f t="shared" si="2"/>
        <v>0</v>
      </c>
      <c r="L35" s="33">
        <f t="shared" si="3"/>
        <v>385.85</v>
      </c>
    </row>
    <row r="36">
      <c r="A36" s="29">
        <v>33.0</v>
      </c>
      <c r="B36" s="30" t="s">
        <v>329</v>
      </c>
      <c r="C36" s="31" t="str">
        <f>'GI wo Trench'!B62</f>
        <v>Providing and fixing G.I. pipes complete with G.I fittings: 50 mm dia nominal bore</v>
      </c>
      <c r="D36" s="31" t="str">
        <f t="shared" si="1"/>
        <v>Providing and fixing G.I. pipes complete with G.I fittings: 50 mm dia nominal bore (Code: GWDDR033)</v>
      </c>
      <c r="E36" s="29" t="s">
        <v>22</v>
      </c>
      <c r="F36" s="32" t="s">
        <v>48</v>
      </c>
      <c r="G36" s="32" t="s">
        <v>49</v>
      </c>
      <c r="H36" s="32" t="s">
        <v>318</v>
      </c>
      <c r="I36" s="32">
        <v>0.0</v>
      </c>
      <c r="J36" s="33">
        <f>'GI wo Trench'!F81</f>
        <v>469</v>
      </c>
      <c r="K36" s="33">
        <f t="shared" si="2"/>
        <v>0</v>
      </c>
      <c r="L36" s="33">
        <f t="shared" si="3"/>
        <v>469</v>
      </c>
    </row>
    <row r="37">
      <c r="A37" s="29">
        <v>34.0</v>
      </c>
      <c r="B37" s="30" t="s">
        <v>331</v>
      </c>
      <c r="C37" s="31" t="str">
        <f>'GI wo Trench'!B82</f>
        <v>Providing and fixing G.I. pipes complete with G.I fittings: 65 mm dia nominal bore</v>
      </c>
      <c r="D37" s="31" t="str">
        <f t="shared" si="1"/>
        <v>Providing and fixing G.I. pipes complete with G.I fittings: 65 mm dia nominal bore (Code: GWDDR034)</v>
      </c>
      <c r="E37" s="29" t="s">
        <v>22</v>
      </c>
      <c r="F37" s="32" t="s">
        <v>48</v>
      </c>
      <c r="G37" s="32" t="s">
        <v>49</v>
      </c>
      <c r="H37" s="32" t="s">
        <v>318</v>
      </c>
      <c r="I37" s="32">
        <v>0.0</v>
      </c>
      <c r="J37" s="33">
        <f>'GI wo Trench'!F101</f>
        <v>568.35</v>
      </c>
      <c r="K37" s="33">
        <f t="shared" si="2"/>
        <v>0</v>
      </c>
      <c r="L37" s="33">
        <f t="shared" si="3"/>
        <v>568.35</v>
      </c>
    </row>
    <row r="38">
      <c r="A38" s="29">
        <v>35.0</v>
      </c>
      <c r="B38" s="30" t="s">
        <v>333</v>
      </c>
      <c r="C38" s="31" t="str">
        <f>'GI wo Trench'!B102</f>
        <v>Providing and fixing G.I. pipes complete with G.I fittings: 80 mm dia nominal bore</v>
      </c>
      <c r="D38" s="31" t="str">
        <f t="shared" si="1"/>
        <v>Providing and fixing G.I. pipes complete with G.I fittings: 80 mm dia nominal bore (Code: GWDDR035)</v>
      </c>
      <c r="E38" s="29" t="s">
        <v>22</v>
      </c>
      <c r="F38" s="32" t="s">
        <v>48</v>
      </c>
      <c r="G38" s="32" t="s">
        <v>49</v>
      </c>
      <c r="H38" s="32" t="s">
        <v>318</v>
      </c>
      <c r="I38" s="32">
        <v>0.0</v>
      </c>
      <c r="J38" s="33">
        <f>'GI wo Trench'!F121</f>
        <v>699</v>
      </c>
      <c r="K38" s="33">
        <f t="shared" si="2"/>
        <v>0</v>
      </c>
      <c r="L38" s="33">
        <f t="shared" si="3"/>
        <v>699</v>
      </c>
    </row>
    <row r="39">
      <c r="A39" s="29">
        <v>36.0</v>
      </c>
      <c r="B39" s="30" t="s">
        <v>335</v>
      </c>
      <c r="C39" s="31" t="str">
        <f>'PVC wo Trench PRICE'!B24</f>
        <v>Providing and fixing PVC pipes includes jointing of pipes with one step PVC solvent cement &amp; testing of joints complete as per direction of Engineer in Charge. 25 mm dia 10KGF/cm2</v>
      </c>
      <c r="D39" s="31" t="str">
        <f t="shared" si="1"/>
        <v>Providing and fixing PVC pipes includes jointing of pipes with one step PVC solvent cement &amp; testing of joints complete as per direction of Engineer in Charge. 25 mm dia 10KGF/cm2 (Code: GWDDR036)</v>
      </c>
      <c r="E39" s="29" t="s">
        <v>22</v>
      </c>
      <c r="F39" s="32" t="s">
        <v>48</v>
      </c>
      <c r="G39" s="32" t="s">
        <v>49</v>
      </c>
      <c r="H39" s="32" t="s">
        <v>337</v>
      </c>
      <c r="I39" s="33">
        <f>'PVC wo Trench PRICE'!F35</f>
        <v>64.11</v>
      </c>
      <c r="J39" s="33">
        <f>'PVC wo Trench PRICE'!F44</f>
        <v>29.66</v>
      </c>
      <c r="K39" s="33">
        <f t="shared" si="2"/>
        <v>0</v>
      </c>
      <c r="L39" s="33">
        <f t="shared" si="3"/>
        <v>93.77</v>
      </c>
    </row>
    <row r="40">
      <c r="A40" s="29">
        <v>37.0</v>
      </c>
      <c r="B40" s="30" t="s">
        <v>339</v>
      </c>
      <c r="C40" s="31" t="str">
        <f>'PVC wo Trench PRICE'!B46</f>
        <v>Providing and fixing PVC pipes includes jointing of pipes with one step PVC solvent cement &amp; testing of joints complete as per direction of Engineer in Charge. 32 mm dia 10KGF/cm2</v>
      </c>
      <c r="D40" s="31" t="str">
        <f t="shared" si="1"/>
        <v>Providing and fixing PVC pipes includes jointing of pipes with one step PVC solvent cement &amp; testing of joints complete as per direction of Engineer in Charge. 32 mm dia 10KGF/cm2 (Code: GWDDR037)</v>
      </c>
      <c r="E40" s="29" t="s">
        <v>22</v>
      </c>
      <c r="F40" s="32" t="s">
        <v>48</v>
      </c>
      <c r="G40" s="32" t="s">
        <v>49</v>
      </c>
      <c r="H40" s="32" t="s">
        <v>337</v>
      </c>
      <c r="I40" s="33">
        <f>'PVC wo Trench PRICE'!F57</f>
        <v>86.82</v>
      </c>
      <c r="J40" s="33">
        <f>'PVC wo Trench PRICE'!F66</f>
        <v>29.66</v>
      </c>
      <c r="K40" s="33">
        <f t="shared" si="2"/>
        <v>0</v>
      </c>
      <c r="L40" s="33">
        <f t="shared" si="3"/>
        <v>116.48</v>
      </c>
    </row>
    <row r="41">
      <c r="A41" s="29">
        <v>38.0</v>
      </c>
      <c r="B41" s="30" t="s">
        <v>341</v>
      </c>
      <c r="C41" s="31" t="str">
        <f>'PVC wo Trench PRICE'!B68</f>
        <v>Providing and fixing PVC pipes includes jointing of pipes with one step PVC solvent cement &amp; testing of joints complete as per direction of Engineer in Charge. 32 mm dia 6 KGF/cm2</v>
      </c>
      <c r="D41" s="31" t="str">
        <f t="shared" si="1"/>
        <v>Providing and fixing PVC pipes includes jointing of pipes with one step PVC solvent cement &amp; testing of joints complete as per direction of Engineer in Charge. 32 mm dia 6 KGF/cm2 (Code: GWDDR038)</v>
      </c>
      <c r="E41" s="29" t="s">
        <v>22</v>
      </c>
      <c r="F41" s="32" t="s">
        <v>48</v>
      </c>
      <c r="G41" s="32" t="s">
        <v>49</v>
      </c>
      <c r="H41" s="32" t="s">
        <v>337</v>
      </c>
      <c r="I41" s="33">
        <f>'PVC wo Trench PRICE'!F79</f>
        <v>69.46</v>
      </c>
      <c r="J41" s="33">
        <f>'PVC wo Trench PRICE'!F88</f>
        <v>29.66</v>
      </c>
      <c r="K41" s="33">
        <f t="shared" si="2"/>
        <v>0</v>
      </c>
      <c r="L41" s="33">
        <f t="shared" si="3"/>
        <v>99.12</v>
      </c>
    </row>
    <row r="42">
      <c r="A42" s="29">
        <v>39.0</v>
      </c>
      <c r="B42" s="30" t="s">
        <v>344</v>
      </c>
      <c r="C42" s="31" t="str">
        <f>'PVC wo Trench PRICE'!B90</f>
        <v>Providing and fixing PVC pipes includes jointing of pipes with one step PVC solvent cement &amp; testing of joints complete as per direction of Engineer in Charge. 40 mm dia 6 KGF/cm2</v>
      </c>
      <c r="D42" s="31" t="str">
        <f t="shared" si="1"/>
        <v>Providing and fixing PVC pipes includes jointing of pipes with one step PVC solvent cement &amp; testing of joints complete as per direction of Engineer in Charge. 40 mm dia 6 KGF/cm2 (Code: GWDDR039)</v>
      </c>
      <c r="E42" s="29" t="s">
        <v>22</v>
      </c>
      <c r="F42" s="32" t="s">
        <v>48</v>
      </c>
      <c r="G42" s="32" t="s">
        <v>49</v>
      </c>
      <c r="H42" s="32" t="s">
        <v>337</v>
      </c>
      <c r="I42" s="33">
        <f>'PVC wo Trench PRICE'!F101</f>
        <v>70.79</v>
      </c>
      <c r="J42" s="33">
        <f>'PVC wo Trench PRICE'!F110</f>
        <v>29.66</v>
      </c>
      <c r="K42" s="33">
        <f t="shared" si="2"/>
        <v>0</v>
      </c>
      <c r="L42" s="33">
        <f t="shared" si="3"/>
        <v>100.45</v>
      </c>
    </row>
    <row r="43">
      <c r="A43" s="29">
        <v>40.0</v>
      </c>
      <c r="B43" s="30" t="s">
        <v>346</v>
      </c>
      <c r="C43" s="31" t="str">
        <f>'PVC wo Trench PRICE'!B112</f>
        <v>Providing and fixing PVC pipes includes jointing of pipes with one step PVC solvent cement &amp; testing of joints complete as per direction of Engineer in Charge. 40 mm dia 10 KGF/cm2</v>
      </c>
      <c r="D43" s="31" t="str">
        <f t="shared" si="1"/>
        <v>Providing and fixing PVC pipes includes jointing of pipes with one step PVC solvent cement &amp; testing of joints complete as per direction of Engineer in Charge. 40 mm dia 10 KGF/cm2 (Code: GWDDR040)</v>
      </c>
      <c r="E43" s="29" t="s">
        <v>22</v>
      </c>
      <c r="F43" s="32" t="s">
        <v>48</v>
      </c>
      <c r="G43" s="32" t="s">
        <v>49</v>
      </c>
      <c r="H43" s="32" t="s">
        <v>337</v>
      </c>
      <c r="I43" s="33">
        <f>'PVC wo Trench PRICE'!F123</f>
        <v>112.2</v>
      </c>
      <c r="J43" s="33">
        <f>'PVC wo Trench PRICE'!F132</f>
        <v>29.66</v>
      </c>
      <c r="K43" s="33">
        <f t="shared" si="2"/>
        <v>0</v>
      </c>
      <c r="L43" s="33">
        <f t="shared" si="3"/>
        <v>141.86</v>
      </c>
    </row>
    <row r="44">
      <c r="A44" s="29">
        <v>41.0</v>
      </c>
      <c r="B44" s="30" t="s">
        <v>349</v>
      </c>
      <c r="C44" s="31" t="str">
        <f>'PVC wo Trench PRICE'!B134</f>
        <v>Providing and fixing PVC pipes includes jointing of pipes with one step PVC solvent cement &amp; testing of joints complete as per direction of Engineer in Charge. 50 mm dia 6 KGF/cm2</v>
      </c>
      <c r="D44" s="31" t="str">
        <f t="shared" si="1"/>
        <v>Providing and fixing PVC pipes includes jointing of pipes with one step PVC solvent cement &amp; testing of joints complete as per direction of Engineer in Charge. 50 mm dia 6 KGF/cm2 (Code: GWDDR041)</v>
      </c>
      <c r="E44" s="29" t="s">
        <v>22</v>
      </c>
      <c r="F44" s="32" t="s">
        <v>48</v>
      </c>
      <c r="G44" s="32" t="s">
        <v>49</v>
      </c>
      <c r="H44" s="32" t="s">
        <v>337</v>
      </c>
      <c r="I44" s="33">
        <f>'PVC wo Trench PRICE'!F145</f>
        <v>80.14</v>
      </c>
      <c r="J44" s="33">
        <f>'PVC wo Trench PRICE'!F154</f>
        <v>29.66</v>
      </c>
      <c r="K44" s="33">
        <f t="shared" si="2"/>
        <v>0</v>
      </c>
      <c r="L44" s="33">
        <f t="shared" si="3"/>
        <v>109.8</v>
      </c>
    </row>
    <row r="45">
      <c r="A45" s="29">
        <v>42.0</v>
      </c>
      <c r="B45" s="30" t="s">
        <v>352</v>
      </c>
      <c r="C45" s="31" t="str">
        <f>'PVC wo Trench PRICE'!B156</f>
        <v>Providing and fixing PVC pipes includes jointing of pipes with one step PVC solvent cement &amp; testing of joints complete as per direction of Engineer in Charge. 50 mm dia 10 KGF/cm2</v>
      </c>
      <c r="D45" s="31" t="str">
        <f t="shared" si="1"/>
        <v>Providing and fixing PVC pipes includes jointing of pipes with one step PVC solvent cement &amp; testing of joints complete as per direction of Engineer in Charge. 50 mm dia 10 KGF/cm2 (Code: GWDDR042)</v>
      </c>
      <c r="E45" s="29" t="s">
        <v>22</v>
      </c>
      <c r="F45" s="32" t="s">
        <v>48</v>
      </c>
      <c r="G45" s="32" t="s">
        <v>49</v>
      </c>
      <c r="H45" s="32" t="s">
        <v>337</v>
      </c>
      <c r="I45" s="33">
        <f>'PVC wo Trench PRICE'!F167</f>
        <v>120.22</v>
      </c>
      <c r="J45" s="33">
        <f>'PVC wo Trench PRICE'!F176</f>
        <v>29.66</v>
      </c>
      <c r="K45" s="33">
        <f t="shared" si="2"/>
        <v>0</v>
      </c>
      <c r="L45" s="33">
        <f t="shared" si="3"/>
        <v>149.88</v>
      </c>
    </row>
    <row r="46">
      <c r="A46" s="29">
        <v>43.0</v>
      </c>
      <c r="B46" s="30" t="s">
        <v>356</v>
      </c>
      <c r="C46" s="31" t="str">
        <f>'PVC wo Trench PRICE'!B178</f>
        <v>Providing and fixing PVC pipes includes jointing of pipes with one step PVC solvent cement &amp; testing of joints complete as per direction of Engineer in Charge.63 mm dia 6 KGF/cm2</v>
      </c>
      <c r="D46" s="31" t="str">
        <f t="shared" si="1"/>
        <v>Providing and fixing PVC pipes includes jointing of pipes with one step PVC solvent cement &amp; testing of joints complete as per direction of Engineer in Charge.63 mm dia 6 KGF/cm2 (Code: GWDDR043)</v>
      </c>
      <c r="E46" s="29" t="s">
        <v>22</v>
      </c>
      <c r="F46" s="32" t="s">
        <v>48</v>
      </c>
      <c r="G46" s="32" t="s">
        <v>49</v>
      </c>
      <c r="H46" s="32" t="s">
        <v>337</v>
      </c>
      <c r="I46" s="33">
        <f>'PVC wo Trench PRICE'!F189</f>
        <v>157.62</v>
      </c>
      <c r="J46" s="33">
        <f>'PVC wo Trench PRICE'!F198</f>
        <v>29.66</v>
      </c>
      <c r="K46" s="33">
        <f t="shared" si="2"/>
        <v>0</v>
      </c>
      <c r="L46" s="33">
        <f t="shared" si="3"/>
        <v>187.28</v>
      </c>
    </row>
    <row r="47">
      <c r="A47" s="29">
        <v>44.0</v>
      </c>
      <c r="B47" s="30" t="s">
        <v>368</v>
      </c>
      <c r="C47" s="31" t="str">
        <f>'PVC wo Trench PRICE'!B200</f>
        <v>Providing and fixing PVC pipes includes jointing of pipes with one step PVC solvent cement &amp; testing of joints complete as per direction of Engineer in Charge.75 mm dia 6 KGF/cm2</v>
      </c>
      <c r="D47" s="31" t="str">
        <f t="shared" si="1"/>
        <v>Providing and fixing PVC pipes includes jointing of pipes with one step PVC solvent cement &amp; testing of joints complete as per direction of Engineer in Charge.75 mm dia 6 KGF/cm2 (Code: GWDDR044)</v>
      </c>
      <c r="E47" s="29" t="s">
        <v>22</v>
      </c>
      <c r="F47" s="32" t="s">
        <v>48</v>
      </c>
      <c r="G47" s="32" t="s">
        <v>49</v>
      </c>
      <c r="H47" s="32" t="s">
        <v>337</v>
      </c>
      <c r="I47" s="33">
        <f>'PVC wo Trench PRICE'!F211</f>
        <v>172.31</v>
      </c>
      <c r="J47" s="33">
        <f>'PVC wo Trench PRICE'!F220</f>
        <v>29.66</v>
      </c>
      <c r="K47" s="33">
        <f t="shared" si="2"/>
        <v>0</v>
      </c>
      <c r="L47" s="33">
        <f t="shared" si="3"/>
        <v>201.97</v>
      </c>
    </row>
    <row r="48">
      <c r="A48" s="29">
        <v>45.0</v>
      </c>
      <c r="B48" s="30" t="s">
        <v>385</v>
      </c>
      <c r="C48" s="31" t="str">
        <f>'PVC wo Trench PRICE'!B222</f>
        <v>Providing and fixing PVC pipes includes jointing of pipes with one step PVC solvent cement &amp; testing of joints complete as per direction of Engineer in Charge.110 mm dia 6 KGF/cm2</v>
      </c>
      <c r="D48" s="31" t="str">
        <f t="shared" si="1"/>
        <v>Providing and fixing PVC pipes includes jointing of pipes with one step PVC solvent cement &amp; testing of joints complete as per direction of Engineer in Charge.110 mm dia 6 KGF/cm2 (Code: GWDDR045)</v>
      </c>
      <c r="E48" s="29" t="s">
        <v>22</v>
      </c>
      <c r="F48" s="32" t="s">
        <v>48</v>
      </c>
      <c r="G48" s="32" t="s">
        <v>49</v>
      </c>
      <c r="H48" s="32" t="s">
        <v>337</v>
      </c>
      <c r="I48" s="33">
        <f>'PVC wo Trench PRICE'!F233</f>
        <v>281.84</v>
      </c>
      <c r="J48" s="33">
        <f>'PVC wo Trench PRICE'!F242</f>
        <v>29.66</v>
      </c>
      <c r="K48" s="33">
        <f t="shared" si="2"/>
        <v>0</v>
      </c>
      <c r="L48" s="33">
        <f t="shared" si="3"/>
        <v>311.5</v>
      </c>
    </row>
    <row r="49">
      <c r="A49" s="29">
        <v>46.0</v>
      </c>
      <c r="B49" s="30" t="s">
        <v>407</v>
      </c>
      <c r="C49" s="31" t="str">
        <f>'PVC wo Trench PRICE'!B244</f>
        <v>Providing and fixing PVC pipes includes jointing of pipes with one step PVC solvent cement &amp; testing of joints complete as per direction of Engineer in Charge.150 mm dia 6 KGF/cm2</v>
      </c>
      <c r="D49" s="31" t="str">
        <f t="shared" si="1"/>
        <v>Providing and fixing PVC pipes includes jointing of pipes with one step PVC solvent cement &amp; testing of joints complete as per direction of Engineer in Charge.150 mm dia 6 KGF/cm2 (Code: GWDDR046)</v>
      </c>
      <c r="E49" s="29" t="s">
        <v>22</v>
      </c>
      <c r="F49" s="32" t="s">
        <v>48</v>
      </c>
      <c r="G49" s="32" t="s">
        <v>49</v>
      </c>
      <c r="H49" s="32" t="s">
        <v>337</v>
      </c>
      <c r="I49" s="33">
        <f>'PVC wo Trench PRICE'!F255</f>
        <v>694.58</v>
      </c>
      <c r="J49" s="33">
        <f>'PVC wo Trench PRICE'!F264</f>
        <v>29.66</v>
      </c>
      <c r="K49" s="33">
        <f t="shared" si="2"/>
        <v>0</v>
      </c>
      <c r="L49" s="33">
        <f t="shared" si="3"/>
        <v>724.24</v>
      </c>
    </row>
    <row r="50">
      <c r="A50" s="29">
        <v>47.0</v>
      </c>
      <c r="B50" s="30" t="s">
        <v>436</v>
      </c>
      <c r="C50" s="31" t="str">
        <f>'PVC wo Trench'!B1</f>
        <v>Providing and fixing PVC pipes includes jointing of pipes with one step PVC solvent cement &amp; testing of joints complete as per direction of Engineer in Charge. 140 mm dia 6 KGF/cm2</v>
      </c>
      <c r="D50" s="31" t="str">
        <f t="shared" si="1"/>
        <v>Providing and fixing PVC pipes includes jointing of pipes with one step PVC solvent cement &amp; testing of joints complete as per direction of Engineer in Charge. 140 mm dia 6 KGF/cm2 (Code: GWDDR047)</v>
      </c>
      <c r="E50" s="29" t="s">
        <v>22</v>
      </c>
      <c r="F50" s="32" t="s">
        <v>48</v>
      </c>
      <c r="G50" s="32" t="s">
        <v>49</v>
      </c>
      <c r="H50" s="32" t="s">
        <v>337</v>
      </c>
      <c r="I50" s="33">
        <f>'PVC wo Trench'!F12</f>
        <v>375.34</v>
      </c>
      <c r="J50" s="33">
        <f>'PVC wo Trench'!F21</f>
        <v>93.63</v>
      </c>
      <c r="K50" s="33">
        <f t="shared" si="2"/>
        <v>0</v>
      </c>
      <c r="L50" s="33">
        <f t="shared" si="3"/>
        <v>468.97</v>
      </c>
    </row>
    <row r="51">
      <c r="A51" s="29">
        <v>48.0</v>
      </c>
      <c r="B51" s="30" t="s">
        <v>464</v>
      </c>
      <c r="C51" s="31" t="str">
        <f>'PVC With Trench'!B2</f>
        <v>Providing and fixing PVC pipes includes jointing of pipes with one step PVC solvent cement, trenching, refilling &amp; testing of joints complete as per direction of Engineer in Charge. 140 mm dia 6 KGF/cm2</v>
      </c>
      <c r="D51" s="31" t="str">
        <f t="shared" si="1"/>
        <v>Providing and fixing PVC pipes includes jointing of pipes with one step PVC solvent cement, trenching, refilling &amp; testing of joints complete as per direction of Engineer in Charge. 140 mm dia 6 KGF/cm2 (Code: GWDDR048)</v>
      </c>
      <c r="E51" s="29" t="s">
        <v>22</v>
      </c>
      <c r="F51" s="32" t="s">
        <v>48</v>
      </c>
      <c r="G51" s="32" t="s">
        <v>49</v>
      </c>
      <c r="H51" s="32" t="s">
        <v>475</v>
      </c>
      <c r="I51" s="33">
        <f>'PVC With Trench'!F13</f>
        <v>375.34</v>
      </c>
      <c r="J51" s="33">
        <f>'PVC With Trench'!F25</f>
        <v>226.23</v>
      </c>
      <c r="K51" s="33">
        <f t="shared" si="2"/>
        <v>0</v>
      </c>
      <c r="L51" s="33">
        <f t="shared" si="3"/>
        <v>601.57</v>
      </c>
    </row>
    <row r="52">
      <c r="A52" s="29">
        <v>49.0</v>
      </c>
      <c r="B52" s="30" t="s">
        <v>478</v>
      </c>
      <c r="C52" s="31" t="str">
        <f>'Pump Erection '!B2</f>
        <v>Borewell submersible pump erection charges upto 3 HP</v>
      </c>
      <c r="D52" s="31" t="str">
        <f t="shared" si="1"/>
        <v>Borewell submersible pump erection charges upto 3 HP (Code: GWDDR049)</v>
      </c>
      <c r="E52" s="29" t="s">
        <v>43</v>
      </c>
      <c r="F52" s="32" t="s">
        <v>48</v>
      </c>
      <c r="G52" s="32" t="s">
        <v>49</v>
      </c>
      <c r="H52" s="32" t="s">
        <v>480</v>
      </c>
      <c r="I52" s="33">
        <f>'Pump Erection '!F9</f>
        <v>1086.0025</v>
      </c>
      <c r="J52" s="33">
        <f>'Pump Erection '!F17</f>
        <v>5972.433</v>
      </c>
      <c r="K52" s="33">
        <f t="shared" si="2"/>
        <v>0</v>
      </c>
      <c r="L52" s="33">
        <f t="shared" si="3"/>
        <v>7058.4355</v>
      </c>
    </row>
    <row r="53">
      <c r="A53" s="29">
        <v>50.0</v>
      </c>
      <c r="B53" s="30" t="s">
        <v>482</v>
      </c>
      <c r="C53" s="31" t="str">
        <f>'Pump Erection '!B19</f>
        <v>Borewell submersible pump erection charges above 3 h.P. To 7.5 H.P.</v>
      </c>
      <c r="D53" s="31" t="str">
        <f t="shared" si="1"/>
        <v>Borewell submersible pump erection charges above 3 h.P. To 7.5 H.P. (Code: GWDDR050)</v>
      </c>
      <c r="E53" s="29" t="s">
        <v>43</v>
      </c>
      <c r="F53" s="32" t="s">
        <v>48</v>
      </c>
      <c r="G53" s="32" t="s">
        <v>49</v>
      </c>
      <c r="H53" s="32" t="s">
        <v>480</v>
      </c>
      <c r="I53" s="33">
        <f>'Pump Erection '!F26</f>
        <v>1086.0025</v>
      </c>
      <c r="J53" s="33">
        <f>'Pump Erection '!F34</f>
        <v>7592.7255</v>
      </c>
      <c r="K53" s="33">
        <f t="shared" si="2"/>
        <v>0</v>
      </c>
      <c r="L53" s="33">
        <f t="shared" si="3"/>
        <v>8678.728</v>
      </c>
    </row>
    <row r="54">
      <c r="A54" s="29">
        <v>51.0</v>
      </c>
      <c r="B54" s="30" t="s">
        <v>484</v>
      </c>
      <c r="C54" s="31" t="str">
        <f>'Pump Erection '!B36</f>
        <v>Borewell submersible pump erection charges above 7.5 H.P.</v>
      </c>
      <c r="D54" s="31" t="str">
        <f t="shared" si="1"/>
        <v>Borewell submersible pump erection charges above 7.5 H.P. (Code: GWDDR051)</v>
      </c>
      <c r="E54" s="29" t="s">
        <v>43</v>
      </c>
      <c r="F54" s="32" t="s">
        <v>48</v>
      </c>
      <c r="G54" s="32" t="s">
        <v>49</v>
      </c>
      <c r="H54" s="32" t="s">
        <v>480</v>
      </c>
      <c r="I54" s="33">
        <f>'Pump Erection '!F43</f>
        <v>1086.0025</v>
      </c>
      <c r="J54" s="33">
        <f>'Pump Erection '!F51</f>
        <v>9213.018</v>
      </c>
      <c r="K54" s="33">
        <f t="shared" si="2"/>
        <v>0</v>
      </c>
      <c r="L54" s="33">
        <f t="shared" si="3"/>
        <v>10299.0205</v>
      </c>
    </row>
    <row r="55">
      <c r="A55" s="29">
        <v>52.0</v>
      </c>
      <c r="B55" s="30" t="s">
        <v>499</v>
      </c>
      <c r="C55" s="31" t="str">
        <f>'HP Erection and Pullout'!B2</f>
        <v>Hand pump erection (deep well)</v>
      </c>
      <c r="D55" s="31" t="str">
        <f t="shared" si="1"/>
        <v>Hand pump erection (deep well) (Code: GWDDR052)</v>
      </c>
      <c r="E55" s="29" t="s">
        <v>43</v>
      </c>
      <c r="F55" s="32" t="s">
        <v>48</v>
      </c>
      <c r="G55" s="32" t="s">
        <v>323</v>
      </c>
      <c r="H55" s="32" t="s">
        <v>501</v>
      </c>
      <c r="I55" s="32">
        <v>0.0</v>
      </c>
      <c r="J55" s="33">
        <f>'HP Erection and Pullout'!F11</f>
        <v>4310</v>
      </c>
      <c r="K55" s="33">
        <f t="shared" si="2"/>
        <v>0</v>
      </c>
      <c r="L55" s="33">
        <f t="shared" si="3"/>
        <v>4310</v>
      </c>
    </row>
    <row r="56">
      <c r="A56" s="29">
        <v>53.0</v>
      </c>
      <c r="B56" s="30" t="s">
        <v>503</v>
      </c>
      <c r="C56" s="31" t="str">
        <f>'HP Erection and Pullout'!B13</f>
        <v>Hand pump erection (extra deep well)</v>
      </c>
      <c r="D56" s="31" t="str">
        <f t="shared" si="1"/>
        <v>Hand pump erection (extra deep well) (Code: GWDDR053)</v>
      </c>
      <c r="E56" s="29" t="s">
        <v>43</v>
      </c>
      <c r="F56" s="32" t="s">
        <v>48</v>
      </c>
      <c r="G56" s="32" t="s">
        <v>323</v>
      </c>
      <c r="H56" s="32" t="s">
        <v>501</v>
      </c>
      <c r="I56" s="32">
        <v>0.0</v>
      </c>
      <c r="J56" s="33">
        <f>'HP Erection and Pullout'!F22</f>
        <v>5569</v>
      </c>
      <c r="K56" s="33">
        <f t="shared" si="2"/>
        <v>0</v>
      </c>
      <c r="L56" s="33">
        <f t="shared" si="3"/>
        <v>5569</v>
      </c>
    </row>
    <row r="57">
      <c r="A57" s="29">
        <v>54.0</v>
      </c>
      <c r="B57" s="30" t="s">
        <v>505</v>
      </c>
      <c r="C57" s="31" t="str">
        <f>'HP Erection and Pullout'!B24</f>
        <v>Hand pump pullout (deep well)</v>
      </c>
      <c r="D57" s="31" t="str">
        <f t="shared" si="1"/>
        <v>Hand pump pullout (deep well) (Code: GWDDR054)</v>
      </c>
      <c r="E57" s="29" t="s">
        <v>43</v>
      </c>
      <c r="F57" s="32" t="s">
        <v>48</v>
      </c>
      <c r="G57" s="32" t="s">
        <v>323</v>
      </c>
      <c r="H57" s="59" t="s">
        <v>507</v>
      </c>
      <c r="I57" s="32">
        <v>0.0</v>
      </c>
      <c r="J57" s="33">
        <f>'HP Erection and Pullout'!F33</f>
        <v>2155</v>
      </c>
      <c r="K57" s="33">
        <f t="shared" si="2"/>
        <v>0</v>
      </c>
      <c r="L57" s="33">
        <f t="shared" si="3"/>
        <v>2155</v>
      </c>
    </row>
    <row r="58">
      <c r="A58" s="29">
        <v>55.0</v>
      </c>
      <c r="B58" s="30" t="s">
        <v>509</v>
      </c>
      <c r="C58" s="31" t="str">
        <f>'Pump Erection '!B53</f>
        <v>Compressor pump fitting charge</v>
      </c>
      <c r="D58" s="31" t="str">
        <f t="shared" si="1"/>
        <v>Compressor pump fitting charge (Code: GWDDR055)</v>
      </c>
      <c r="E58" s="29" t="s">
        <v>43</v>
      </c>
      <c r="F58" s="32" t="s">
        <v>48</v>
      </c>
      <c r="G58" s="32" t="s">
        <v>49</v>
      </c>
      <c r="H58" s="32" t="s">
        <v>480</v>
      </c>
      <c r="I58" s="32">
        <v>0.0</v>
      </c>
      <c r="J58" s="33">
        <f>'Pump Erection '!F62</f>
        <v>3615.7495</v>
      </c>
      <c r="K58" s="33">
        <f t="shared" si="2"/>
        <v>0</v>
      </c>
      <c r="L58" s="33">
        <f t="shared" si="3"/>
        <v>3615.7495</v>
      </c>
    </row>
    <row r="59">
      <c r="A59" s="29">
        <v>56.0</v>
      </c>
      <c r="B59" s="30" t="s">
        <v>511</v>
      </c>
      <c r="C59" s="31" t="str">
        <f>'Gutter&amp;Clamp'!B2</f>
        <v>Providing and fixing PVC full pipe as gutter pipes includes laying jointing of pipes complete as per direction of Engineer in Charge for 140 mm dia 6 KGF/cm2</v>
      </c>
      <c r="D59" s="31" t="str">
        <f t="shared" si="1"/>
        <v>Providing and fixing PVC full pipe as gutter pipes includes laying jointing of pipes complete as per direction of Engineer in Charge for 140 mm dia 6 KGF/cm2 (Code: GWDDR056)</v>
      </c>
      <c r="E59" s="29" t="s">
        <v>22</v>
      </c>
      <c r="F59" s="32" t="s">
        <v>48</v>
      </c>
      <c r="G59" s="32" t="s">
        <v>68</v>
      </c>
      <c r="H59" s="32" t="s">
        <v>515</v>
      </c>
      <c r="I59" s="33">
        <f>'Gutter&amp;Clamp'!F14</f>
        <v>342.7</v>
      </c>
      <c r="J59" s="33">
        <f>'Gutter&amp;Clamp'!F24</f>
        <v>93.19</v>
      </c>
      <c r="K59" s="33">
        <f t="shared" si="2"/>
        <v>0</v>
      </c>
      <c r="L59" s="33">
        <f t="shared" si="3"/>
        <v>435.89</v>
      </c>
    </row>
    <row r="60">
      <c r="A60" s="29">
        <v>57.0</v>
      </c>
      <c r="B60" s="30" t="s">
        <v>517</v>
      </c>
      <c r="C60" s="31" t="str">
        <f>'Gutter&amp;Clamp'!B26</f>
        <v>Providing and fixing PVC gutter pipes includes laying jointing of pipes, complete as per direction of Engineer in Charge.for 160 mm dia 6 KGF/cm2</v>
      </c>
      <c r="D60" s="31" t="str">
        <f t="shared" si="1"/>
        <v>Providing and fixing PVC gutter pipes includes laying jointing of pipes, complete as per direction of Engineer in Charge.for 160 mm dia 6 KGF/cm2 (Code: GWDDR057)</v>
      </c>
      <c r="E60" s="29" t="s">
        <v>22</v>
      </c>
      <c r="F60" s="32" t="s">
        <v>48</v>
      </c>
      <c r="G60" s="32" t="s">
        <v>68</v>
      </c>
      <c r="H60" s="32" t="s">
        <v>515</v>
      </c>
      <c r="I60" s="33">
        <f>'Gutter&amp;Clamp'!F38</f>
        <v>471.98</v>
      </c>
      <c r="J60" s="33">
        <f>'Gutter&amp;Clamp'!F48</f>
        <v>93.19</v>
      </c>
      <c r="K60" s="33">
        <f t="shared" si="2"/>
        <v>0</v>
      </c>
      <c r="L60" s="33">
        <f t="shared" si="3"/>
        <v>565.17</v>
      </c>
    </row>
    <row r="61">
      <c r="A61" s="29">
        <v>58.0</v>
      </c>
      <c r="B61" s="30" t="s">
        <v>521</v>
      </c>
      <c r="C61" s="31" t="str">
        <f>'Gutter&amp;Clamp'!B50</f>
        <v>Providing and fixing 140mm square PVC gutter pipes includes laying jointing of pipes including clamp, complete as per direction of Engineer in Charge</v>
      </c>
      <c r="D61" s="31" t="str">
        <f t="shared" si="1"/>
        <v>Providing and fixing 140mm square PVC gutter pipes includes laying jointing of pipes including clamp, complete as per direction of Engineer in Charge (Code: GWDDR058)</v>
      </c>
      <c r="E61" s="29" t="s">
        <v>22</v>
      </c>
      <c r="F61" s="32" t="s">
        <v>48</v>
      </c>
      <c r="G61" s="32" t="s">
        <v>68</v>
      </c>
      <c r="H61" s="32" t="s">
        <v>515</v>
      </c>
      <c r="I61" s="33">
        <f>'Gutter&amp;Clamp'!F62</f>
        <v>414.66</v>
      </c>
      <c r="J61" s="33">
        <f>'Gutter&amp;Clamp'!F72</f>
        <v>93.19</v>
      </c>
      <c r="K61" s="33">
        <f t="shared" si="2"/>
        <v>0</v>
      </c>
      <c r="L61" s="33">
        <f t="shared" si="3"/>
        <v>507.85</v>
      </c>
    </row>
    <row r="62">
      <c r="A62" s="29">
        <v>59.0</v>
      </c>
      <c r="B62" s="30" t="s">
        <v>526</v>
      </c>
      <c r="C62" s="31" t="str">
        <f>'Gutter&amp;Clamp'!B74</f>
        <v>Providing and fixing 160mm square PVC gutter pipes includes laying jointing of pipes including clamp, complete as per direction of Engineer in Charge</v>
      </c>
      <c r="D62" s="31" t="str">
        <f t="shared" si="1"/>
        <v>Providing and fixing 160mm square PVC gutter pipes includes laying jointing of pipes including clamp, complete as per direction of Engineer in Charge (Code: GWDDR059)</v>
      </c>
      <c r="E62" s="29" t="s">
        <v>22</v>
      </c>
      <c r="F62" s="32" t="s">
        <v>48</v>
      </c>
      <c r="G62" s="32" t="s">
        <v>68</v>
      </c>
      <c r="H62" s="32" t="s">
        <v>515</v>
      </c>
      <c r="I62" s="33">
        <f>'Gutter&amp;Clamp'!F86</f>
        <v>467.5</v>
      </c>
      <c r="J62" s="33">
        <f>'Gutter&amp;Clamp'!F96</f>
        <v>93.19</v>
      </c>
      <c r="K62" s="33">
        <f t="shared" si="2"/>
        <v>0</v>
      </c>
      <c r="L62" s="33">
        <f t="shared" si="3"/>
        <v>560.69</v>
      </c>
    </row>
    <row r="63">
      <c r="A63" s="29">
        <v>60.0</v>
      </c>
      <c r="B63" s="30" t="s">
        <v>532</v>
      </c>
      <c r="C63" s="31" t="str">
        <f>'Gutter&amp;Clamp'!B98</f>
        <v>Providing and fixing MS Clamp for gutter pipe as per direction of Engineer in Charge.</v>
      </c>
      <c r="D63" s="31" t="str">
        <f t="shared" si="1"/>
        <v>Providing and fixing MS Clamp for gutter pipe as per direction of Engineer in Charge. (Code: GWDDR060)</v>
      </c>
      <c r="E63" s="29" t="s">
        <v>43</v>
      </c>
      <c r="F63" s="32" t="s">
        <v>48</v>
      </c>
      <c r="G63" s="32" t="s">
        <v>68</v>
      </c>
      <c r="H63" s="32" t="s">
        <v>69</v>
      </c>
      <c r="I63" s="33">
        <f>'Gutter&amp;Clamp'!F109</f>
        <v>40.65</v>
      </c>
      <c r="J63" s="33">
        <f>'Gutter&amp;Clamp'!F119</f>
        <v>29.44</v>
      </c>
      <c r="K63" s="33">
        <f t="shared" si="2"/>
        <v>0</v>
      </c>
      <c r="L63" s="33">
        <f t="shared" si="3"/>
        <v>70.09</v>
      </c>
    </row>
    <row r="64">
      <c r="A64" s="29">
        <v>61.0</v>
      </c>
      <c r="B64" s="30" t="s">
        <v>536</v>
      </c>
      <c r="C64" s="31" t="str">
        <f>Hydrants!A1</f>
        <v>Hydrants with tap (for common use of size 0.8 x 0.5 m platform)</v>
      </c>
      <c r="D64" s="31" t="str">
        <f t="shared" si="1"/>
        <v>Hydrants with tap (for common use of size 0.8 x 0.5 m platform) (Code: GWDDR061)</v>
      </c>
      <c r="E64" s="29" t="s">
        <v>43</v>
      </c>
      <c r="F64" s="32" t="s">
        <v>48</v>
      </c>
      <c r="G64" s="32" t="s">
        <v>49</v>
      </c>
      <c r="H64" s="32" t="s">
        <v>538</v>
      </c>
      <c r="I64" s="33">
        <f>Hydrants!G13</f>
        <v>671.93</v>
      </c>
      <c r="J64" s="33">
        <f>Hydrants!G25</f>
        <v>1562.02</v>
      </c>
      <c r="K64" s="33">
        <f t="shared" si="2"/>
        <v>0</v>
      </c>
      <c r="L64" s="33">
        <f t="shared" si="3"/>
        <v>2233.95</v>
      </c>
    </row>
    <row r="65">
      <c r="A65" s="29">
        <v>62.0</v>
      </c>
      <c r="B65" s="30" t="s">
        <v>539</v>
      </c>
      <c r="C65" s="31" t="str">
        <f>Hydrants!A27</f>
        <v>Hydrants with tap ( for individual families of size 0.6 X 0.3 M platform)</v>
      </c>
      <c r="D65" s="31" t="str">
        <f t="shared" si="1"/>
        <v>Hydrants with tap ( for individual families of size 0.6 X 0.3 M platform) (Code: GWDDR062)</v>
      </c>
      <c r="E65" s="29" t="s">
        <v>43</v>
      </c>
      <c r="F65" s="32" t="s">
        <v>48</v>
      </c>
      <c r="G65" s="32" t="s">
        <v>49</v>
      </c>
      <c r="H65" s="32" t="s">
        <v>538</v>
      </c>
      <c r="I65" s="33">
        <f>Hydrants!G39</f>
        <v>671.93</v>
      </c>
      <c r="J65" s="33">
        <f>Hydrants!G51</f>
        <v>1030.38</v>
      </c>
      <c r="K65" s="33">
        <f t="shared" si="2"/>
        <v>0</v>
      </c>
      <c r="L65" s="33">
        <f t="shared" si="3"/>
        <v>1702.31</v>
      </c>
    </row>
    <row r="66">
      <c r="A66" s="29">
        <v>63.0</v>
      </c>
      <c r="B66" s="30" t="s">
        <v>544</v>
      </c>
      <c r="C66" s="73" t="str">
        <f>'HP Repair Labour'!A1</f>
        <v>India Mark II Hand Pump Pullout, Repairing and Re-Erection Labour Charges</v>
      </c>
      <c r="D66" s="31" t="str">
        <f t="shared" si="1"/>
        <v>India Mark II Hand Pump Pullout, Repairing and Re-Erection Labour Charges (Code: GWDDR063)</v>
      </c>
      <c r="E66" s="74" t="s">
        <v>43</v>
      </c>
      <c r="F66" s="32" t="s">
        <v>48</v>
      </c>
      <c r="G66" s="59" t="s">
        <v>323</v>
      </c>
      <c r="H66" s="59" t="s">
        <v>549</v>
      </c>
      <c r="I66" s="33">
        <f>'HP Repair Labour'!H14</f>
        <v>0</v>
      </c>
      <c r="J66" s="33">
        <f>'HP Repair Labour'!I14</f>
        <v>6485.82</v>
      </c>
      <c r="K66" s="33">
        <f t="shared" si="2"/>
        <v>0</v>
      </c>
      <c r="L66" s="33">
        <f t="shared" si="3"/>
        <v>6485.82</v>
      </c>
    </row>
    <row r="67">
      <c r="A67" s="29">
        <v>64.0</v>
      </c>
      <c r="B67" s="30" t="s">
        <v>555</v>
      </c>
      <c r="C67" s="31" t="str">
        <f>WTP!B3</f>
        <v>Supplying, assembling, fibre reinforced polymer vessel (FRP) size (14" Dia 65" Height) Weight - 21 kg, Tank Volume - 150 liter, Material- Polyethylene, Max Pressure -150 PSI, Max Vacuum- 5" Hg, Max temperature-49'c, Capacity- 1000-10000 L, opening at top &amp; bottom including hire &amp; labour charges, fittings &amp; accessories etc.complete, as per direction of Engineer-in-charge</v>
      </c>
      <c r="D67" s="31" t="str">
        <f t="shared" si="1"/>
        <v>Supplying, assembling, fibre reinforced polymer vessel (FRP) size (14" Dia 65" Height) Weight - 21 kg, Tank Volume - 150 liter, Material- Polyethylene, Max Pressure -150 PSI, Max Vacuum- 5" Hg, Max temperature-49'c, Capacity- 1000-10000 L, opening at top &amp; bottom including hire &amp; labour charges, fittings &amp; accessories etc.complete, as per direction of Engineer-in-charge (Code: GWDDR064)</v>
      </c>
      <c r="E67" s="29" t="s">
        <v>43</v>
      </c>
      <c r="F67" s="32" t="s">
        <v>48</v>
      </c>
      <c r="G67" s="32" t="s">
        <v>557</v>
      </c>
      <c r="H67" s="33" t="s">
        <v>559</v>
      </c>
      <c r="I67" s="33">
        <f>WTP!H16</f>
        <v>19164.75</v>
      </c>
      <c r="J67" s="33">
        <f>WTP!I16</f>
        <v>497.93505</v>
      </c>
      <c r="K67" s="33">
        <f t="shared" si="2"/>
        <v>0</v>
      </c>
      <c r="L67" s="33">
        <f t="shared" si="3"/>
        <v>19662.68505</v>
      </c>
    </row>
    <row r="68">
      <c r="A68" s="29">
        <v>65.0</v>
      </c>
      <c r="B68" s="30" t="s">
        <v>564</v>
      </c>
      <c r="C68" s="31" t="str">
        <f>WTP!B17</f>
        <v>Supplying, assembling, fibre reinforced polymer vessel (FRP) size (16" Dia 65" Height) Weight - 22 kg, Tank Volume - 185 liter, Material- Polyethylene, Max Pressure -150 PSI, Max Vacuum- 5" Hg, Max temperature-49'c, Capacity- 1000-10000 L, opening at top &amp; bottom including hire &amp; labour charges, fittings &amp; accessories etc.complete, as per direction of Engineer-in-charge</v>
      </c>
      <c r="D68" s="31" t="str">
        <f t="shared" si="1"/>
        <v>Supplying, assembling, fibre reinforced polymer vessel (FRP) size (16" Dia 65" Height) Weight - 22 kg, Tank Volume - 185 liter, Material- Polyethylene, Max Pressure -150 PSI, Max Vacuum- 5" Hg, Max temperature-49'c, Capacity- 1000-10000 L, opening at top &amp; bottom including hire &amp; labour charges, fittings &amp; accessories etc.complete, as per direction of Engineer-in-charge (Code: GWDDR065)</v>
      </c>
      <c r="E68" s="29" t="s">
        <v>43</v>
      </c>
      <c r="F68" s="32" t="s">
        <v>48</v>
      </c>
      <c r="G68" s="32" t="s">
        <v>557</v>
      </c>
      <c r="H68" s="33" t="s">
        <v>559</v>
      </c>
      <c r="I68" s="33">
        <f>WTP!H30</f>
        <v>30779.75</v>
      </c>
      <c r="J68" s="33">
        <f>WTP!I30</f>
        <v>497.93505</v>
      </c>
      <c r="K68" s="33">
        <f t="shared" si="2"/>
        <v>0</v>
      </c>
      <c r="L68" s="33">
        <f t="shared" si="3"/>
        <v>31277.68505</v>
      </c>
    </row>
    <row r="69">
      <c r="A69" s="29">
        <v>66.0</v>
      </c>
      <c r="B69" s="30" t="s">
        <v>572</v>
      </c>
      <c r="C69" s="31" t="str">
        <f>WTP!B31</f>
        <v>Supplying, assembling, fibre reinforced polymer vessel (FRP) Size-(18" Dia 65" Height), Weight-30kg, Tank Volume - 242 liter , Material- Polyethylene, Max Pressure -150 PSI, Max Vacuum- 5" Hg, Max Temperature -49'c, Capacity- 1000-10000 L, opening at top &amp; bottom including hire &amp; labour charges, fittings &amp; accessories etc.complete, as per direction of Engineer-in-charge</v>
      </c>
      <c r="D69" s="31" t="str">
        <f t="shared" si="1"/>
        <v>Supplying, assembling, fibre reinforced polymer vessel (FRP) Size-(18" Dia 65" Height), Weight-30kg, Tank Volume - 242 liter , Material- Polyethylene, Max Pressure -150 PSI, Max Vacuum- 5" Hg, Max Temperature -49'c, Capacity- 1000-10000 L, opening at top &amp; bottom including hire &amp; labour charges, fittings &amp; accessories etc.complete, as per direction of Engineer-in-charge (Code: GWDDR066)</v>
      </c>
      <c r="E69" s="29" t="s">
        <v>43</v>
      </c>
      <c r="F69" s="32" t="s">
        <v>48</v>
      </c>
      <c r="G69" s="32" t="s">
        <v>557</v>
      </c>
      <c r="H69" s="33" t="s">
        <v>559</v>
      </c>
      <c r="I69" s="33">
        <f>WTP!H44</f>
        <v>41814</v>
      </c>
      <c r="J69" s="33">
        <f>WTP!I44</f>
        <v>497.93505</v>
      </c>
      <c r="K69" s="33">
        <f t="shared" si="2"/>
        <v>0</v>
      </c>
      <c r="L69" s="33">
        <f t="shared" si="3"/>
        <v>42311.93505</v>
      </c>
    </row>
    <row r="70">
      <c r="A70" s="29">
        <v>67.0</v>
      </c>
      <c r="B70" s="30" t="s">
        <v>581</v>
      </c>
      <c r="C70" s="31" t="str">
        <f>WTP!B45</f>
        <v>Supplying, assembling, fibre reinforced polymer vessel (FRP) Size-(21" Dia 62" Height), Weight-43kg, Tank Volume -318 liter , Material- Polyethylene, Max Pressure -150 PSI, Max Vacuum- 5" Hg, Temperature-49'c, Capacity- 1000-10000 L, opening at top &amp; bottom including hire &amp; labour charges, fittings &amp; accessories etc.complete, as per direction of Engineer-in-charge</v>
      </c>
      <c r="D70" s="31" t="str">
        <f t="shared" si="1"/>
        <v>Supplying, assembling, fibre reinforced polymer vessel (FRP) Size-(21" Dia 62" Height), Weight-43kg, Tank Volume -318 liter , Material- Polyethylene, Max Pressure -150 PSI, Max Vacuum- 5" Hg, Temperature-49'c, Capacity- 1000-10000 L, opening at top &amp; bottom including hire &amp; labour charges, fittings &amp; accessories etc.complete, as per direction of Engineer-in-charge (Code: GWDDR067)</v>
      </c>
      <c r="E70" s="29" t="s">
        <v>43</v>
      </c>
      <c r="F70" s="32" t="s">
        <v>48</v>
      </c>
      <c r="G70" s="32" t="s">
        <v>557</v>
      </c>
      <c r="H70" s="33" t="s">
        <v>559</v>
      </c>
      <c r="I70" s="33">
        <f>WTP!H58</f>
        <v>47040.75</v>
      </c>
      <c r="J70" s="33">
        <f>WTP!I58</f>
        <v>497.93505</v>
      </c>
      <c r="K70" s="33">
        <f t="shared" si="2"/>
        <v>0</v>
      </c>
      <c r="L70" s="33">
        <f t="shared" si="3"/>
        <v>47538.68505</v>
      </c>
    </row>
    <row r="71">
      <c r="A71" s="29">
        <v>68.0</v>
      </c>
      <c r="B71" s="30" t="s">
        <v>591</v>
      </c>
      <c r="C71" s="31" t="str">
        <f>WTP!B59</f>
        <v>Supplying, assembling, fibre reinforced polymer vessel (FRP) Size-(24" Dia 72" Height), Weight-49kg, Tank Volume -451 liter , Material- Polyethylene, Max Pressure -150 PSI, Max Vacuum- 5" Hg, Temperature-49'c, Capacity- 1000-10000 L, opening at top &amp; bottom including hire &amp; labour charges, fittings &amp; accessories etc.complete, as per direction of Engineer-in-charge</v>
      </c>
      <c r="D71" s="31" t="str">
        <f t="shared" si="1"/>
        <v>Supplying, assembling, fibre reinforced polymer vessel (FRP) Size-(24" Dia 72" Height), Weight-49kg, Tank Volume -451 liter , Material- Polyethylene, Max Pressure -150 PSI, Max Vacuum- 5" Hg, Temperature-49'c, Capacity- 1000-10000 L, opening at top &amp; bottom including hire &amp; labour charges, fittings &amp; accessories etc.complete, as per direction of Engineer-in-charge (Code: GWDDR068)</v>
      </c>
      <c r="E71" s="29" t="s">
        <v>43</v>
      </c>
      <c r="F71" s="32" t="s">
        <v>48</v>
      </c>
      <c r="G71" s="32" t="s">
        <v>557</v>
      </c>
      <c r="H71" s="33" t="s">
        <v>559</v>
      </c>
      <c r="I71" s="33">
        <f>WTP!H72</f>
        <v>56913.5</v>
      </c>
      <c r="J71" s="33">
        <f>WTP!I72</f>
        <v>572.8518</v>
      </c>
      <c r="K71" s="33">
        <f t="shared" si="2"/>
        <v>0</v>
      </c>
      <c r="L71" s="33">
        <f t="shared" si="3"/>
        <v>57486.3518</v>
      </c>
    </row>
    <row r="72">
      <c r="A72" s="29">
        <v>69.0</v>
      </c>
      <c r="B72" s="30" t="s">
        <v>598</v>
      </c>
      <c r="C72" s="31" t="str">
        <f>WTP!B73</f>
        <v>Supplying, assembling, fibre reinforced polymer vessel (FRP) Size-(30" Dia 72" Height), Weight-90kg, Tank Volume -708 liter , Material- Polyethylene, Max Pressure -150 PSI, Max Vacuum- 5" Hg, Temperature-49'c, Capacity- 1000-10000 L, opening at top &amp; bottom including hire &amp; labour charges, fittings &amp; accessories etc.complete, as per direction of Engineer-in-charge</v>
      </c>
      <c r="D72" s="31" t="str">
        <f t="shared" si="1"/>
        <v>Supplying, assembling, fibre reinforced polymer vessel (FRP) Size-(30" Dia 72" Height), Weight-90kg, Tank Volume -708 liter , Material- Polyethylene, Max Pressure -150 PSI, Max Vacuum- 5" Hg, Temperature-49'c, Capacity- 1000-10000 L, opening at top &amp; bottom including hire &amp; labour charges, fittings &amp; accessories etc.complete, as per direction of Engineer-in-charge (Code: GWDDR069)</v>
      </c>
      <c r="E72" s="29" t="s">
        <v>43</v>
      </c>
      <c r="F72" s="32" t="s">
        <v>48</v>
      </c>
      <c r="G72" s="32" t="s">
        <v>557</v>
      </c>
      <c r="H72" s="33" t="s">
        <v>559</v>
      </c>
      <c r="I72" s="33">
        <f>WTP!H86</f>
        <v>72013</v>
      </c>
      <c r="J72" s="33">
        <f>WTP!I86</f>
        <v>754.975</v>
      </c>
      <c r="K72" s="33">
        <f t="shared" si="2"/>
        <v>0</v>
      </c>
      <c r="L72" s="33">
        <f t="shared" si="3"/>
        <v>72767.975</v>
      </c>
    </row>
    <row r="73">
      <c r="A73" s="29">
        <v>70.0</v>
      </c>
      <c r="B73" s="30" t="s">
        <v>606</v>
      </c>
      <c r="C73" s="31" t="str">
        <f>WTP!B87</f>
        <v>Supplying, assembling, fibre reinforced polymer vessel (FRP) Size-(36" Dia 72" Height), Weight-105kg, Tank Volume -1020 liter , Material- Polyethylene, Max Pressure -150 PSI, Max Vacuum- 5" Hg, Temperature-49'c, Capacity- 1000-10000 L, opening at top &amp; bottom including hire &amp; labour charges, fittings &amp; accessories etc.complete, as per direction of Engineer-in-charge</v>
      </c>
      <c r="D73" s="31" t="str">
        <f t="shared" si="1"/>
        <v>Supplying, assembling, fibre reinforced polymer vessel (FRP) Size-(36" Dia 72" Height), Weight-105kg, Tank Volume -1020 liter , Material- Polyethylene, Max Pressure -150 PSI, Max Vacuum- 5" Hg, Temperature-49'c, Capacity- 1000-10000 L, opening at top &amp; bottom including hire &amp; labour charges, fittings &amp; accessories etc.complete, as per direction of Engineer-in-charge (Code: GWDDR070)</v>
      </c>
      <c r="E73" s="29" t="s">
        <v>43</v>
      </c>
      <c r="F73" s="32" t="s">
        <v>48</v>
      </c>
      <c r="G73" s="32" t="s">
        <v>557</v>
      </c>
      <c r="H73" s="33" t="s">
        <v>559</v>
      </c>
      <c r="I73" s="33">
        <f>WTP!H100</f>
        <v>96404.5</v>
      </c>
      <c r="J73" s="33">
        <f>WTP!I100</f>
        <v>754.975</v>
      </c>
      <c r="K73" s="33">
        <f t="shared" si="2"/>
        <v>0</v>
      </c>
      <c r="L73" s="33">
        <f t="shared" si="3"/>
        <v>97159.475</v>
      </c>
    </row>
    <row r="74">
      <c r="A74" s="29">
        <v>71.0</v>
      </c>
      <c r="B74" s="30" t="s">
        <v>615</v>
      </c>
      <c r="C74" s="31" t="str">
        <f>WTP!B102</f>
        <v>Supplying, assembling, manually operated multi port valve 40 NB Material -PVC, Max pressure - 4kg/cm2, including hire &amp; labour charges, fittings &amp; accessories etc. all complete, as per direction of Engineer-in-charge</v>
      </c>
      <c r="D74" s="31" t="str">
        <f t="shared" si="1"/>
        <v>Supplying, assembling, manually operated multi port valve 40 NB Material -PVC, Max pressure - 4kg/cm2, including hire &amp; labour charges, fittings &amp; accessories etc. all complete, as per direction of Engineer-in-charge (Code: GWDDR071)</v>
      </c>
      <c r="E74" s="29" t="s">
        <v>43</v>
      </c>
      <c r="F74" s="32" t="s">
        <v>48</v>
      </c>
      <c r="G74" s="32" t="s">
        <v>557</v>
      </c>
      <c r="H74" s="33" t="s">
        <v>618</v>
      </c>
      <c r="I74" s="33">
        <f>WTP!H114</f>
        <v>8916.8355</v>
      </c>
      <c r="J74" s="33">
        <f>WTP!I114</f>
        <v>38.16689</v>
      </c>
      <c r="K74" s="33">
        <f t="shared" si="2"/>
        <v>0</v>
      </c>
      <c r="L74" s="33">
        <f t="shared" si="3"/>
        <v>8955.00239</v>
      </c>
    </row>
    <row r="75">
      <c r="A75" s="29">
        <v>72.0</v>
      </c>
      <c r="B75" s="30" t="s">
        <v>623</v>
      </c>
      <c r="C75" s="31" t="str">
        <f>WTP!B115</f>
        <v>Supplying, assembling, manually operated multi port valve flower type 50NB Material -PVC, Max pressure - 4kg/cm2, including hire &amp; labour charges, fittings &amp; accessories etc. all complete, as per direction of Engineer-in-charge</v>
      </c>
      <c r="D75" s="31" t="str">
        <f t="shared" si="1"/>
        <v>Supplying, assembling, manually operated multi port valve flower type 50NB Material -PVC, Max pressure - 4kg/cm2, including hire &amp; labour charges, fittings &amp; accessories etc. all complete, as per direction of Engineer-in-charge (Code: GWDDR072)</v>
      </c>
      <c r="E75" s="29" t="s">
        <v>43</v>
      </c>
      <c r="F75" s="32" t="s">
        <v>48</v>
      </c>
      <c r="G75" s="32" t="s">
        <v>557</v>
      </c>
      <c r="H75" s="33" t="s">
        <v>618</v>
      </c>
      <c r="I75" s="33">
        <f>WTP!H127</f>
        <v>11173.63</v>
      </c>
      <c r="J75" s="33">
        <f>WTP!I127</f>
        <v>38.16689</v>
      </c>
      <c r="K75" s="33">
        <f t="shared" si="2"/>
        <v>0</v>
      </c>
      <c r="L75" s="33">
        <f t="shared" si="3"/>
        <v>11211.79689</v>
      </c>
    </row>
    <row r="76">
      <c r="A76" s="29">
        <v>73.0</v>
      </c>
      <c r="B76" s="30" t="s">
        <v>633</v>
      </c>
      <c r="C76" s="31" t="str">
        <f>WTP!B128</f>
        <v>Supplying, assembling, multi port valve 65 NB Manually Material -PVC, Max pressure - 4kg/cm2, including hire &amp; labour charges, fittings &amp; accessories etc. all complete, as per direction of Engineer-in-charge including hire &amp; labour charges, fittings &amp; accessories etc. all complete, as per direction of Engineer-in-charge</v>
      </c>
      <c r="D76" s="31" t="str">
        <f t="shared" si="1"/>
        <v>Supplying, assembling, multi port valve 65 NB Manually Material -PVC, Max pressure - 4kg/cm2, including hire &amp; labour charges, fittings &amp; accessories etc. all complete, as per direction of Engineer-in-charge including hire &amp; labour charges, fittings &amp; accessories etc. all complete, as per direction of Engineer-in-charge (Code: GWDDR073)</v>
      </c>
      <c r="E76" s="29" t="s">
        <v>43</v>
      </c>
      <c r="F76" s="32" t="s">
        <v>48</v>
      </c>
      <c r="G76" s="32" t="s">
        <v>557</v>
      </c>
      <c r="H76" s="33" t="s">
        <v>618</v>
      </c>
      <c r="I76" s="33">
        <f>WTP!H140</f>
        <v>13342.1505</v>
      </c>
      <c r="J76" s="33">
        <f>WTP!I140</f>
        <v>38.16689</v>
      </c>
      <c r="K76" s="33">
        <f t="shared" si="2"/>
        <v>0</v>
      </c>
      <c r="L76" s="33">
        <f t="shared" si="3"/>
        <v>13380.31739</v>
      </c>
    </row>
    <row r="77">
      <c r="A77" s="29">
        <v>74.0</v>
      </c>
      <c r="B77" s="30" t="s">
        <v>641</v>
      </c>
      <c r="C77" s="31" t="str">
        <f>WTP!B142</f>
        <v>Supplying, assembling, distributer 40 NB including hire &amp; labour charges, fittings &amp; accessories etc. all complete, as per direction of Engineer-in-charge</v>
      </c>
      <c r="D77" s="31" t="str">
        <f t="shared" si="1"/>
        <v>Supplying, assembling, distributer 40 NB including hire &amp; labour charges, fittings &amp; accessories etc. all complete, as per direction of Engineer-in-charge (Code: GWDDR074)</v>
      </c>
      <c r="E77" s="29" t="s">
        <v>43</v>
      </c>
      <c r="F77" s="32" t="s">
        <v>48</v>
      </c>
      <c r="G77" s="32" t="s">
        <v>557</v>
      </c>
      <c r="H77" s="33" t="s">
        <v>647</v>
      </c>
      <c r="I77" s="33">
        <f>WTP!H154</f>
        <v>5261.595</v>
      </c>
      <c r="J77" s="33">
        <f>WTP!I154</f>
        <v>38.16689</v>
      </c>
      <c r="K77" s="33">
        <f t="shared" si="2"/>
        <v>0</v>
      </c>
      <c r="L77" s="33">
        <f t="shared" si="3"/>
        <v>5299.76189</v>
      </c>
    </row>
    <row r="78">
      <c r="A78" s="29">
        <v>75.0</v>
      </c>
      <c r="B78" s="30" t="s">
        <v>653</v>
      </c>
      <c r="C78" s="31" t="str">
        <f>WTP!B155</f>
        <v>Supplying, assembling, distributer 50 NB including hire &amp; labour charges, fittings &amp; accessories etc. all complete, as per direction of Engineer-in-charge</v>
      </c>
      <c r="D78" s="31" t="str">
        <f t="shared" si="1"/>
        <v>Supplying, assembling, distributer 50 NB including hire &amp; labour charges, fittings &amp; accessories etc. all complete, as per direction of Engineer-in-charge (Code: GWDDR075)</v>
      </c>
      <c r="E78" s="29" t="s">
        <v>43</v>
      </c>
      <c r="F78" s="32" t="s">
        <v>48</v>
      </c>
      <c r="G78" s="32" t="s">
        <v>557</v>
      </c>
      <c r="H78" s="33" t="s">
        <v>647</v>
      </c>
      <c r="I78" s="33">
        <f>WTP!H167</f>
        <v>7840.125</v>
      </c>
      <c r="J78" s="33">
        <f>WTP!I167</f>
        <v>38.16689</v>
      </c>
      <c r="K78" s="33">
        <f t="shared" si="2"/>
        <v>0</v>
      </c>
      <c r="L78" s="33">
        <f t="shared" si="3"/>
        <v>7878.29189</v>
      </c>
    </row>
    <row r="79">
      <c r="A79" s="29">
        <v>76.0</v>
      </c>
      <c r="B79" s="30" t="s">
        <v>660</v>
      </c>
      <c r="C79" s="31" t="str">
        <f>WTP!B168</f>
        <v>Supplying, assembling, distributer 65 NB including hire &amp; labour charges, fittings &amp; accessories etc. all complete, as per direction of Engineer-in-charge</v>
      </c>
      <c r="D79" s="31" t="str">
        <f t="shared" si="1"/>
        <v>Supplying, assembling, distributer 65 NB including hire &amp; labour charges, fittings &amp; accessories etc. all complete, as per direction of Engineer-in-charge (Code: GWDDR076)</v>
      </c>
      <c r="E79" s="29" t="s">
        <v>43</v>
      </c>
      <c r="F79" s="32" t="s">
        <v>48</v>
      </c>
      <c r="G79" s="32" t="s">
        <v>557</v>
      </c>
      <c r="H79" s="33" t="s">
        <v>647</v>
      </c>
      <c r="I79" s="33">
        <f>WTP!H180</f>
        <v>11923.959</v>
      </c>
      <c r="J79" s="33">
        <f>WTP!I180</f>
        <v>38.16689</v>
      </c>
      <c r="K79" s="33">
        <f t="shared" si="2"/>
        <v>0</v>
      </c>
      <c r="L79" s="33">
        <f t="shared" si="3"/>
        <v>11962.12589</v>
      </c>
    </row>
    <row r="80">
      <c r="A80" s="29">
        <v>77.0</v>
      </c>
      <c r="B80" s="30" t="s">
        <v>667</v>
      </c>
      <c r="C80" s="31" t="str">
        <f>WTP!B182</f>
        <v>Supplying, assembling, and fixing Electrically operated Diaphragm type dosing pump 10 lph including hire &amp; labour charges, fittings &amp; accessories etc. all complete, as per direction of Engineer-in-charge</v>
      </c>
      <c r="D80" s="31" t="str">
        <f t="shared" si="1"/>
        <v>Supplying, assembling, and fixing Electrically operated Diaphragm type dosing pump 10 lph including hire &amp; labour charges, fittings &amp; accessories etc. all complete, as per direction of Engineer-in-charge (Code: GWDDR077)</v>
      </c>
      <c r="E80" s="29" t="s">
        <v>43</v>
      </c>
      <c r="F80" s="32" t="s">
        <v>48</v>
      </c>
      <c r="G80" s="32" t="s">
        <v>557</v>
      </c>
      <c r="H80" s="33" t="s">
        <v>670</v>
      </c>
      <c r="I80" s="33">
        <f>WTP!H195</f>
        <v>18191.413</v>
      </c>
      <c r="J80" s="33">
        <f>WTP!I195</f>
        <v>331.9567</v>
      </c>
      <c r="K80" s="33">
        <f t="shared" si="2"/>
        <v>0</v>
      </c>
      <c r="L80" s="33">
        <f t="shared" si="3"/>
        <v>18523.3697</v>
      </c>
    </row>
    <row r="81">
      <c r="A81" s="29">
        <v>78.0</v>
      </c>
      <c r="B81" s="30" t="s">
        <v>675</v>
      </c>
      <c r="C81" s="31" t="str">
        <f>WTP!B196</f>
        <v>Supplying, assembling, and fixing Electrically operated Diaphragm type dosing pump 40 lph including hire &amp; labour charges, fittings &amp; accessories etc. all complete, as per direction of Engineer-in-charge</v>
      </c>
      <c r="D81" s="31" t="str">
        <f t="shared" si="1"/>
        <v>Supplying, assembling, and fixing Electrically operated Diaphragm type dosing pump 40 lph including hire &amp; labour charges, fittings &amp; accessories etc. all complete, as per direction of Engineer-in-charge (Code: GWDDR078)</v>
      </c>
      <c r="E81" s="29" t="s">
        <v>43</v>
      </c>
      <c r="F81" s="32" t="s">
        <v>48</v>
      </c>
      <c r="G81" s="32" t="s">
        <v>557</v>
      </c>
      <c r="H81" s="33" t="s">
        <v>670</v>
      </c>
      <c r="I81" s="33">
        <f>WTP!H209</f>
        <v>49363.75</v>
      </c>
      <c r="J81" s="33">
        <f>WTP!I209</f>
        <v>331.9567</v>
      </c>
      <c r="K81" s="33">
        <f t="shared" si="2"/>
        <v>0</v>
      </c>
      <c r="L81" s="33">
        <f t="shared" si="3"/>
        <v>49695.7067</v>
      </c>
    </row>
    <row r="82">
      <c r="A82" s="29">
        <v>79.0</v>
      </c>
      <c r="B82" s="30" t="s">
        <v>682</v>
      </c>
      <c r="C82" s="31" t="str">
        <f>WTP!B211</f>
        <v>Supplying, assembling, and fixing single Phase Pure Copper , Self priming monoblock feed pump 1Hp including hire &amp; labour charges, fittings &amp; accessories etc. all complete, as per direction of Engineer-in-charge</v>
      </c>
      <c r="D82" s="31" t="str">
        <f t="shared" si="1"/>
        <v>Supplying, assembling, and fixing single Phase Pure Copper , Self priming monoblock feed pump 1Hp including hire &amp; labour charges, fittings &amp; accessories etc. all complete, as per direction of Engineer-in-charge (Code: GWDDR079)</v>
      </c>
      <c r="E82" s="29" t="s">
        <v>43</v>
      </c>
      <c r="F82" s="32" t="s">
        <v>48</v>
      </c>
      <c r="G82" s="32" t="s">
        <v>557</v>
      </c>
      <c r="H82" s="33" t="s">
        <v>688</v>
      </c>
      <c r="I82" s="33">
        <f>WTP!H224</f>
        <v>14749.8885</v>
      </c>
      <c r="J82" s="33">
        <f>WTP!I224</f>
        <v>331.9567</v>
      </c>
      <c r="K82" s="33">
        <f t="shared" si="2"/>
        <v>0</v>
      </c>
      <c r="L82" s="33">
        <f t="shared" si="3"/>
        <v>15081.8452</v>
      </c>
    </row>
    <row r="83">
      <c r="A83" s="29">
        <v>80.0</v>
      </c>
      <c r="B83" s="30" t="s">
        <v>693</v>
      </c>
      <c r="C83" s="31" t="str">
        <f>WTP!B225</f>
        <v>Supplying, assembling, and fixing single Phase Pure Copper , Self priming monoblock feed pump 1.5Hp including hire &amp; labour charges, fittings &amp; accessories etc. all complete, as per direction of Engineer-in-charge</v>
      </c>
      <c r="D83" s="31" t="str">
        <f t="shared" si="1"/>
        <v>Supplying, assembling, and fixing single Phase Pure Copper , Self priming monoblock feed pump 1.5Hp including hire &amp; labour charges, fittings &amp; accessories etc. all complete, as per direction of Engineer-in-charge (Code: GWDDR080)</v>
      </c>
      <c r="E83" s="29" t="s">
        <v>43</v>
      </c>
      <c r="F83" s="32" t="s">
        <v>48</v>
      </c>
      <c r="G83" s="32" t="s">
        <v>557</v>
      </c>
      <c r="H83" s="33" t="s">
        <v>688</v>
      </c>
      <c r="I83" s="33">
        <f>WTP!H238</f>
        <v>17631.57</v>
      </c>
      <c r="J83" s="33">
        <f>WTP!I238</f>
        <v>331.9567</v>
      </c>
      <c r="K83" s="33">
        <f t="shared" si="2"/>
        <v>0</v>
      </c>
      <c r="L83" s="33">
        <f t="shared" si="3"/>
        <v>17963.5267</v>
      </c>
    </row>
    <row r="84">
      <c r="A84" s="29">
        <v>81.0</v>
      </c>
      <c r="B84" s="30" t="s">
        <v>698</v>
      </c>
      <c r="C84" s="31" t="str">
        <f>WTP!B239</f>
        <v>Supplying, assembling, and fixing single Phase Pure Copper , Self priming monoblock feed pump 2Hp including hire &amp; labour charges, fittings &amp; accessories etc. all complete, as per direction of Engineer-in-charge</v>
      </c>
      <c r="D84" s="31" t="str">
        <f t="shared" si="1"/>
        <v>Supplying, assembling, and fixing single Phase Pure Copper , Self priming monoblock feed pump 2Hp including hire &amp; labour charges, fittings &amp; accessories etc. all complete, as per direction of Engineer-in-charge (Code: GWDDR081)</v>
      </c>
      <c r="E84" s="29" t="s">
        <v>43</v>
      </c>
      <c r="F84" s="32" t="s">
        <v>48</v>
      </c>
      <c r="G84" s="32" t="s">
        <v>557</v>
      </c>
      <c r="H84" s="33" t="s">
        <v>688</v>
      </c>
      <c r="I84" s="33">
        <f>WTP!H252</f>
        <v>25866.605</v>
      </c>
      <c r="J84" s="33">
        <f>WTP!I252</f>
        <v>331.9567</v>
      </c>
      <c r="K84" s="33">
        <f t="shared" si="2"/>
        <v>0</v>
      </c>
      <c r="L84" s="33">
        <f t="shared" si="3"/>
        <v>26198.5617</v>
      </c>
    </row>
    <row r="85">
      <c r="A85" s="29">
        <v>82.0</v>
      </c>
      <c r="B85" s="30" t="s">
        <v>700</v>
      </c>
      <c r="C85" s="31" t="str">
        <f>WTP!B254</f>
        <v>Supplying, assembling, and fixing sludge pump 1Hp, 220v, Max head 20m , 750W, Max flw 15000 lph including hire &amp; labour charges, fittings &amp; accessories etc. all complete, as per direction of Engineer-in-charge</v>
      </c>
      <c r="D85" s="31" t="str">
        <f t="shared" si="1"/>
        <v>Supplying, assembling, and fixing sludge pump 1Hp, 220v, Max head 20m , 750W, Max flw 15000 lph including hire &amp; labour charges, fittings &amp; accessories etc. all complete, as per direction of Engineer-in-charge (Code: GWDDR082)</v>
      </c>
      <c r="E85" s="29" t="s">
        <v>43</v>
      </c>
      <c r="F85" s="32" t="s">
        <v>48</v>
      </c>
      <c r="G85" s="32" t="s">
        <v>557</v>
      </c>
      <c r="H85" s="33" t="s">
        <v>701</v>
      </c>
      <c r="I85" s="33">
        <f>WTP!H267</f>
        <v>18911.543</v>
      </c>
      <c r="J85" s="33">
        <f>WTP!I267</f>
        <v>331.9567</v>
      </c>
      <c r="K85" s="33">
        <f t="shared" si="2"/>
        <v>0</v>
      </c>
      <c r="L85" s="33">
        <f t="shared" si="3"/>
        <v>19243.4997</v>
      </c>
    </row>
    <row r="86">
      <c r="A86" s="29">
        <v>83.0</v>
      </c>
      <c r="B86" s="30" t="s">
        <v>703</v>
      </c>
      <c r="C86" s="31" t="str">
        <f>WTP!B269</f>
        <v>Supplying, assembling, and fixing 5000 lph Stainless Steel UV Plant including hire &amp; labour charges, fittings &amp; accessories etc. all complete, as per direction of Engineer-in-charge</v>
      </c>
      <c r="D86" s="31" t="str">
        <f t="shared" si="1"/>
        <v>Supplying, assembling, and fixing 5000 lph Stainless Steel UV Plant including hire &amp; labour charges, fittings &amp; accessories etc. all complete, as per direction of Engineer-in-charge (Code: GWDDR083)</v>
      </c>
      <c r="E86" s="29" t="s">
        <v>43</v>
      </c>
      <c r="F86" s="32" t="s">
        <v>48</v>
      </c>
      <c r="G86" s="32" t="s">
        <v>557</v>
      </c>
      <c r="H86" s="33" t="s">
        <v>704</v>
      </c>
      <c r="I86" s="33">
        <f>WTP!H282</f>
        <v>47066.303</v>
      </c>
      <c r="J86" s="33">
        <f>WTP!I282</f>
        <v>331.9567</v>
      </c>
      <c r="K86" s="33">
        <f t="shared" si="2"/>
        <v>0</v>
      </c>
      <c r="L86" s="33">
        <f t="shared" si="3"/>
        <v>47398.2597</v>
      </c>
    </row>
    <row r="87">
      <c r="A87" s="29">
        <v>84.0</v>
      </c>
      <c r="B87" s="30" t="s">
        <v>705</v>
      </c>
      <c r="C87" s="31" t="str">
        <f>WTP!B283</f>
        <v>Supplying, assembling, and fixing 10000 lph UV Plant including hire &amp; labour charges, fittings &amp; accessories etc. all complete, as per direction of Engineer-in-charge</v>
      </c>
      <c r="D87" s="31" t="str">
        <f t="shared" si="1"/>
        <v>Supplying, assembling, and fixing 10000 lph UV Plant including hire &amp; labour charges, fittings &amp; accessories etc. all complete, as per direction of Engineer-in-charge (Code: GWDDR084)</v>
      </c>
      <c r="E87" s="29" t="s">
        <v>43</v>
      </c>
      <c r="F87" s="32" t="s">
        <v>48</v>
      </c>
      <c r="G87" s="32" t="s">
        <v>557</v>
      </c>
      <c r="H87" s="33" t="s">
        <v>704</v>
      </c>
      <c r="I87" s="33">
        <f>WTP!H296</f>
        <v>72593.75</v>
      </c>
      <c r="J87" s="33">
        <f>WTP!I296</f>
        <v>331.9567</v>
      </c>
      <c r="K87" s="33">
        <f t="shared" si="2"/>
        <v>0</v>
      </c>
      <c r="L87" s="33">
        <f t="shared" si="3"/>
        <v>72925.7067</v>
      </c>
    </row>
    <row r="88">
      <c r="A88" s="29">
        <v>85.0</v>
      </c>
      <c r="B88" s="30" t="s">
        <v>708</v>
      </c>
      <c r="C88" s="31" t="str">
        <f>WTP!B297</f>
        <v>Supplying, assembling, and fixing 15000 lph UV Plant including hire &amp; labour charges, fittings &amp; accessories etc. all complete, as per direction of Engineer-in-charge</v>
      </c>
      <c r="D88" s="31" t="str">
        <f t="shared" si="1"/>
        <v>Supplying, assembling, and fixing 15000 lph UV Plant including hire &amp; labour charges, fittings &amp; accessories etc. all complete, as per direction of Engineer-in-charge (Code: GWDDR085)</v>
      </c>
      <c r="E88" s="29" t="s">
        <v>43</v>
      </c>
      <c r="F88" s="32" t="s">
        <v>48</v>
      </c>
      <c r="G88" s="32" t="s">
        <v>557</v>
      </c>
      <c r="H88" s="33" t="s">
        <v>704</v>
      </c>
      <c r="I88" s="33">
        <f>WTP!H310</f>
        <v>82775.459</v>
      </c>
      <c r="J88" s="33">
        <f>WTP!I310</f>
        <v>331.9567</v>
      </c>
      <c r="K88" s="33">
        <f t="shared" si="2"/>
        <v>0</v>
      </c>
      <c r="L88" s="33">
        <f t="shared" si="3"/>
        <v>83107.4157</v>
      </c>
    </row>
    <row r="89">
      <c r="A89" s="29">
        <v>86.0</v>
      </c>
      <c r="B89" s="30" t="s">
        <v>709</v>
      </c>
      <c r="C89" s="31" t="str">
        <f>WTP!B312</f>
        <v>Supplying, assembling, and fixing automatic treatment plant controller including automation of plant, hire &amp; labour charges, fittings &amp; accessories etc. all complete, as per direction of Engineer-in-charge</v>
      </c>
      <c r="D89" s="31" t="str">
        <f t="shared" si="1"/>
        <v>Supplying, assembling, and fixing automatic treatment plant controller including automation of plant, hire &amp; labour charges, fittings &amp; accessories etc. all complete, as per direction of Engineer-in-charge (Code: GWDDR086)</v>
      </c>
      <c r="E89" s="29" t="s">
        <v>43</v>
      </c>
      <c r="F89" s="32" t="s">
        <v>48</v>
      </c>
      <c r="G89" s="32" t="s">
        <v>557</v>
      </c>
      <c r="H89" s="33" t="s">
        <v>711</v>
      </c>
      <c r="I89" s="33">
        <f>WTP!H325</f>
        <v>37748.75</v>
      </c>
      <c r="J89" s="33">
        <f>WTP!I325</f>
        <v>331.9567</v>
      </c>
      <c r="K89" s="33">
        <f t="shared" si="2"/>
        <v>0</v>
      </c>
      <c r="L89" s="33">
        <f t="shared" si="3"/>
        <v>38080.7067</v>
      </c>
    </row>
    <row r="90">
      <c r="A90" s="29">
        <v>87.0</v>
      </c>
      <c r="B90" s="30" t="s">
        <v>713</v>
      </c>
      <c r="C90" s="31" t="str">
        <f>WTP!B327</f>
        <v>Supplying, assembling, and fixing 63mm pressure gauge including hire &amp; labour charges, fittings &amp; accessories etc. all complete, as per direction of Engineer-in-charge</v>
      </c>
      <c r="D90" s="31" t="str">
        <f t="shared" si="1"/>
        <v>Supplying, assembling, and fixing 63mm pressure gauge including hire &amp; labour charges, fittings &amp; accessories etc. all complete, as per direction of Engineer-in-charge (Code: GWDDR087)</v>
      </c>
      <c r="E90" s="29" t="s">
        <v>43</v>
      </c>
      <c r="F90" s="32" t="s">
        <v>48</v>
      </c>
      <c r="G90" s="32" t="s">
        <v>557</v>
      </c>
      <c r="H90" s="33" t="s">
        <v>714</v>
      </c>
      <c r="I90" s="33">
        <f>WTP!H339</f>
        <v>3252.2</v>
      </c>
      <c r="J90" s="33">
        <f>WTP!I339</f>
        <v>38.16689</v>
      </c>
      <c r="K90" s="33">
        <f t="shared" si="2"/>
        <v>0</v>
      </c>
      <c r="L90" s="33">
        <f t="shared" si="3"/>
        <v>3290.36689</v>
      </c>
    </row>
    <row r="91">
      <c r="A91" s="29">
        <v>88.0</v>
      </c>
      <c r="B91" s="30" t="s">
        <v>716</v>
      </c>
      <c r="C91" s="31" t="str">
        <f>WTP!B341</f>
        <v>Supplying and filling, Silex, Fine sand and Pressure sand including hire &amp; labour charges, carriage etc complete, as per direction of Engineer-in-charge</v>
      </c>
      <c r="D91" s="31" t="str">
        <f t="shared" si="1"/>
        <v>Supplying and filling, Silex, Fine sand and Pressure sand including hire &amp; labour charges, carriage etc complete, as per direction of Engineer-in-charge (Code: GWDDR088)</v>
      </c>
      <c r="E91" s="29" t="s">
        <v>717</v>
      </c>
      <c r="F91" s="32" t="s">
        <v>48</v>
      </c>
      <c r="G91" s="32" t="s">
        <v>557</v>
      </c>
      <c r="H91" s="33" t="s">
        <v>718</v>
      </c>
      <c r="I91" s="33">
        <f>WTP!H353</f>
        <v>2323</v>
      </c>
      <c r="J91" s="33">
        <f>WTP!I353</f>
        <v>449.5005</v>
      </c>
      <c r="K91" s="33">
        <f t="shared" si="2"/>
        <v>0</v>
      </c>
      <c r="L91" s="33">
        <f t="shared" si="3"/>
        <v>2772.5005</v>
      </c>
    </row>
    <row r="92">
      <c r="A92" s="29">
        <v>89.0</v>
      </c>
      <c r="B92" s="30" t="s">
        <v>719</v>
      </c>
      <c r="C92" s="31" t="str">
        <f>WTP!B354</f>
        <v>Supplying and filling, Katalox iron remover including hire &amp; labour charges, carriage etc. all complete, as per direction of Engineer-in-charge</v>
      </c>
      <c r="D92" s="31" t="str">
        <f t="shared" si="1"/>
        <v>Supplying and filling, Katalox iron remover including hire &amp; labour charges, carriage etc. all complete, as per direction of Engineer-in-charge (Code: GWDDR089)</v>
      </c>
      <c r="E92" s="29" t="s">
        <v>717</v>
      </c>
      <c r="F92" s="32" t="s">
        <v>48</v>
      </c>
      <c r="G92" s="32" t="s">
        <v>557</v>
      </c>
      <c r="H92" s="33" t="s">
        <v>718</v>
      </c>
      <c r="I92" s="33">
        <f>WTP!H366</f>
        <v>40652.5</v>
      </c>
      <c r="J92" s="33">
        <f>WTP!I366</f>
        <v>449.5005</v>
      </c>
      <c r="K92" s="33">
        <f t="shared" si="2"/>
        <v>0</v>
      </c>
      <c r="L92" s="33">
        <f t="shared" si="3"/>
        <v>41102.0005</v>
      </c>
    </row>
    <row r="93">
      <c r="A93" s="29">
        <v>90.0</v>
      </c>
      <c r="B93" s="30" t="s">
        <v>724</v>
      </c>
      <c r="C93" s="31" t="str">
        <f>WTP!B367</f>
        <v>Supplying and filling, Activated carbon IV 1050 including hire &amp; labour charges, carriage etc. all complete, as per direction of Engineer-in-charge</v>
      </c>
      <c r="D93" s="31" t="str">
        <f t="shared" si="1"/>
        <v>Supplying and filling, Activated carbon IV 1050 including hire &amp; labour charges, carriage etc. all complete, as per direction of Engineer-in-charge (Code: GWDDR090)</v>
      </c>
      <c r="E93" s="29" t="s">
        <v>717</v>
      </c>
      <c r="F93" s="32" t="s">
        <v>48</v>
      </c>
      <c r="G93" s="32" t="s">
        <v>557</v>
      </c>
      <c r="H93" s="33" t="s">
        <v>718</v>
      </c>
      <c r="I93" s="33">
        <f>WTP!H379</f>
        <v>36006.5</v>
      </c>
      <c r="J93" s="33">
        <f>WTP!I379</f>
        <v>449.5005</v>
      </c>
      <c r="K93" s="33">
        <f t="shared" si="2"/>
        <v>0</v>
      </c>
      <c r="L93" s="33">
        <f t="shared" si="3"/>
        <v>36456.0005</v>
      </c>
    </row>
    <row r="94">
      <c r="A94" s="29">
        <v>91.0</v>
      </c>
      <c r="B94" s="30" t="s">
        <v>737</v>
      </c>
      <c r="C94" s="31" t="str">
        <f>WTP!B381</f>
        <v>Supplying and filling, liquid chlorine including hire &amp; labour charges, carriage etc. all complete, as per direction of Engineer-in-charge</v>
      </c>
      <c r="D94" s="31" t="str">
        <f t="shared" si="1"/>
        <v>Supplying and filling, liquid chlorine including hire &amp; labour charges, carriage etc. all complete, as per direction of Engineer-in-charge (Code: GWDDR091)</v>
      </c>
      <c r="E94" s="29" t="s">
        <v>738</v>
      </c>
      <c r="F94" s="32" t="s">
        <v>48</v>
      </c>
      <c r="G94" s="32" t="s">
        <v>557</v>
      </c>
      <c r="H94" s="33" t="s">
        <v>739</v>
      </c>
      <c r="I94" s="33">
        <f>WTP!H393</f>
        <v>1236.41675</v>
      </c>
      <c r="J94" s="33">
        <f>WTP!I393</f>
        <v>74.91675</v>
      </c>
      <c r="K94" s="33">
        <f t="shared" si="2"/>
        <v>0</v>
      </c>
      <c r="L94" s="33">
        <f t="shared" si="3"/>
        <v>1311.3335</v>
      </c>
    </row>
    <row r="95">
      <c r="A95" s="29">
        <v>92.0</v>
      </c>
      <c r="B95" s="30" t="s">
        <v>740</v>
      </c>
      <c r="C95" s="31" t="str">
        <f>WTP!B394</f>
        <v>Supplying and filling, liquid alum including hire &amp; labour charges, fittings &amp; accessories etc. all complete, as per direction of Engineer-in-charge</v>
      </c>
      <c r="D95" s="31" t="str">
        <f t="shared" si="1"/>
        <v>Supplying and filling, liquid alum including hire &amp; labour charges, fittings &amp; accessories etc. all complete, as per direction of Engineer-in-charge (Code: GWDDR092)</v>
      </c>
      <c r="E95" s="29" t="s">
        <v>738</v>
      </c>
      <c r="F95" s="32" t="s">
        <v>48</v>
      </c>
      <c r="G95" s="32" t="s">
        <v>557</v>
      </c>
      <c r="H95" s="33" t="s">
        <v>739</v>
      </c>
      <c r="I95" s="33">
        <f>WTP!H406</f>
        <v>968.400625</v>
      </c>
      <c r="J95" s="33">
        <f>WTP!I406</f>
        <v>74.91675</v>
      </c>
      <c r="K95" s="33">
        <f t="shared" si="2"/>
        <v>0</v>
      </c>
      <c r="L95" s="33">
        <f t="shared" si="3"/>
        <v>1043.317375</v>
      </c>
    </row>
    <row r="96">
      <c r="A96" s="29">
        <v>93.0</v>
      </c>
      <c r="B96" s="30" t="s">
        <v>741</v>
      </c>
      <c r="C96" s="31" t="str">
        <f>WTP!B408</f>
        <v>Plant installation charges including labour and materials for supports, stand, PVC connection pipes, PVC valves, air valves etc complete. all complete</v>
      </c>
      <c r="D96" s="31" t="str">
        <f t="shared" si="1"/>
        <v>Plant installation charges including labour and materials for supports, stand, PVC connection pipes, PVC valves, air valves etc complete. all complete (Code: GWDDR093)</v>
      </c>
      <c r="E96" s="29" t="s">
        <v>43</v>
      </c>
      <c r="F96" s="32" t="s">
        <v>48</v>
      </c>
      <c r="G96" s="32" t="s">
        <v>557</v>
      </c>
      <c r="H96" s="32" t="s">
        <v>744</v>
      </c>
      <c r="I96" s="33">
        <f>WTP!H452</f>
        <v>18989.76</v>
      </c>
      <c r="J96" s="33">
        <f>WTP!I452</f>
        <v>7033.08</v>
      </c>
      <c r="K96" s="33">
        <f t="shared" si="2"/>
        <v>0</v>
      </c>
      <c r="L96" s="33">
        <f t="shared" si="3"/>
        <v>26022.84</v>
      </c>
    </row>
    <row r="97">
      <c r="A97" s="29">
        <v>94.0</v>
      </c>
      <c r="B97" s="30" t="s">
        <v>747</v>
      </c>
      <c r="C97" s="31" t="str">
        <f>WTP!B454</f>
        <v>Plant inspection, maintenance, cleaning, back wash, sludge removal, sample collection and correction of Dosing etc complete, and water quality checking (except filling chemicals)</v>
      </c>
      <c r="D97" s="31" t="str">
        <f t="shared" si="1"/>
        <v>Plant inspection, maintenance, cleaning, back wash, sludge removal, sample collection and correction of Dosing etc complete, and water quality checking (except filling chemicals) (Code: GWDDR094)</v>
      </c>
      <c r="E97" s="29" t="s">
        <v>749</v>
      </c>
      <c r="F97" s="32" t="s">
        <v>48</v>
      </c>
      <c r="G97" s="32" t="s">
        <v>557</v>
      </c>
      <c r="H97" s="33" t="s">
        <v>750</v>
      </c>
      <c r="I97" s="33">
        <f>WTP!H465</f>
        <v>5500</v>
      </c>
      <c r="J97" s="33">
        <f>WTP!I465</f>
        <v>869.9635</v>
      </c>
      <c r="K97" s="33">
        <f t="shared" si="2"/>
        <v>0</v>
      </c>
      <c r="L97" s="33">
        <f t="shared" si="3"/>
        <v>6369.9635</v>
      </c>
    </row>
    <row r="98">
      <c r="A98" s="29">
        <v>95.0</v>
      </c>
      <c r="B98" s="30" t="s">
        <v>753</v>
      </c>
      <c r="C98" s="31" t="str">
        <f>'GI Works'!A3</f>
        <v>GI work in single section, fixed with or without connecting plate, including cutting, hoisting, fixing in position and applying a priming coat of approved steel primer all complete.</v>
      </c>
      <c r="D98" s="31" t="str">
        <f t="shared" si="1"/>
        <v>GI work in single section, fixed with or without connecting plate, including cutting, hoisting, fixing in position and applying a priming coat of approved steel primer all complete. (Code: GWDDR095)</v>
      </c>
      <c r="E98" s="29" t="s">
        <v>759</v>
      </c>
      <c r="F98" s="32" t="s">
        <v>48</v>
      </c>
      <c r="G98" s="32" t="s">
        <v>49</v>
      </c>
      <c r="H98" s="32" t="s">
        <v>760</v>
      </c>
      <c r="I98" s="32">
        <v>0.0</v>
      </c>
      <c r="J98" s="32">
        <f>'GI Works'!F29</f>
        <v>151.039957</v>
      </c>
      <c r="K98" s="33">
        <f t="shared" si="2"/>
        <v>0</v>
      </c>
      <c r="L98" s="33">
        <f t="shared" si="3"/>
        <v>151.039957</v>
      </c>
    </row>
    <row r="99">
      <c r="A99" s="29">
        <v>96.0</v>
      </c>
      <c r="B99" s="30" t="s">
        <v>763</v>
      </c>
      <c r="C99" s="73" t="str">
        <f>Services!B2</f>
        <v>Hydrogeological Investigation (Domestic)</v>
      </c>
      <c r="D99" s="31" t="str">
        <f t="shared" si="1"/>
        <v>Hydrogeological Investigation (Domestic) (Code: GWDDR096)</v>
      </c>
      <c r="E99" s="93" t="str">
        <f>Services!C2</f>
        <v>each visit</v>
      </c>
      <c r="F99" s="32" t="s">
        <v>48</v>
      </c>
      <c r="G99" s="32" t="s">
        <v>765</v>
      </c>
      <c r="H99" s="32" t="s">
        <v>765</v>
      </c>
      <c r="I99" s="96">
        <f>Services!D2</f>
        <v>585</v>
      </c>
      <c r="J99" s="32">
        <v>0.0</v>
      </c>
      <c r="K99" s="33">
        <f t="shared" si="2"/>
        <v>0</v>
      </c>
      <c r="L99" s="33">
        <f t="shared" si="3"/>
        <v>585</v>
      </c>
    </row>
    <row r="100">
      <c r="A100" s="29">
        <v>97.0</v>
      </c>
      <c r="B100" s="30" t="s">
        <v>769</v>
      </c>
      <c r="C100" s="73" t="str">
        <f>Services!B3</f>
        <v>Hydrogeological Investigation (Institution)</v>
      </c>
      <c r="D100" s="31" t="str">
        <f t="shared" si="1"/>
        <v>Hydrogeological Investigation (Institution) (Code: GWDDR097)</v>
      </c>
      <c r="E100" s="93" t="str">
        <f>Services!C3</f>
        <v>each visit</v>
      </c>
      <c r="F100" s="32" t="s">
        <v>48</v>
      </c>
      <c r="G100" s="32" t="s">
        <v>765</v>
      </c>
      <c r="H100" s="32" t="s">
        <v>765</v>
      </c>
      <c r="I100" s="96">
        <f>Services!D3</f>
        <v>1935</v>
      </c>
      <c r="J100" s="32">
        <v>0.0</v>
      </c>
      <c r="K100" s="33">
        <f t="shared" si="2"/>
        <v>0</v>
      </c>
      <c r="L100" s="33">
        <f t="shared" si="3"/>
        <v>1935</v>
      </c>
    </row>
    <row r="101">
      <c r="A101" s="29">
        <v>98.0</v>
      </c>
      <c r="B101" s="30" t="s">
        <v>776</v>
      </c>
      <c r="C101" s="73" t="str">
        <f>Services!B4</f>
        <v>Hydrogeological Investigation (Industrial)</v>
      </c>
      <c r="D101" s="31" t="str">
        <f t="shared" si="1"/>
        <v>Hydrogeological Investigation (Industrial) (Code: GWDDR098)</v>
      </c>
      <c r="E101" s="93" t="str">
        <f>Services!C4</f>
        <v>each visit</v>
      </c>
      <c r="F101" s="32" t="s">
        <v>48</v>
      </c>
      <c r="G101" s="32" t="s">
        <v>765</v>
      </c>
      <c r="H101" s="32" t="s">
        <v>765</v>
      </c>
      <c r="I101" s="96">
        <f>Services!D4</f>
        <v>3860</v>
      </c>
      <c r="J101" s="32">
        <v>0.0</v>
      </c>
      <c r="K101" s="33">
        <f t="shared" si="2"/>
        <v>0</v>
      </c>
      <c r="L101" s="33">
        <f t="shared" si="3"/>
        <v>3860</v>
      </c>
    </row>
    <row r="102">
      <c r="A102" s="29">
        <v>99.0</v>
      </c>
      <c r="B102" s="30" t="s">
        <v>779</v>
      </c>
      <c r="C102" s="31" t="str">
        <f>Services!B5</f>
        <v>Geophysical Logging</v>
      </c>
      <c r="D102" s="31" t="str">
        <f t="shared" si="1"/>
        <v>Geophysical Logging (Code: GWDDR099)</v>
      </c>
      <c r="E102" s="96" t="str">
        <f>Services!C5</f>
        <v>each</v>
      </c>
      <c r="F102" s="32" t="s">
        <v>48</v>
      </c>
      <c r="G102" s="32" t="s">
        <v>765</v>
      </c>
      <c r="H102" s="32" t="s">
        <v>765</v>
      </c>
      <c r="I102" s="96">
        <f>Services!D5</f>
        <v>14475</v>
      </c>
      <c r="J102" s="32">
        <v>0.0</v>
      </c>
      <c r="K102" s="33">
        <f t="shared" si="2"/>
        <v>0</v>
      </c>
      <c r="L102" s="33">
        <f t="shared" si="3"/>
        <v>14475</v>
      </c>
    </row>
    <row r="103">
      <c r="A103" s="29">
        <v>100.0</v>
      </c>
      <c r="B103" s="30" t="s">
        <v>784</v>
      </c>
      <c r="C103" s="31" t="str">
        <f>Services!B6</f>
        <v>110mm (4.5") Borewell Drilling</v>
      </c>
      <c r="D103" s="31" t="str">
        <f t="shared" si="1"/>
        <v>110mm (4.5") Borewell Drilling (Code: GWDDR100)</v>
      </c>
      <c r="E103" s="96" t="str">
        <f>Services!C6</f>
        <v>meter</v>
      </c>
      <c r="F103" s="32" t="s">
        <v>48</v>
      </c>
      <c r="G103" s="32" t="s">
        <v>118</v>
      </c>
      <c r="H103" s="32" t="s">
        <v>786</v>
      </c>
      <c r="I103" s="96">
        <f>Services!D6</f>
        <v>390</v>
      </c>
      <c r="J103" s="32">
        <v>0.0</v>
      </c>
      <c r="K103" s="33">
        <f t="shared" si="2"/>
        <v>0</v>
      </c>
      <c r="L103" s="33">
        <f t="shared" si="3"/>
        <v>390</v>
      </c>
    </row>
    <row r="104">
      <c r="A104" s="29">
        <v>101.0</v>
      </c>
      <c r="B104" s="30" t="s">
        <v>789</v>
      </c>
      <c r="C104" s="31" t="str">
        <f>Services!B7</f>
        <v>150mm (6") Borewell Drilling</v>
      </c>
      <c r="D104" s="31" t="str">
        <f t="shared" si="1"/>
        <v>150mm (6") Borewell Drilling (Code: GWDDR101)</v>
      </c>
      <c r="E104" s="96" t="str">
        <f>Services!C7</f>
        <v>meter</v>
      </c>
      <c r="F104" s="32" t="s">
        <v>48</v>
      </c>
      <c r="G104" s="32" t="s">
        <v>118</v>
      </c>
      <c r="H104" s="32" t="s">
        <v>786</v>
      </c>
      <c r="I104" s="96">
        <f>Services!D7</f>
        <v>665</v>
      </c>
      <c r="J104" s="32">
        <v>0.0</v>
      </c>
      <c r="K104" s="33">
        <f t="shared" si="2"/>
        <v>0</v>
      </c>
      <c r="L104" s="33">
        <f t="shared" si="3"/>
        <v>665</v>
      </c>
    </row>
    <row r="105">
      <c r="A105" s="29">
        <v>102.0</v>
      </c>
      <c r="B105" s="30" t="s">
        <v>796</v>
      </c>
      <c r="C105" s="31" t="str">
        <f>Services!B8</f>
        <v>150mm (6") Tubewell Drilling</v>
      </c>
      <c r="D105" s="31" t="str">
        <f t="shared" si="1"/>
        <v>150mm (6") Tubewell Drilling (Code: GWDDR102)</v>
      </c>
      <c r="E105" s="96" t="str">
        <f>Services!C8</f>
        <v>meter</v>
      </c>
      <c r="F105" s="32" t="s">
        <v>48</v>
      </c>
      <c r="G105" s="32" t="s">
        <v>235</v>
      </c>
      <c r="H105" s="32" t="s">
        <v>798</v>
      </c>
      <c r="I105" s="96">
        <f>Services!D8</f>
        <v>2315</v>
      </c>
      <c r="J105" s="32">
        <v>0.0</v>
      </c>
      <c r="K105" s="33">
        <f t="shared" si="2"/>
        <v>0</v>
      </c>
      <c r="L105" s="33">
        <f t="shared" si="3"/>
        <v>2315</v>
      </c>
    </row>
    <row r="106">
      <c r="A106" s="29">
        <v>103.0</v>
      </c>
      <c r="B106" s="30" t="s">
        <v>799</v>
      </c>
      <c r="C106" s="31" t="str">
        <f>Services!B9</f>
        <v>Tubewell Drilling 200mm (8")</v>
      </c>
      <c r="D106" s="31" t="str">
        <f t="shared" si="1"/>
        <v>Tubewell Drilling 200mm (8") (Code: GWDDR103)</v>
      </c>
      <c r="E106" s="96" t="str">
        <f>Services!C9</f>
        <v>meter</v>
      </c>
      <c r="F106" s="32" t="s">
        <v>48</v>
      </c>
      <c r="G106" s="32" t="s">
        <v>235</v>
      </c>
      <c r="H106" s="32" t="s">
        <v>798</v>
      </c>
      <c r="I106" s="96">
        <f>Services!D9</f>
        <v>2980</v>
      </c>
      <c r="J106" s="32">
        <v>0.0</v>
      </c>
      <c r="K106" s="33">
        <f t="shared" si="2"/>
        <v>0</v>
      </c>
      <c r="L106" s="33">
        <f t="shared" si="3"/>
        <v>2980</v>
      </c>
    </row>
    <row r="107">
      <c r="A107" s="29">
        <v>104.0</v>
      </c>
      <c r="B107" s="30" t="s">
        <v>801</v>
      </c>
      <c r="C107" s="31" t="str">
        <f>Services!B10</f>
        <v>110mm (4.5") Filterpoint Well Drilling</v>
      </c>
      <c r="D107" s="31" t="str">
        <f t="shared" si="1"/>
        <v>110mm (4.5") Filterpoint Well Drilling (Code: GWDDR104)</v>
      </c>
      <c r="E107" s="96" t="str">
        <f>Services!C10</f>
        <v>meter</v>
      </c>
      <c r="F107" s="32" t="s">
        <v>48</v>
      </c>
      <c r="G107" s="32" t="s">
        <v>803</v>
      </c>
      <c r="H107" s="32" t="s">
        <v>804</v>
      </c>
      <c r="I107" s="96">
        <f>Services!D10</f>
        <v>255</v>
      </c>
      <c r="J107" s="32">
        <v>0.0</v>
      </c>
      <c r="K107" s="33">
        <f t="shared" si="2"/>
        <v>0</v>
      </c>
      <c r="L107" s="33">
        <f t="shared" si="3"/>
        <v>255</v>
      </c>
    </row>
    <row r="108">
      <c r="A108" s="29">
        <v>105.0</v>
      </c>
      <c r="B108" s="30" t="s">
        <v>805</v>
      </c>
      <c r="C108" s="31" t="str">
        <f>Services!B11</f>
        <v>Flushing (Developing) Borewell</v>
      </c>
      <c r="D108" s="31" t="str">
        <f t="shared" si="1"/>
        <v>Flushing (Developing) Borewell (Code: GWDDR105)</v>
      </c>
      <c r="E108" s="96" t="str">
        <f>Services!C11</f>
        <v>each</v>
      </c>
      <c r="F108" s="32" t="s">
        <v>48</v>
      </c>
      <c r="G108" s="32" t="s">
        <v>807</v>
      </c>
      <c r="H108" s="32" t="s">
        <v>807</v>
      </c>
      <c r="I108" s="96">
        <f>Services!D11</f>
        <v>5790</v>
      </c>
      <c r="J108" s="32">
        <v>0.0</v>
      </c>
      <c r="K108" s="33">
        <f t="shared" si="2"/>
        <v>0</v>
      </c>
      <c r="L108" s="33">
        <f t="shared" si="3"/>
        <v>5790</v>
      </c>
    </row>
    <row r="109">
      <c r="A109" s="29">
        <v>106.0</v>
      </c>
      <c r="B109" s="30" t="s">
        <v>809</v>
      </c>
      <c r="C109" s="31" t="str">
        <f>Services!B12</f>
        <v>Flushing (Developing) Tubewell</v>
      </c>
      <c r="D109" s="31" t="str">
        <f t="shared" si="1"/>
        <v>Flushing (Developing) Tubewell (Code: GWDDR106)</v>
      </c>
      <c r="E109" s="96" t="str">
        <f>Services!C12</f>
        <v>each</v>
      </c>
      <c r="F109" s="32" t="s">
        <v>48</v>
      </c>
      <c r="G109" s="32" t="s">
        <v>807</v>
      </c>
      <c r="H109" s="32" t="s">
        <v>807</v>
      </c>
      <c r="I109" s="96">
        <f>Services!D12</f>
        <v>15435</v>
      </c>
      <c r="J109" s="32">
        <v>0.0</v>
      </c>
      <c r="K109" s="33">
        <f t="shared" si="2"/>
        <v>0</v>
      </c>
      <c r="L109" s="33">
        <f t="shared" si="3"/>
        <v>15435</v>
      </c>
    </row>
    <row r="110">
      <c r="A110" s="29">
        <v>107.0</v>
      </c>
      <c r="B110" s="30" t="s">
        <v>815</v>
      </c>
      <c r="C110" s="31" t="str">
        <f>Services!B13</f>
        <v>Flushing (Developing) Filterpoint well</v>
      </c>
      <c r="D110" s="31" t="str">
        <f t="shared" si="1"/>
        <v>Flushing (Developing) Filterpoint well (Code: GWDDR107)</v>
      </c>
      <c r="E110" s="96" t="str">
        <f>Services!C13</f>
        <v>each</v>
      </c>
      <c r="F110" s="32" t="s">
        <v>48</v>
      </c>
      <c r="G110" s="32" t="s">
        <v>807</v>
      </c>
      <c r="H110" s="32" t="s">
        <v>807</v>
      </c>
      <c r="I110" s="96">
        <f>Services!D13</f>
        <v>2870</v>
      </c>
      <c r="J110" s="32">
        <v>0.0</v>
      </c>
      <c r="K110" s="33">
        <f t="shared" si="2"/>
        <v>0</v>
      </c>
      <c r="L110" s="33">
        <f t="shared" si="3"/>
        <v>2870</v>
      </c>
    </row>
    <row r="111">
      <c r="A111" s="29">
        <v>108.0</v>
      </c>
      <c r="B111" s="30" t="s">
        <v>817</v>
      </c>
      <c r="C111" s="31" t="str">
        <f>Services!B14</f>
        <v>Water Quality Testing (Domestic)</v>
      </c>
      <c r="D111" s="31" t="str">
        <f t="shared" si="1"/>
        <v>Water Quality Testing (Domestic) (Code: GWDDR108)</v>
      </c>
      <c r="E111" s="96" t="str">
        <f>Services!C14</f>
        <v>each sample</v>
      </c>
      <c r="F111" s="32" t="s">
        <v>48</v>
      </c>
      <c r="G111" s="32" t="s">
        <v>818</v>
      </c>
      <c r="H111" s="32" t="s">
        <v>818</v>
      </c>
      <c r="I111" s="96">
        <f>Services!D14</f>
        <v>445</v>
      </c>
      <c r="J111" s="32">
        <v>0.0</v>
      </c>
      <c r="K111" s="33">
        <f t="shared" si="2"/>
        <v>0</v>
      </c>
      <c r="L111" s="33">
        <f t="shared" si="3"/>
        <v>445</v>
      </c>
    </row>
    <row r="112">
      <c r="A112" s="29">
        <v>109.0</v>
      </c>
      <c r="B112" s="30" t="s">
        <v>819</v>
      </c>
      <c r="C112" s="31" t="str">
        <f>Services!B15</f>
        <v>Water Quality Testing (Industrial)</v>
      </c>
      <c r="D112" s="31" t="str">
        <f t="shared" si="1"/>
        <v>Water Quality Testing (Industrial) (Code: GWDDR109)</v>
      </c>
      <c r="E112" s="96" t="str">
        <f>Services!C15</f>
        <v>each sample</v>
      </c>
      <c r="F112" s="32" t="s">
        <v>48</v>
      </c>
      <c r="G112" s="32" t="s">
        <v>818</v>
      </c>
      <c r="H112" s="32" t="s">
        <v>818</v>
      </c>
      <c r="I112" s="96">
        <f>Services!D15</f>
        <v>1105</v>
      </c>
      <c r="J112" s="32">
        <v>0.0</v>
      </c>
      <c r="K112" s="33">
        <f t="shared" si="2"/>
        <v>0</v>
      </c>
      <c r="L112" s="33">
        <f t="shared" si="3"/>
        <v>1105</v>
      </c>
    </row>
    <row r="113">
      <c r="A113" s="29">
        <v>110.0</v>
      </c>
      <c r="B113" s="30" t="s">
        <v>820</v>
      </c>
      <c r="C113" s="31" t="str">
        <f>'Pump Pullout'!B2</f>
        <v>Borewell submersible pump pullout charges upto 3 HP</v>
      </c>
      <c r="D113" s="31" t="str">
        <f t="shared" si="1"/>
        <v>Borewell submersible pump pullout charges upto 3 HP (Code: GWDDR110)</v>
      </c>
      <c r="E113" s="96" t="s">
        <v>43</v>
      </c>
      <c r="F113" s="32" t="s">
        <v>48</v>
      </c>
      <c r="G113" s="32" t="s">
        <v>49</v>
      </c>
      <c r="H113" s="32" t="s">
        <v>821</v>
      </c>
      <c r="I113" s="116">
        <f>'Pump Pullout'!F9</f>
        <v>0</v>
      </c>
      <c r="J113" s="32">
        <f>'Pump Pullout'!F17</f>
        <v>3402</v>
      </c>
      <c r="K113" s="33">
        <f t="shared" si="2"/>
        <v>0</v>
      </c>
      <c r="L113" s="33">
        <f t="shared" si="3"/>
        <v>3402</v>
      </c>
    </row>
    <row r="114">
      <c r="A114" s="29">
        <v>111.0</v>
      </c>
      <c r="B114" s="30" t="s">
        <v>823</v>
      </c>
      <c r="C114" s="31" t="str">
        <f>'Pump Pullout'!B19</f>
        <v>Borewell submersible pump pullout charges above 3 H.P. To 7.5 H.P.</v>
      </c>
      <c r="D114" s="31" t="str">
        <f t="shared" si="1"/>
        <v>Borewell submersible pump pullout charges above 3 H.P. To 7.5 H.P. (Code: GWDDR111)</v>
      </c>
      <c r="E114" s="96" t="s">
        <v>43</v>
      </c>
      <c r="F114" s="32" t="s">
        <v>48</v>
      </c>
      <c r="G114" s="32" t="s">
        <v>49</v>
      </c>
      <c r="H114" s="32" t="s">
        <v>821</v>
      </c>
      <c r="I114" s="116">
        <f>'Pump Pullout'!F26</f>
        <v>0</v>
      </c>
      <c r="J114" s="32">
        <f>'Pump Pullout'!F34</f>
        <v>4273</v>
      </c>
      <c r="K114" s="33">
        <f t="shared" si="2"/>
        <v>0</v>
      </c>
      <c r="L114" s="33">
        <f t="shared" si="3"/>
        <v>4273</v>
      </c>
    </row>
    <row r="115">
      <c r="A115" s="29">
        <v>112.0</v>
      </c>
      <c r="B115" s="30" t="s">
        <v>827</v>
      </c>
      <c r="C115" s="31" t="str">
        <f>'Pump Pullout'!B36</f>
        <v>Borewell submersible pump pullout charges above 7.5 H.P.</v>
      </c>
      <c r="D115" s="31" t="str">
        <f t="shared" si="1"/>
        <v>Borewell submersible pump pullout charges above 7.5 H.P. (Code: GWDDR112)</v>
      </c>
      <c r="E115" s="96" t="s">
        <v>43</v>
      </c>
      <c r="F115" s="32" t="s">
        <v>48</v>
      </c>
      <c r="G115" s="32" t="s">
        <v>49</v>
      </c>
      <c r="H115" s="32" t="s">
        <v>821</v>
      </c>
      <c r="I115" s="116">
        <f>'Pump Pullout'!F43</f>
        <v>0</v>
      </c>
      <c r="J115" s="32">
        <f>'Pump Pullout'!F51</f>
        <v>5144</v>
      </c>
      <c r="K115" s="33">
        <f t="shared" si="2"/>
        <v>0</v>
      </c>
      <c r="L115" s="33">
        <f t="shared" si="3"/>
        <v>5144</v>
      </c>
    </row>
    <row r="116">
      <c r="A116" s="29">
        <v>114.0</v>
      </c>
      <c r="B116" s="30" t="s">
        <v>831</v>
      </c>
      <c r="C116" s="31" t="str">
        <f>'Pump Pullout'!B53</f>
        <v>Compressor pump detaching charge</v>
      </c>
      <c r="D116" s="31" t="str">
        <f t="shared" si="1"/>
        <v>Compressor pump detaching charge (Code: GWDDR114)</v>
      </c>
      <c r="E116" s="96" t="s">
        <v>43</v>
      </c>
      <c r="F116" s="32" t="s">
        <v>48</v>
      </c>
      <c r="G116" s="32" t="s">
        <v>49</v>
      </c>
      <c r="H116" s="32" t="s">
        <v>821</v>
      </c>
      <c r="I116" s="96">
        <v>0.0</v>
      </c>
      <c r="J116" s="32">
        <f>'Pump Pullout'!F62</f>
        <v>1875</v>
      </c>
      <c r="K116" s="33">
        <f t="shared" si="2"/>
        <v>0</v>
      </c>
      <c r="L116" s="33">
        <f t="shared" si="3"/>
        <v>1875</v>
      </c>
    </row>
    <row r="117">
      <c r="A117" s="29">
        <v>115.0</v>
      </c>
      <c r="B117" s="30" t="s">
        <v>832</v>
      </c>
      <c r="C117" s="31" t="str">
        <f>'Three Core Cable PRICE'!A3</f>
        <v>Supply and drawing FRLS PVC insulated &amp; sheathed 650/1100 V grade 3 core copper conductor flat cable for submersible pump motor conforming to IS 694 part I 1990 as required including giving necessary connections of the following sizes. 1.50 sq mm (90.6.6.1)</v>
      </c>
      <c r="D117" s="31" t="str">
        <f t="shared" si="1"/>
        <v>Supply and drawing FRLS PVC insulated &amp; sheathed 650/1100 V grade 3 core copper conductor flat cable for submersible pump motor conforming to IS 694 part I 1990 as required including giving necessary connections of the following sizes. 1.50 sq mm (90.6.6.1) (Code: GWDDR115)</v>
      </c>
      <c r="E117" s="29" t="s">
        <v>22</v>
      </c>
      <c r="F117" s="32" t="s">
        <v>48</v>
      </c>
      <c r="G117" s="32" t="s">
        <v>49</v>
      </c>
      <c r="H117" s="32" t="s">
        <v>833</v>
      </c>
      <c r="I117" s="116">
        <f>'Three Core Cable PRICE'!H29</f>
        <v>57.64255722</v>
      </c>
      <c r="J117" s="116">
        <f>'Three Core Cable PRICE'!I29</f>
        <v>9.45438</v>
      </c>
      <c r="K117" s="33">
        <f t="shared" si="2"/>
        <v>0</v>
      </c>
      <c r="L117" s="33">
        <f t="shared" si="3"/>
        <v>67.09693722</v>
      </c>
    </row>
    <row r="118">
      <c r="A118" s="29">
        <v>116.0</v>
      </c>
      <c r="B118" s="30" t="s">
        <v>834</v>
      </c>
      <c r="C118" s="31" t="str">
        <f>'Three Core Cable PRICE'!A32</f>
        <v>Supply and drawing FRLS PVC insulated &amp; sheathed 650/1100 V grade 3 core copper conductor flat cable for submersible pump motor conforming to IS 694 part I 1990 as required including giving necessary connections of the following sizes. 2.50 sq mm (90.6.6.2)</v>
      </c>
      <c r="D118" s="31" t="str">
        <f t="shared" si="1"/>
        <v>Supply and drawing FRLS PVC insulated &amp; sheathed 650/1100 V grade 3 core copper conductor flat cable for submersible pump motor conforming to IS 694 part I 1990 as required including giving necessary connections of the following sizes. 2.50 sq mm (90.6.6.2) (Code: GWDDR116)</v>
      </c>
      <c r="E118" s="29" t="s">
        <v>22</v>
      </c>
      <c r="F118" s="32" t="s">
        <v>48</v>
      </c>
      <c r="G118" s="32" t="s">
        <v>49</v>
      </c>
      <c r="H118" s="32" t="s">
        <v>833</v>
      </c>
      <c r="I118" s="116">
        <f>'Three Core Cable PRICE'!H58</f>
        <v>86.10451074</v>
      </c>
      <c r="J118" s="116">
        <f>'Three Core Cable PRICE'!I58</f>
        <v>9.45438</v>
      </c>
      <c r="K118" s="33">
        <f t="shared" si="2"/>
        <v>0</v>
      </c>
      <c r="L118" s="33">
        <f t="shared" si="3"/>
        <v>95.55889074</v>
      </c>
    </row>
    <row r="119">
      <c r="A119" s="29">
        <v>117.0</v>
      </c>
      <c r="B119" s="30" t="s">
        <v>837</v>
      </c>
      <c r="C119" s="31" t="str">
        <f>'Three Core Cable PRICE'!A61</f>
        <v>Supply and drawing FRLS PVC insulated &amp; sheathed 650/1100 V grade 3 core copper conductor flat cable for submersible pump motor conforming to IS 694 part I 1990 as required including giving necessary connections of the following sizes. 4 sq mm (90.6.6.3)</v>
      </c>
      <c r="D119" s="31" t="str">
        <f t="shared" si="1"/>
        <v>Supply and drawing FRLS PVC insulated &amp; sheathed 650/1100 V grade 3 core copper conductor flat cable for submersible pump motor conforming to IS 694 part I 1990 as required including giving necessary connections of the following sizes. 4 sq mm (90.6.6.3) (Code: GWDDR117)</v>
      </c>
      <c r="E119" s="29" t="s">
        <v>22</v>
      </c>
      <c r="F119" s="32" t="s">
        <v>48</v>
      </c>
      <c r="G119" s="32" t="s">
        <v>49</v>
      </c>
      <c r="H119" s="32" t="s">
        <v>833</v>
      </c>
      <c r="I119" s="116">
        <f>'Three Core Cable PRICE'!H87</f>
        <v>123.0005571</v>
      </c>
      <c r="J119" s="116">
        <f>'Three Core Cable PRICE'!I87</f>
        <v>9.45438</v>
      </c>
      <c r="K119" s="33">
        <f t="shared" si="2"/>
        <v>0</v>
      </c>
      <c r="L119" s="33">
        <f t="shared" si="3"/>
        <v>132.4549371</v>
      </c>
    </row>
    <row r="120">
      <c r="A120" s="29">
        <v>118.0</v>
      </c>
      <c r="B120" s="30" t="s">
        <v>839</v>
      </c>
      <c r="C120" s="31" t="str">
        <f>'Three Core Cable PRICE'!A90</f>
        <v>Supply and drawing FRLS PVC insulated &amp; sheathed 650/1100 V grade 3 core copper conductor flat cable for submersible pump motor conforming to IS 694 part I 1990 as required including giving necessary connections of the following sizes. 6 sq mm (90.6.6.4)</v>
      </c>
      <c r="D120" s="31" t="str">
        <f t="shared" si="1"/>
        <v>Supply and drawing FRLS PVC insulated &amp; sheathed 650/1100 V grade 3 core copper conductor flat cable for submersible pump motor conforming to IS 694 part I 1990 as required including giving necessary connections of the following sizes. 6 sq mm (90.6.6.4) (Code: GWDDR118)</v>
      </c>
      <c r="E120" s="29" t="s">
        <v>22</v>
      </c>
      <c r="F120" s="32" t="s">
        <v>48</v>
      </c>
      <c r="G120" s="32" t="s">
        <v>49</v>
      </c>
      <c r="H120" s="32" t="s">
        <v>833</v>
      </c>
      <c r="I120" s="116">
        <f>'Three Core Cable PRICE'!H116</f>
        <v>177.8221608</v>
      </c>
      <c r="J120" s="116">
        <f>'Three Core Cable PRICE'!I116</f>
        <v>9.45438</v>
      </c>
      <c r="K120" s="33">
        <f t="shared" si="2"/>
        <v>0</v>
      </c>
      <c r="L120" s="33">
        <f t="shared" si="3"/>
        <v>187.2765408</v>
      </c>
    </row>
    <row r="121">
      <c r="A121" s="29">
        <v>119.0</v>
      </c>
      <c r="B121" s="30" t="s">
        <v>840</v>
      </c>
      <c r="C121" s="31" t="str">
        <f>'Three Core Cable PRICE'!A119</f>
        <v>Supply and drawing FRLS PVC insulated &amp; sheathed 650/1100 V grade 3 core copper conductor flat cable for submersible pump motor conforming to IS 694 part I 1990 as required including giving necessary connections of the following sizes. 10 sq mm (90.6.6.5)</v>
      </c>
      <c r="D121" s="31" t="str">
        <f t="shared" si="1"/>
        <v>Supply and drawing FRLS PVC insulated &amp; sheathed 650/1100 V grade 3 core copper conductor flat cable for submersible pump motor conforming to IS 694 part I 1990 as required including giving necessary connections of the following sizes. 10 sq mm (90.6.6.5) (Code: GWDDR119)</v>
      </c>
      <c r="E121" s="29" t="s">
        <v>22</v>
      </c>
      <c r="F121" s="32" t="s">
        <v>48</v>
      </c>
      <c r="G121" s="32" t="s">
        <v>49</v>
      </c>
      <c r="H121" s="32" t="s">
        <v>833</v>
      </c>
      <c r="I121" s="116">
        <f>'Three Core Cable PRICE'!H145</f>
        <v>290.625043</v>
      </c>
      <c r="J121" s="116">
        <f>'Three Core Cable PRICE'!I145</f>
        <v>9.45438</v>
      </c>
      <c r="K121" s="33">
        <f t="shared" si="2"/>
        <v>0</v>
      </c>
      <c r="L121" s="33">
        <f t="shared" si="3"/>
        <v>300.079423</v>
      </c>
    </row>
    <row r="122">
      <c r="A122" s="29">
        <v>120.0</v>
      </c>
      <c r="B122" s="30" t="s">
        <v>844</v>
      </c>
      <c r="C122" s="31" t="str">
        <f>'Three Core Cable PRICE'!A148</f>
        <v>Supply and drawing FRLS PVC insulated &amp; sheathed 650/1100 V grade 3 core copper conductor flat cable for submersible pump motor conforming to IS 694 part I 1990 as required including giving necessary connections of the following sizes. 16 sq mm (90.6.6.6)</v>
      </c>
      <c r="D122" s="31" t="str">
        <f t="shared" si="1"/>
        <v>Supply and drawing FRLS PVC insulated &amp; sheathed 650/1100 V grade 3 core copper conductor flat cable for submersible pump motor conforming to IS 694 part I 1990 as required including giving necessary connections of the following sizes. 16 sq mm (90.6.6.6) (Code: GWDDR120)</v>
      </c>
      <c r="E122" s="29" t="s">
        <v>22</v>
      </c>
      <c r="F122" s="32" t="s">
        <v>48</v>
      </c>
      <c r="G122" s="32" t="s">
        <v>49</v>
      </c>
      <c r="H122" s="32" t="s">
        <v>833</v>
      </c>
      <c r="I122" s="116">
        <f>'Three Core Cable PRICE'!H174</f>
        <v>465.9731357</v>
      </c>
      <c r="J122" s="116">
        <f>'Three Core Cable PRICE'!I174</f>
        <v>14.18157</v>
      </c>
      <c r="K122" s="33">
        <f t="shared" si="2"/>
        <v>0</v>
      </c>
      <c r="L122" s="33">
        <f t="shared" si="3"/>
        <v>480.1547057</v>
      </c>
    </row>
    <row r="123">
      <c r="A123" s="29">
        <v>121.0</v>
      </c>
      <c r="B123" s="30" t="s">
        <v>849</v>
      </c>
      <c r="C123" s="31" t="str">
        <f>'Three Core Cable PRICE'!A177</f>
        <v>Supply and drawing FRLS PVC insulated &amp; sheathed 650/1100 V grade 3 core copper conductor flat cable for submersible pump motor conforming to IS 694 part I 1990 as required including giving necessary connections of the following sizes. 25 sq mm (90.6.6.7)</v>
      </c>
      <c r="D123" s="31" t="str">
        <f t="shared" si="1"/>
        <v>Supply and drawing FRLS PVC insulated &amp; sheathed 650/1100 V grade 3 core copper conductor flat cable for submersible pump motor conforming to IS 694 part I 1990 as required including giving necessary connections of the following sizes. 25 sq mm (90.6.6.7) (Code: GWDDR121)</v>
      </c>
      <c r="E123" s="29" t="s">
        <v>22</v>
      </c>
      <c r="F123" s="32" t="s">
        <v>48</v>
      </c>
      <c r="G123" s="32" t="s">
        <v>49</v>
      </c>
      <c r="H123" s="32" t="s">
        <v>833</v>
      </c>
      <c r="I123" s="116">
        <f>'Three Core Cable PRICE'!H203</f>
        <v>792.7755749</v>
      </c>
      <c r="J123" s="116">
        <f>'Three Core Cable PRICE'!I203</f>
        <v>14.18157</v>
      </c>
      <c r="K123" s="33">
        <f t="shared" si="2"/>
        <v>0</v>
      </c>
      <c r="L123" s="33">
        <f t="shared" si="3"/>
        <v>806.9571449</v>
      </c>
    </row>
    <row r="124">
      <c r="A124" s="29">
        <v>122.0</v>
      </c>
      <c r="B124" s="30" t="s">
        <v>851</v>
      </c>
      <c r="C124" s="31" t="str">
        <f>'Three Core Cable PRICE'!A206</f>
        <v>Supply and drawing FRLS PVC insulated &amp; sheathed 650/1100 V grade 3 core copper conductor flat cable for submersible pump motor conforming to IS 694 part I 1990 as required including giving necessary connections of the following sizes. 35 sq mm (90.6.6.8)</v>
      </c>
      <c r="D124" s="31" t="str">
        <f t="shared" si="1"/>
        <v>Supply and drawing FRLS PVC insulated &amp; sheathed 650/1100 V grade 3 core copper conductor flat cable for submersible pump motor conforming to IS 694 part I 1990 as required including giving necessary connections of the following sizes. 35 sq mm (90.6.6.8) (Code: GWDDR122)</v>
      </c>
      <c r="E124" s="29" t="s">
        <v>22</v>
      </c>
      <c r="F124" s="32" t="s">
        <v>48</v>
      </c>
      <c r="G124" s="32" t="s">
        <v>49</v>
      </c>
      <c r="H124" s="32" t="s">
        <v>833</v>
      </c>
      <c r="I124" s="116">
        <f>'Three Core Cable PRICE'!H232</f>
        <v>1143.137314</v>
      </c>
      <c r="J124" s="116">
        <f>'Three Core Cable PRICE'!I232</f>
        <v>18.90876</v>
      </c>
      <c r="K124" s="33">
        <f t="shared" si="2"/>
        <v>0</v>
      </c>
      <c r="L124" s="33">
        <f t="shared" si="3"/>
        <v>1162.046074</v>
      </c>
    </row>
    <row r="125">
      <c r="A125" s="29">
        <v>123.0</v>
      </c>
      <c r="B125" s="30" t="s">
        <v>854</v>
      </c>
      <c r="C125" s="31" t="str">
        <f>'UG Cable PRICE'!A3</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4 sq mm (90.12.37.1)</v>
      </c>
      <c r="D125" s="31" t="str">
        <f t="shared" si="1"/>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4 sq mm (90.12.37.1) (Code: GWDDR123)</v>
      </c>
      <c r="E125" s="29" t="s">
        <v>22</v>
      </c>
      <c r="F125" s="32" t="s">
        <v>48</v>
      </c>
      <c r="G125" s="32" t="s">
        <v>49</v>
      </c>
      <c r="H125" s="32" t="s">
        <v>855</v>
      </c>
      <c r="I125" s="116">
        <f>'UG Cable PRICE'!I31</f>
        <v>255.8990318</v>
      </c>
      <c r="J125" s="116">
        <f>'UG Cable PRICE'!J31</f>
        <v>169.3771313</v>
      </c>
      <c r="K125" s="33">
        <f t="shared" si="2"/>
        <v>0</v>
      </c>
      <c r="L125" s="33">
        <f t="shared" si="3"/>
        <v>425.2761631</v>
      </c>
    </row>
    <row r="126">
      <c r="A126" s="29">
        <v>124.0</v>
      </c>
      <c r="B126" s="30" t="s">
        <v>857</v>
      </c>
      <c r="C126" s="31" t="str">
        <f>'UG Cable PRICE'!A34</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6 sq mm (90.12.37.2)</v>
      </c>
      <c r="D126" s="31" t="str">
        <f t="shared" si="1"/>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6 sq mm (90.12.37.2) (Code: GWDDR124)</v>
      </c>
      <c r="E126" s="29" t="s">
        <v>22</v>
      </c>
      <c r="F126" s="32" t="s">
        <v>48</v>
      </c>
      <c r="G126" s="32" t="s">
        <v>49</v>
      </c>
      <c r="H126" s="32" t="s">
        <v>855</v>
      </c>
      <c r="I126" s="116">
        <f>'UG Cable PRICE'!I62</f>
        <v>306.0074659</v>
      </c>
      <c r="J126" s="116">
        <f>'UG Cable PRICE'!J62</f>
        <v>169.3771313</v>
      </c>
      <c r="K126" s="33">
        <f t="shared" si="2"/>
        <v>0</v>
      </c>
      <c r="L126" s="33">
        <f t="shared" si="3"/>
        <v>475.3845972</v>
      </c>
    </row>
    <row r="127">
      <c r="A127" s="29">
        <v>125.0</v>
      </c>
      <c r="B127" s="30" t="s">
        <v>858</v>
      </c>
      <c r="C127" s="31" t="str">
        <f>'UG Cable PRICE'!A65</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10 sq mm (90.12.37.3)</v>
      </c>
      <c r="D127" s="31" t="str">
        <f t="shared" si="1"/>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10 sq mm (90.12.37.3) (Code: GWDDR125)</v>
      </c>
      <c r="E127" s="29" t="s">
        <v>22</v>
      </c>
      <c r="F127" s="32" t="s">
        <v>48</v>
      </c>
      <c r="G127" s="32" t="s">
        <v>49</v>
      </c>
      <c r="H127" s="32" t="s">
        <v>855</v>
      </c>
      <c r="I127" s="116">
        <f>'UG Cable PRICE'!I93</f>
        <v>407.2713392</v>
      </c>
      <c r="J127" s="116">
        <f>'UG Cable PRICE'!J93</f>
        <v>169.3771313</v>
      </c>
      <c r="K127" s="33">
        <f t="shared" si="2"/>
        <v>0</v>
      </c>
      <c r="L127" s="33">
        <f t="shared" si="3"/>
        <v>576.6484705</v>
      </c>
    </row>
    <row r="128">
      <c r="A128" s="29">
        <v>126.0</v>
      </c>
      <c r="B128" s="30" t="s">
        <v>859</v>
      </c>
      <c r="C128" s="31" t="str">
        <f>'UG Cable PRICE'!A96</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16 sq mm (90.12.37.4)</v>
      </c>
      <c r="D128" s="31" t="str">
        <f t="shared" si="1"/>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2 core 16 sq mm (90.12.37.4) (Code: GWDDR126)</v>
      </c>
      <c r="E128" s="29" t="s">
        <v>22</v>
      </c>
      <c r="F128" s="32" t="s">
        <v>48</v>
      </c>
      <c r="G128" s="32" t="s">
        <v>49</v>
      </c>
      <c r="H128" s="32" t="s">
        <v>855</v>
      </c>
      <c r="I128" s="116">
        <f>'UG Cable PRICE'!I124</f>
        <v>532.5301068</v>
      </c>
      <c r="J128" s="116">
        <f>'UG Cable PRICE'!J124</f>
        <v>169.3771313</v>
      </c>
      <c r="K128" s="33">
        <f t="shared" si="2"/>
        <v>0</v>
      </c>
      <c r="L128" s="33">
        <f t="shared" si="3"/>
        <v>701.9072381</v>
      </c>
    </row>
    <row r="129">
      <c r="A129" s="29">
        <v>127.0</v>
      </c>
      <c r="B129" s="30" t="s">
        <v>860</v>
      </c>
      <c r="C129" s="31" t="str">
        <f>'UG Cable PRICE'!A127</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v>
      </c>
      <c r="D129" s="31" t="str">
        <f t="shared" si="1"/>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4 sq mm (90.12.37.5) (Code: GWDDR127)</v>
      </c>
      <c r="E129" s="29" t="s">
        <v>22</v>
      </c>
      <c r="F129" s="32" t="s">
        <v>48</v>
      </c>
      <c r="G129" s="32" t="s">
        <v>49</v>
      </c>
      <c r="H129" s="32" t="s">
        <v>855</v>
      </c>
      <c r="I129" s="116">
        <f>'UG Cable PRICE'!I155</f>
        <v>298.7030653</v>
      </c>
      <c r="J129" s="116">
        <f>'UG Cable PRICE'!J155</f>
        <v>169.3771313</v>
      </c>
      <c r="K129" s="33">
        <f t="shared" si="2"/>
        <v>0</v>
      </c>
      <c r="L129" s="33">
        <f t="shared" si="3"/>
        <v>468.0801966</v>
      </c>
    </row>
    <row r="130">
      <c r="A130" s="29">
        <v>128.0</v>
      </c>
      <c r="B130" s="30" t="s">
        <v>861</v>
      </c>
      <c r="C130" s="31" t="str">
        <f>'UG Cable PRICE'!A158</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6 sq mm (90.12.37.6)</v>
      </c>
      <c r="D130" s="31" t="str">
        <f t="shared" si="1"/>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6 sq mm (90.12.37.6) (Code: GWDDR128)</v>
      </c>
      <c r="E130" s="29" t="s">
        <v>22</v>
      </c>
      <c r="F130" s="32" t="s">
        <v>48</v>
      </c>
      <c r="G130" s="32" t="s">
        <v>49</v>
      </c>
      <c r="H130" s="32" t="s">
        <v>855</v>
      </c>
      <c r="I130" s="116">
        <f>'UG Cable PRICE'!I186</f>
        <v>370.7247011</v>
      </c>
      <c r="J130" s="116">
        <f>'UG Cable PRICE'!J186</f>
        <v>169.3771313</v>
      </c>
      <c r="K130" s="33">
        <f t="shared" si="2"/>
        <v>0</v>
      </c>
      <c r="L130" s="33">
        <f t="shared" si="3"/>
        <v>540.1018324</v>
      </c>
    </row>
    <row r="131">
      <c r="A131" s="29">
        <v>129.0</v>
      </c>
      <c r="B131" s="30" t="s">
        <v>866</v>
      </c>
      <c r="C131" s="31" t="str">
        <f>'UG Cable PRICE'!A189</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10 sq mm (90.12.37.7)</v>
      </c>
      <c r="D131" s="31" t="str">
        <f t="shared" si="1"/>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10 sq mm (90.12.37.7) (Code: GWDDR129)</v>
      </c>
      <c r="E131" s="29" t="s">
        <v>22</v>
      </c>
      <c r="F131" s="32" t="s">
        <v>48</v>
      </c>
      <c r="G131" s="32" t="s">
        <v>49</v>
      </c>
      <c r="H131" s="32" t="s">
        <v>855</v>
      </c>
      <c r="I131" s="116">
        <f>'UG Cable PRICE'!I217</f>
        <v>515.8272954</v>
      </c>
      <c r="J131" s="116">
        <f>'UG Cable PRICE'!J217</f>
        <v>169.3771313</v>
      </c>
      <c r="K131" s="33">
        <f t="shared" si="2"/>
        <v>0</v>
      </c>
      <c r="L131" s="33">
        <f t="shared" si="3"/>
        <v>685.2044267</v>
      </c>
    </row>
    <row r="132">
      <c r="A132" s="29">
        <v>130.0</v>
      </c>
      <c r="B132" s="30" t="s">
        <v>869</v>
      </c>
      <c r="C132" s="31" t="str">
        <f>'UG Cable PRICE'!A220</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16 sq mm (90.12.37.8)</v>
      </c>
      <c r="D132" s="31" t="str">
        <f t="shared" si="1"/>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3 core 16 sq mm (90.12.37.8) (Code: GWDDR130)</v>
      </c>
      <c r="E132" s="29" t="s">
        <v>22</v>
      </c>
      <c r="F132" s="32" t="s">
        <v>48</v>
      </c>
      <c r="G132" s="32" t="s">
        <v>49</v>
      </c>
      <c r="H132" s="32" t="s">
        <v>855</v>
      </c>
      <c r="I132" s="116">
        <f>'UG Cable PRICE'!I248</f>
        <v>684.9371017</v>
      </c>
      <c r="J132" s="116">
        <f>'UG Cable PRICE'!J248</f>
        <v>169.3771313</v>
      </c>
      <c r="K132" s="33">
        <f t="shared" si="2"/>
        <v>0</v>
      </c>
      <c r="L132" s="33">
        <f t="shared" si="3"/>
        <v>854.314233</v>
      </c>
    </row>
    <row r="133">
      <c r="A133" s="29">
        <v>131.0</v>
      </c>
      <c r="B133" s="30" t="s">
        <v>873</v>
      </c>
      <c r="C133" s="31" t="str">
        <f>'Motor Starter PRICE'!A3</f>
        <v>S &amp; F Motor starters of the following ratings Submersible pump controllers with ammeter,DPMCB for single phase 0.5HP submersible motor pumps (DOL) (90.14.28.10)</v>
      </c>
      <c r="D133" s="31" t="str">
        <f t="shared" si="1"/>
        <v>S &amp; F Motor starters of the following ratings Submersible pump controllers with ammeter,DPMCB for single phase 0.5HP submersible motor pumps (DOL) (90.14.28.10) (Code: GWDDR131)</v>
      </c>
      <c r="E133" s="29" t="s">
        <v>43</v>
      </c>
      <c r="F133" s="32" t="s">
        <v>48</v>
      </c>
      <c r="G133" s="32" t="s">
        <v>49</v>
      </c>
      <c r="H133" s="32" t="s">
        <v>696</v>
      </c>
      <c r="I133" s="116">
        <f>'Motor Starter PRICE'!H31</f>
        <v>1788.435519</v>
      </c>
      <c r="J133" s="116">
        <f>'Motor Starter PRICE'!I31</f>
        <v>16.887819</v>
      </c>
      <c r="K133" s="33">
        <f t="shared" si="2"/>
        <v>0</v>
      </c>
      <c r="L133" s="33">
        <f t="shared" si="3"/>
        <v>1805.323338</v>
      </c>
    </row>
    <row r="134">
      <c r="A134" s="29">
        <v>132.0</v>
      </c>
      <c r="B134" s="30" t="s">
        <v>874</v>
      </c>
      <c r="C134" s="31" t="str">
        <f>'Motor Starter PRICE'!A34</f>
        <v>S &amp; F Motor starters of the following ratings Submersible pump controllers with ammeter,DPMCB for single phase 1 HP submersible motor pumps (DOL) (90.14.28.11)</v>
      </c>
      <c r="D134" s="31" t="str">
        <f t="shared" si="1"/>
        <v>S &amp; F Motor starters of the following ratings Submersible pump controllers with ammeter,DPMCB for single phase 1 HP submersible motor pumps (DOL) (90.14.28.11) (Code: GWDDR132)</v>
      </c>
      <c r="E134" s="29" t="s">
        <v>43</v>
      </c>
      <c r="F134" s="32" t="s">
        <v>48</v>
      </c>
      <c r="G134" s="32" t="s">
        <v>49</v>
      </c>
      <c r="H134" s="32" t="s">
        <v>696</v>
      </c>
      <c r="I134" s="116">
        <f>'Motor Starter PRICE'!H62</f>
        <v>1837.906011</v>
      </c>
      <c r="J134" s="116">
        <f>'Motor Starter PRICE'!I62</f>
        <v>16.887819</v>
      </c>
      <c r="K134" s="33">
        <f t="shared" si="2"/>
        <v>0</v>
      </c>
      <c r="L134" s="33">
        <f t="shared" si="3"/>
        <v>1854.79383</v>
      </c>
    </row>
    <row r="135">
      <c r="A135" s="29">
        <v>133.0</v>
      </c>
      <c r="B135" s="30" t="s">
        <v>876</v>
      </c>
      <c r="C135" s="31" t="str">
        <f>'Motor Starter PRICE'!A65</f>
        <v>S &amp; F Motor starters of the following ratings Submersible pump controllers with ammeter,DPMCB for single phase 1.5 HP submersible motor pumps (DOL) (90.14.28.12)</v>
      </c>
      <c r="D135" s="31" t="str">
        <f t="shared" si="1"/>
        <v>S &amp; F Motor starters of the following ratings Submersible pump controllers with ammeter,DPMCB for single phase 1.5 HP submersible motor pumps (DOL) (90.14.28.12) (Code: GWDDR133)</v>
      </c>
      <c r="E135" s="29" t="s">
        <v>43</v>
      </c>
      <c r="F135" s="32" t="s">
        <v>48</v>
      </c>
      <c r="G135" s="32" t="s">
        <v>49</v>
      </c>
      <c r="H135" s="32" t="s">
        <v>696</v>
      </c>
      <c r="I135" s="116">
        <f>'Motor Starter PRICE'!H93</f>
        <v>1887.36483</v>
      </c>
      <c r="J135" s="116">
        <f>'Motor Starter PRICE'!I93</f>
        <v>16.887819</v>
      </c>
      <c r="K135" s="33">
        <f t="shared" si="2"/>
        <v>0</v>
      </c>
      <c r="L135" s="33">
        <f t="shared" si="3"/>
        <v>1904.252649</v>
      </c>
    </row>
    <row r="136">
      <c r="A136" s="29">
        <v>134.0</v>
      </c>
      <c r="B136" s="30" t="s">
        <v>880</v>
      </c>
      <c r="C136" s="31" t="str">
        <f>'Motor Starter PRICE'!A96</f>
        <v>S &amp; F Motor starters of the following ratings Submersible pump controllers with ammeter,DPMCB for single phase 2 HP submersible motor pumps (DOL) (90.14.28.13)</v>
      </c>
      <c r="D136" s="31" t="str">
        <f t="shared" si="1"/>
        <v>S &amp; F Motor starters of the following ratings Submersible pump controllers with ammeter,DPMCB for single phase 2 HP submersible motor pumps (DOL) (90.14.28.13) (Code: GWDDR134)</v>
      </c>
      <c r="E136" s="29" t="s">
        <v>43</v>
      </c>
      <c r="F136" s="32" t="s">
        <v>48</v>
      </c>
      <c r="G136" s="32" t="s">
        <v>49</v>
      </c>
      <c r="H136" s="32" t="s">
        <v>696</v>
      </c>
      <c r="I136" s="116">
        <f>'Motor Starter PRICE'!H124</f>
        <v>1936.823649</v>
      </c>
      <c r="J136" s="116">
        <f>'Motor Starter PRICE'!I124</f>
        <v>16.887819</v>
      </c>
      <c r="K136" s="33">
        <f t="shared" si="2"/>
        <v>0</v>
      </c>
      <c r="L136" s="33">
        <f t="shared" si="3"/>
        <v>1953.711468</v>
      </c>
    </row>
    <row r="137">
      <c r="A137" s="29">
        <v>135.0</v>
      </c>
      <c r="B137" s="30" t="s">
        <v>884</v>
      </c>
      <c r="C137" s="31" t="str">
        <f>'Motor Starter PRICE'!A127</f>
        <v>S &amp; F Motor starters of the following ratings Submersible pump controllers with ammeter,TPMCB for three phase 5 to 7.5HP submersible motor pumps (DOL) (90.14.28.14)</v>
      </c>
      <c r="D137" s="31" t="str">
        <f t="shared" si="1"/>
        <v>S &amp; F Motor starters of the following ratings Submersible pump controllers with ammeter,TPMCB for three phase 5 to 7.5HP submersible motor pumps (DOL) (90.14.28.14) (Code: GWDDR135)</v>
      </c>
      <c r="E137" s="29" t="s">
        <v>43</v>
      </c>
      <c r="F137" s="32" t="s">
        <v>48</v>
      </c>
      <c r="G137" s="32" t="s">
        <v>49</v>
      </c>
      <c r="H137" s="32" t="s">
        <v>696</v>
      </c>
      <c r="I137" s="116">
        <f>'Motor Starter PRICE'!H155</f>
        <v>4038.96936</v>
      </c>
      <c r="J137" s="116">
        <f>'Motor Starter PRICE'!I155</f>
        <v>16.887819</v>
      </c>
      <c r="K137" s="33">
        <f t="shared" si="2"/>
        <v>0</v>
      </c>
      <c r="L137" s="33">
        <f t="shared" si="3"/>
        <v>4055.857179</v>
      </c>
    </row>
    <row r="138">
      <c r="A138" s="29">
        <v>136.0</v>
      </c>
      <c r="B138" s="30" t="s">
        <v>886</v>
      </c>
      <c r="C138" s="31" t="str">
        <f>'Motor Starter PRICE'!A158</f>
        <v>S &amp; F Motor starters of the following ratings Submersible pump controllers with ammeter,TPMCB for three phase 10 to 12.5HP submersible motor pumps (DOL) (90.14.28.15)</v>
      </c>
      <c r="D138" s="31" t="str">
        <f t="shared" si="1"/>
        <v>S &amp; F Motor starters of the following ratings Submersible pump controllers with ammeter,TPMCB for three phase 10 to 12.5HP submersible motor pumps (DOL) (90.14.28.15) (Code: GWDDR136)</v>
      </c>
      <c r="E138" s="29" t="s">
        <v>43</v>
      </c>
      <c r="F138" s="32" t="s">
        <v>48</v>
      </c>
      <c r="G138" s="32" t="s">
        <v>49</v>
      </c>
      <c r="H138" s="32" t="s">
        <v>696</v>
      </c>
      <c r="I138" s="116">
        <f>'Motor Starter PRICE'!H186</f>
        <v>4909.902571</v>
      </c>
      <c r="J138" s="116">
        <f>'Motor Starter PRICE'!I186</f>
        <v>135.652689</v>
      </c>
      <c r="K138" s="33">
        <f t="shared" si="2"/>
        <v>0</v>
      </c>
      <c r="L138" s="33">
        <f t="shared" si="3"/>
        <v>5045.55526</v>
      </c>
    </row>
    <row r="139">
      <c r="A139" s="29">
        <v>137.0</v>
      </c>
      <c r="B139" s="30" t="s">
        <v>891</v>
      </c>
      <c r="C139" s="31" t="str">
        <f>'Motor Starter PRICE'!A189</f>
        <v>S &amp; F Motor starters of the following ratings Fully automatic star delta pump starter for three phase 25-30HP Submersible motor (90.14.28.16)</v>
      </c>
      <c r="D139" s="31" t="str">
        <f t="shared" si="1"/>
        <v>S &amp; F Motor starters of the following ratings Fully automatic star delta pump starter for three phase 25-30HP Submersible motor (90.14.28.16) (Code: GWDDR137)</v>
      </c>
      <c r="E139" s="29" t="s">
        <v>43</v>
      </c>
      <c r="F139" s="32" t="s">
        <v>48</v>
      </c>
      <c r="G139" s="32" t="s">
        <v>49</v>
      </c>
      <c r="H139" s="32" t="s">
        <v>696</v>
      </c>
      <c r="I139" s="116">
        <f>'Motor Starter PRICE'!H217</f>
        <v>18792.80936</v>
      </c>
      <c r="J139" s="116">
        <f>'Motor Starter PRICE'!I217</f>
        <v>220.484739</v>
      </c>
      <c r="K139" s="33">
        <f t="shared" si="2"/>
        <v>0</v>
      </c>
      <c r="L139" s="33">
        <f t="shared" si="3"/>
        <v>19013.2941</v>
      </c>
    </row>
    <row r="140">
      <c r="A140" s="29">
        <v>138.0</v>
      </c>
      <c r="B140" s="30" t="s">
        <v>894</v>
      </c>
      <c r="C140" s="31" t="str">
        <f>'Motor Starter PRICE'!A220</f>
        <v>S &amp; F Motor starters of the following ratings Fully automatic star delta pump starter for three phase 15HP Submersible motor (90.14.28.17)</v>
      </c>
      <c r="D140" s="31" t="str">
        <f t="shared" si="1"/>
        <v>S &amp; F Motor starters of the following ratings Fully automatic star delta pump starter for three phase 15HP Submersible motor (90.14.28.17) (Code: GWDDR138)</v>
      </c>
      <c r="E140" s="29" t="s">
        <v>43</v>
      </c>
      <c r="F140" s="32" t="s">
        <v>48</v>
      </c>
      <c r="G140" s="32" t="s">
        <v>49</v>
      </c>
      <c r="H140" s="32" t="s">
        <v>696</v>
      </c>
      <c r="I140" s="116">
        <f>'Motor Starter PRICE'!H248</f>
        <v>8059.521959</v>
      </c>
      <c r="J140" s="116">
        <f>'Motor Starter PRICE'!I248</f>
        <v>220.484739</v>
      </c>
      <c r="K140" s="33">
        <f t="shared" si="2"/>
        <v>0</v>
      </c>
      <c r="L140" s="33">
        <f t="shared" si="3"/>
        <v>8280.006698</v>
      </c>
    </row>
    <row r="141">
      <c r="A141" s="29">
        <v>139.0</v>
      </c>
      <c r="B141" s="30" t="s">
        <v>901</v>
      </c>
      <c r="C141" s="31" t="str">
        <f>'Motor Starter PRICE'!A251</f>
        <v>S &amp; F Motor starters of the following ratings Fully automatic star delta pump starter for three phase 20HP Submersible motor (90.14.28.18)</v>
      </c>
      <c r="D141" s="31" t="str">
        <f t="shared" si="1"/>
        <v>S &amp; F Motor starters of the following ratings Fully automatic star delta pump starter for three phase 20HP Submersible motor (90.14.28.18) (Code: GWDDR139)</v>
      </c>
      <c r="E141" s="29" t="s">
        <v>43</v>
      </c>
      <c r="F141" s="32" t="s">
        <v>48</v>
      </c>
      <c r="G141" s="32" t="s">
        <v>49</v>
      </c>
      <c r="H141" s="32" t="s">
        <v>696</v>
      </c>
      <c r="I141" s="116">
        <f>'Motor Starter PRICE'!H279</f>
        <v>9395.003451</v>
      </c>
      <c r="J141" s="116">
        <f>'Motor Starter PRICE'!I279</f>
        <v>220.484739</v>
      </c>
      <c r="K141" s="33">
        <f t="shared" si="2"/>
        <v>0</v>
      </c>
      <c r="L141" s="33">
        <f t="shared" si="3"/>
        <v>9615.48819</v>
      </c>
    </row>
    <row r="142">
      <c r="A142" s="29">
        <v>140.0</v>
      </c>
      <c r="B142" s="30" t="s">
        <v>907</v>
      </c>
      <c r="C142" s="31" t="str">
        <f>'Motor Starter GWD'!A3</f>
        <v>S &amp; F Motor starters of the following ratings Submersible pump controllers with ammeter,DPMCB for single phase 2.5HP submersible motor pumps (DOL)</v>
      </c>
      <c r="D142" s="31" t="str">
        <f t="shared" si="1"/>
        <v>S &amp; F Motor starters of the following ratings Submersible pump controllers with ammeter,DPMCB for single phase 2.5HP submersible motor pumps (DOL) (Code: GWDDR140)</v>
      </c>
      <c r="E142" s="29" t="s">
        <v>43</v>
      </c>
      <c r="F142" s="32" t="s">
        <v>48</v>
      </c>
      <c r="G142" s="32" t="s">
        <v>49</v>
      </c>
      <c r="H142" s="32" t="s">
        <v>696</v>
      </c>
      <c r="I142" s="116">
        <f>'Motor Starter GWD'!H31</f>
        <v>2167.320188</v>
      </c>
      <c r="J142" s="116">
        <f>'Motor Starter GWD'!I31</f>
        <v>16.887819</v>
      </c>
      <c r="K142" s="33">
        <f t="shared" si="2"/>
        <v>0</v>
      </c>
      <c r="L142" s="33">
        <f t="shared" si="3"/>
        <v>2184.208007</v>
      </c>
    </row>
    <row r="143">
      <c r="A143" s="29">
        <v>141.0</v>
      </c>
      <c r="B143" s="30" t="s">
        <v>910</v>
      </c>
      <c r="C143" s="31" t="str">
        <f>'Motor Starter GWD'!A34</f>
        <v>S &amp; F Motor starters of the following ratings Submersible pump controllers with ammeter,DPMCB for single phase 3HP submersible motor pumps (DOL)</v>
      </c>
      <c r="D143" s="31" t="str">
        <f t="shared" si="1"/>
        <v>S &amp; F Motor starters of the following ratings Submersible pump controllers with ammeter,DPMCB for single phase 3HP submersible motor pumps (DOL) (Code: GWDDR141)</v>
      </c>
      <c r="E143" s="29" t="s">
        <v>43</v>
      </c>
      <c r="F143" s="32" t="s">
        <v>48</v>
      </c>
      <c r="G143" s="32" t="s">
        <v>49</v>
      </c>
      <c r="H143" s="32" t="s">
        <v>696</v>
      </c>
      <c r="I143" s="116">
        <f>'Motor Starter GWD'!H62</f>
        <v>2459.147063</v>
      </c>
      <c r="J143" s="116">
        <f>'Motor Starter GWD'!I62</f>
        <v>16.887819</v>
      </c>
      <c r="K143" s="33">
        <f t="shared" si="2"/>
        <v>0</v>
      </c>
      <c r="L143" s="33">
        <f t="shared" si="3"/>
        <v>2476.034882</v>
      </c>
    </row>
    <row r="144">
      <c r="A144" s="29">
        <v>142.0</v>
      </c>
      <c r="B144" s="30" t="s">
        <v>913</v>
      </c>
      <c r="C144" s="31" t="str">
        <f>'Motor Starter GWD'!A65</f>
        <v>S &amp; F Motor starters of the following ratings Submersible pump controllers with ammeter,DPMCB for single phase 3.5HP submersible motor pumps (DOL)</v>
      </c>
      <c r="D144" s="31" t="str">
        <f t="shared" si="1"/>
        <v>S &amp; F Motor starters of the following ratings Submersible pump controllers with ammeter,DPMCB for single phase 3.5HP submersible motor pumps (DOL) (Code: GWDDR142)</v>
      </c>
      <c r="E144" s="29" t="s">
        <v>43</v>
      </c>
      <c r="F144" s="32" t="s">
        <v>48</v>
      </c>
      <c r="G144" s="32" t="s">
        <v>49</v>
      </c>
      <c r="H144" s="32" t="s">
        <v>696</v>
      </c>
      <c r="I144" s="116">
        <f>'Motor Starter GWD'!H93</f>
        <v>2809.339313</v>
      </c>
      <c r="J144" s="116">
        <f>'Motor Starter GWD'!I93</f>
        <v>16.887819</v>
      </c>
      <c r="K144" s="33">
        <f t="shared" si="2"/>
        <v>0</v>
      </c>
      <c r="L144" s="33">
        <f t="shared" si="3"/>
        <v>2826.227132</v>
      </c>
    </row>
    <row r="145">
      <c r="A145" s="29">
        <v>143.0</v>
      </c>
      <c r="B145" s="30" t="s">
        <v>916</v>
      </c>
      <c r="C145" s="31" t="str">
        <f>'Motor Starter GWD'!A96</f>
        <v>S &amp; F Motor starters of the following ratings Submersible pump controllers with ammeter,TPMCB for three phase 2 to 4.5 HP submersible motor pumps (DOL)</v>
      </c>
      <c r="D145" s="31" t="str">
        <f t="shared" si="1"/>
        <v>S &amp; F Motor starters of the following ratings Submersible pump controllers with ammeter,TPMCB for three phase 2 to 4.5 HP submersible motor pumps (DOL) (Code: GWDDR143)</v>
      </c>
      <c r="E145" s="29" t="s">
        <v>43</v>
      </c>
      <c r="F145" s="32" t="s">
        <v>48</v>
      </c>
      <c r="G145" s="32" t="s">
        <v>49</v>
      </c>
      <c r="H145" s="32" t="s">
        <v>696</v>
      </c>
      <c r="I145" s="116">
        <f>'Motor Starter GWD'!H124</f>
        <v>3620.022698</v>
      </c>
      <c r="J145" s="116">
        <f>'Motor Starter GWD'!I124</f>
        <v>16.887819</v>
      </c>
      <c r="K145" s="33">
        <f t="shared" si="2"/>
        <v>0</v>
      </c>
      <c r="L145" s="33">
        <f t="shared" si="3"/>
        <v>3636.910517</v>
      </c>
    </row>
    <row r="146">
      <c r="A146" s="29">
        <v>144.0</v>
      </c>
      <c r="B146" s="30" t="s">
        <v>918</v>
      </c>
      <c r="C146" s="31" t="str">
        <f>'Motor Starter GWD'!A127</f>
        <v>S &amp; F Motor starters of the following ratings Submersible pump controllers with ammeter, TPMCB for three phase 8 to 9.5 HP submersible motor pumps (DOL)</v>
      </c>
      <c r="D146" s="31" t="str">
        <f t="shared" si="1"/>
        <v>S &amp; F Motor starters of the following ratings Submersible pump controllers with ammeter, TPMCB for three phase 8 to 9.5 HP submersible motor pumps (DOL) (Code: GWDDR144)</v>
      </c>
      <c r="E146" s="29" t="s">
        <v>43</v>
      </c>
      <c r="F146" s="32" t="s">
        <v>48</v>
      </c>
      <c r="G146" s="32" t="s">
        <v>49</v>
      </c>
      <c r="H146" s="32" t="s">
        <v>696</v>
      </c>
      <c r="I146" s="116">
        <f>'Motor Starter GWD'!H155</f>
        <v>4419.838451</v>
      </c>
      <c r="J146" s="116">
        <f>'Motor Starter GWD'!I155</f>
        <v>16.887819</v>
      </c>
      <c r="K146" s="33">
        <f t="shared" si="2"/>
        <v>0</v>
      </c>
      <c r="L146" s="33">
        <f t="shared" si="3"/>
        <v>4436.72627</v>
      </c>
    </row>
    <row r="147">
      <c r="A147" s="29">
        <v>145.0</v>
      </c>
      <c r="B147" s="30" t="s">
        <v>919</v>
      </c>
      <c r="C147" s="31" t="str">
        <f>'Water Meter'!A3</f>
        <v>Providing and fixing Water meter for Rigid PVC pipes, including jointing with PVC solvent cement-15 mm water meter</v>
      </c>
      <c r="D147" s="31" t="str">
        <f t="shared" si="1"/>
        <v>Providing and fixing Water meter for Rigid PVC pipes, including jointing with PVC solvent cement-15 mm water meter (Code: GWDDR145)</v>
      </c>
      <c r="E147" s="29" t="s">
        <v>43</v>
      </c>
      <c r="F147" s="32" t="s">
        <v>48</v>
      </c>
      <c r="G147" s="32" t="s">
        <v>49</v>
      </c>
      <c r="H147" s="32" t="s">
        <v>920</v>
      </c>
      <c r="I147" s="116">
        <f>'Water Meter'!H26</f>
        <v>1016.3125</v>
      </c>
      <c r="J147" s="116">
        <f>'Water Meter'!I26</f>
        <v>47.6716768</v>
      </c>
      <c r="K147" s="33">
        <f t="shared" si="2"/>
        <v>0</v>
      </c>
      <c r="L147" s="33">
        <f t="shared" si="3"/>
        <v>1063.984177</v>
      </c>
    </row>
    <row r="148">
      <c r="A148" s="29">
        <v>146.0</v>
      </c>
      <c r="B148" s="30" t="s">
        <v>921</v>
      </c>
      <c r="C148" s="31" t="str">
        <f>'Water Meter'!A29</f>
        <v>Providing and fixing Water meter for Rigid PVC pipes, including jointing with PVC solvent cement-20 mm water meter</v>
      </c>
      <c r="D148" s="31" t="str">
        <f t="shared" si="1"/>
        <v>Providing and fixing Water meter for Rigid PVC pipes, including jointing with PVC solvent cement-20 mm water meter (Code: GWDDR146)</v>
      </c>
      <c r="E148" s="29" t="s">
        <v>43</v>
      </c>
      <c r="F148" s="32" t="s">
        <v>48</v>
      </c>
      <c r="G148" s="32" t="s">
        <v>49</v>
      </c>
      <c r="H148" s="32" t="s">
        <v>920</v>
      </c>
      <c r="I148" s="116">
        <f>'Water Meter'!H52</f>
        <v>1426.322</v>
      </c>
      <c r="J148" s="116">
        <f>'Water Meter'!I52</f>
        <v>47.6716768</v>
      </c>
      <c r="K148" s="33">
        <f t="shared" si="2"/>
        <v>0</v>
      </c>
      <c r="L148" s="33">
        <f t="shared" si="3"/>
        <v>1473.993677</v>
      </c>
    </row>
    <row r="149">
      <c r="A149" s="29">
        <v>147.0</v>
      </c>
      <c r="B149" s="30" t="s">
        <v>923</v>
      </c>
      <c r="C149" s="30" t="str">
        <f>'PVC on Wall PRICE'!A3</f>
        <v>Providing and fixing PVC pipes, fittings including fixing the pipe with clamps at 1.00 m spacing. This includes jointing of pipes &amp; fittings with one step PVC solvent cement and testing of joints complete as per direction of Engineer-in-Charge 15mm dia 12kgf/cm2 -Internal work- Exposed on wall (50.18.7.1.1)</v>
      </c>
      <c r="D149" s="31" t="str">
        <f t="shared" si="1"/>
        <v>Providing and fixing PVC pipes, fittings including fixing the pipe with clamps at 1.00 m spacing. This includes jointing of pipes &amp; fittings with one step PVC solvent cement and testing of joints complete as per direction of Engineer-in-Charge 15mm dia 12kgf/cm2 -Internal work- Exposed on wall (50.18.7.1.1) (Code: GWDDR147)</v>
      </c>
      <c r="E149" s="29" t="s">
        <v>22</v>
      </c>
      <c r="F149" s="32" t="s">
        <v>48</v>
      </c>
      <c r="G149" s="32" t="s">
        <v>49</v>
      </c>
      <c r="H149" s="32" t="s">
        <v>924</v>
      </c>
      <c r="I149" s="116">
        <f>'PVC on Wall PRICE'!H31</f>
        <v>50.75755</v>
      </c>
      <c r="J149" s="116">
        <f>'PVC on Wall PRICE'!I31</f>
        <v>148.1711147</v>
      </c>
      <c r="K149" s="33">
        <f t="shared" si="2"/>
        <v>0</v>
      </c>
      <c r="L149" s="33">
        <f t="shared" si="3"/>
        <v>198.9286647</v>
      </c>
    </row>
    <row r="150">
      <c r="A150" s="29">
        <v>148.0</v>
      </c>
      <c r="B150" s="30" t="s">
        <v>925</v>
      </c>
      <c r="C150" s="31" t="str">
        <f>'PVC on Wall PRICE'!A34</f>
        <v>Providing and fixing PVC pipes, fittings including fixing the pipe with clamps at 1.00 m spacing. This includes jointing of pipes &amp; fittings with one step PVC solvent cement and testing of joints complete as per direction of Engineer-in-Charge 15 mm dia 10Kgf/cm2 - Internal work - Exposed on wall (50.18.7.1.2)</v>
      </c>
      <c r="D150" s="31" t="str">
        <f t="shared" si="1"/>
        <v>Providing and fixing PVC pipes, fittings including fixing the pipe with clamps at 1.00 m spacing. This includes jointing of pipes &amp; fittings with one step PVC solvent cement and testing of joints complete as per direction of Engineer-in-Charge 15 mm dia 10Kgf/cm2 - Internal work - Exposed on wall (50.18.7.1.2) (Code: GWDDR148)</v>
      </c>
      <c r="E150" s="29" t="s">
        <v>22</v>
      </c>
      <c r="F150" s="32" t="s">
        <v>48</v>
      </c>
      <c r="G150" s="32" t="s">
        <v>49</v>
      </c>
      <c r="H150" s="32" t="s">
        <v>924</v>
      </c>
      <c r="I150" s="116">
        <f>'PVC on Wall PRICE'!H62</f>
        <v>36.064575</v>
      </c>
      <c r="J150" s="116">
        <f>'PVC on Wall PRICE'!I62</f>
        <v>148.1711147</v>
      </c>
      <c r="K150" s="33">
        <f t="shared" si="2"/>
        <v>0</v>
      </c>
      <c r="L150" s="33">
        <f t="shared" si="3"/>
        <v>184.2356897</v>
      </c>
    </row>
    <row r="151">
      <c r="A151" s="29">
        <v>149.0</v>
      </c>
      <c r="B151" s="30" t="s">
        <v>928</v>
      </c>
      <c r="C151" s="31" t="str">
        <f>'PVC on Wall PRICE'!A65</f>
        <v>Providing and fixing PVC pipes, fittings including fixing the pipe with claps at 1.00 metre spacing. This includes jointing of pipes &amp; fittings with one step PVC solvent cement and testing of joints complete as per direction of Engineer-in-Charge 20 mm dia 12Kgf/cm2 - Internal work - Exposed on wall (50.18.7.2.1)</v>
      </c>
      <c r="D151" s="31" t="str">
        <f t="shared" si="1"/>
        <v>Providing and fixing PVC pipes, fittings including fixing the pipe with claps at 1.00 metre spacing. This includes jointing of pipes &amp; fittings with one step PVC solvent cement and testing of joints complete as per direction of Engineer-in-Charge 20 mm dia 12Kgf/cm2 - Internal work - Exposed on wall (50.18.7.2.1) (Code: GWDDR149)</v>
      </c>
      <c r="E151" s="29" t="s">
        <v>22</v>
      </c>
      <c r="F151" s="32" t="s">
        <v>48</v>
      </c>
      <c r="G151" s="32" t="s">
        <v>49</v>
      </c>
      <c r="H151" s="32" t="s">
        <v>924</v>
      </c>
      <c r="I151" s="116">
        <f>'PVC on Wall PRICE'!H93</f>
        <v>54.0968625</v>
      </c>
      <c r="J151" s="116">
        <f>'PVC on Wall PRICE'!I93</f>
        <v>161.4400907</v>
      </c>
      <c r="K151" s="33">
        <f t="shared" si="2"/>
        <v>0</v>
      </c>
      <c r="L151" s="33">
        <f t="shared" si="3"/>
        <v>215.5369532</v>
      </c>
    </row>
    <row r="152">
      <c r="A152" s="29">
        <v>150.0</v>
      </c>
      <c r="B152" s="30" t="s">
        <v>936</v>
      </c>
      <c r="C152" s="31" t="str">
        <f>'PVC on Wall PRICE'!A96</f>
        <v>Providing and fixing PVC pipes, fittings including fixing the pipe with clamps at 1.00 m spacing. This includes jointing of pipes &amp; fittings with one step PVC solvent cement and testing of joints complete as per direction of Engineer -in-Charge 20 mm dia 10 Kgf/cm2- Internal work - Exposed on wall (50.18.7.2.2)</v>
      </c>
      <c r="D152" s="31" t="str">
        <f t="shared" si="1"/>
        <v>Providing and fixing PVC pipes, fittings including fixing the pipe with clamps at 1.00 m spacing. This includes jointing of pipes &amp; fittings with one step PVC solvent cement and testing of joints complete as per direction of Engineer -in-Charge 20 mm dia 10 Kgf/cm2- Internal work - Exposed on wall (50.18.7.2.2) (Code: GWDDR150)</v>
      </c>
      <c r="E152" s="29" t="s">
        <v>22</v>
      </c>
      <c r="F152" s="32" t="s">
        <v>48</v>
      </c>
      <c r="G152" s="32" t="s">
        <v>49</v>
      </c>
      <c r="H152" s="32" t="s">
        <v>924</v>
      </c>
      <c r="I152" s="116">
        <f>'PVC on Wall PRICE'!H124</f>
        <v>40.07175</v>
      </c>
      <c r="J152" s="116">
        <f>'PVC on Wall PRICE'!I124</f>
        <v>161.4400907</v>
      </c>
      <c r="K152" s="33">
        <f t="shared" si="2"/>
        <v>0</v>
      </c>
      <c r="L152" s="33">
        <f t="shared" si="3"/>
        <v>201.5118407</v>
      </c>
    </row>
    <row r="153">
      <c r="A153" s="29">
        <v>151.0</v>
      </c>
      <c r="B153" s="30" t="s">
        <v>942</v>
      </c>
      <c r="C153" s="31" t="str">
        <f>'PVC on Wall PRICE'!A127</f>
        <v>Providing and fixing PVC pipes, fittings including fixing the pipe with clamps at 1.00 m spacing. This includes jointing of pipes &amp; fittings with one step PVC solvent cement and testing of joints complete as per direction of Engineer- in- Charge 25 mm dia 12 Kgf/cm2 - Internal work - Exposed on wall (50.18.7.3.1)</v>
      </c>
      <c r="D153" s="31" t="str">
        <f t="shared" si="1"/>
        <v>Providing and fixing PVC pipes, fittings including fixing the pipe with clamps at 1.00 m spacing. This includes jointing of pipes &amp; fittings with one step PVC solvent cement and testing of joints complete as per direction of Engineer- in- Charge 25 mm dia 12 Kgf/cm2 - Internal work - Exposed on wall (50.18.7.3.1) (Code: GWDDR151)</v>
      </c>
      <c r="E153" s="29" t="s">
        <v>22</v>
      </c>
      <c r="F153" s="32" t="s">
        <v>48</v>
      </c>
      <c r="G153" s="32" t="s">
        <v>49</v>
      </c>
      <c r="H153" s="32" t="s">
        <v>924</v>
      </c>
      <c r="I153" s="116">
        <f>'PVC on Wall PRICE'!H155</f>
        <v>81.479225</v>
      </c>
      <c r="J153" s="116">
        <f>'PVC on Wall PRICE'!I155</f>
        <v>161.4400907</v>
      </c>
      <c r="K153" s="33">
        <f t="shared" si="2"/>
        <v>0</v>
      </c>
      <c r="L153" s="33">
        <f t="shared" si="3"/>
        <v>242.9193157</v>
      </c>
    </row>
    <row r="154">
      <c r="A154" s="29">
        <v>152.0</v>
      </c>
      <c r="B154" s="30" t="s">
        <v>950</v>
      </c>
      <c r="C154" s="31" t="str">
        <f>'PVC on Wall PRICE'!A158</f>
        <v>Providing and fixing PVC pipes, fittings including fixing the pipe with clamps at 1.00 m spacing. This includes jointing of pipes &amp; fittings with one step PVC solvent cement and testing of joints complete as per direction of Engineer-in-Charge 25 mm dia 10Kgf/ cm2- Internal work- Exposed on wall (50.18.7.3.2)</v>
      </c>
      <c r="D154" s="31" t="str">
        <f t="shared" si="1"/>
        <v>Providing and fixing PVC pipes, fittings including fixing the pipe with clamps at 1.00 m spacing. This includes jointing of pipes &amp; fittings with one step PVC solvent cement and testing of joints complete as per direction of Engineer-in-Charge 25 mm dia 10Kgf/ cm2- Internal work- Exposed on wall (50.18.7.3.2) (Code: GWDDR152)</v>
      </c>
      <c r="E154" s="29" t="s">
        <v>22</v>
      </c>
      <c r="F154" s="32" t="s">
        <v>48</v>
      </c>
      <c r="G154" s="32" t="s">
        <v>49</v>
      </c>
      <c r="H154" s="32" t="s">
        <v>924</v>
      </c>
      <c r="I154" s="116">
        <f>'PVC on Wall PRICE'!H186</f>
        <v>64.1148</v>
      </c>
      <c r="J154" s="116">
        <f>'PVC on Wall PRICE'!I186</f>
        <v>161.4400907</v>
      </c>
      <c r="K154" s="33">
        <f t="shared" si="2"/>
        <v>0</v>
      </c>
      <c r="L154" s="33">
        <f t="shared" si="3"/>
        <v>225.5548907</v>
      </c>
    </row>
    <row r="155">
      <c r="A155" s="29">
        <v>153.0</v>
      </c>
      <c r="B155" s="30" t="s">
        <v>959</v>
      </c>
      <c r="C155" s="31" t="str">
        <f>'PVC on Wall PRICE'!A189</f>
        <v>Providing and fixing PVC pipes, fittings including fixing the pipe with clamps at 1.00 m spacing. This includes jointing of pipes &amp; fittings with one step PVC solvent cement and testing of joints complete as per direction of Engineer-in-Charge 32 mm dia 10Kgf/cm2- Internal work - Exposed on wall (50.18.7.4.1)</v>
      </c>
      <c r="D155" s="31" t="str">
        <f t="shared" si="1"/>
        <v>Providing and fixing PVC pipes, fittings including fixing the pipe with clamps at 1.00 m spacing. This includes jointing of pipes &amp; fittings with one step PVC solvent cement and testing of joints complete as per direction of Engineer-in-Charge 32 mm dia 10Kgf/cm2- Internal work - Exposed on wall (50.18.7.4.1) (Code: GWDDR153)</v>
      </c>
      <c r="E155" s="29" t="s">
        <v>22</v>
      </c>
      <c r="F155" s="32" t="s">
        <v>48</v>
      </c>
      <c r="G155" s="32" t="s">
        <v>49</v>
      </c>
      <c r="H155" s="32" t="s">
        <v>924</v>
      </c>
      <c r="I155" s="116">
        <f>'PVC on Wall PRICE'!H217</f>
        <v>86.822125</v>
      </c>
      <c r="J155" s="116">
        <f>'PVC on Wall PRICE'!I217</f>
        <v>185.7655711</v>
      </c>
      <c r="K155" s="33">
        <f t="shared" si="2"/>
        <v>0</v>
      </c>
      <c r="L155" s="33">
        <f t="shared" si="3"/>
        <v>272.5876961</v>
      </c>
    </row>
    <row r="156">
      <c r="A156" s="29">
        <v>154.0</v>
      </c>
      <c r="B156" s="30" t="s">
        <v>965</v>
      </c>
      <c r="C156" s="31" t="str">
        <f>'PVC on Wall PRICE'!A220</f>
        <v>Providing and fixing PVC pipes, fittings including fixing the pipe with clamps at 1.00m spacing. This includes jointing of pipes &amp; fittings with one step PVC solvent cement and testing of joints complete as per direction of Engineer-in-Charge 40 mm dia 10 Kgf/cm2- Internal work- exposed on wall (50.18.7.5.1)</v>
      </c>
      <c r="D156" s="31" t="str">
        <f t="shared" si="1"/>
        <v>Providing and fixing PVC pipes, fittings including fixing the pipe with clamps at 1.00m spacing. This includes jointing of pipes &amp; fittings with one step PVC solvent cement and testing of joints complete as per direction of Engineer-in-Charge 40 mm dia 10 Kgf/cm2- Internal work- exposed on wall (50.18.7.5.1) (Code: GWDDR154)</v>
      </c>
      <c r="E156" s="29" t="s">
        <v>22</v>
      </c>
      <c r="F156" s="32" t="s">
        <v>48</v>
      </c>
      <c r="G156" s="32" t="s">
        <v>49</v>
      </c>
      <c r="H156" s="32" t="s">
        <v>924</v>
      </c>
      <c r="I156" s="116">
        <f>'PVC on Wall PRICE'!H248</f>
        <v>112.2009</v>
      </c>
      <c r="J156" s="116">
        <f>'PVC on Wall PRICE'!I248</f>
        <v>238.14346</v>
      </c>
      <c r="K156" s="33">
        <f t="shared" si="2"/>
        <v>0</v>
      </c>
      <c r="L156" s="33">
        <f t="shared" si="3"/>
        <v>350.34436</v>
      </c>
    </row>
    <row r="157">
      <c r="A157" s="29">
        <v>155.0</v>
      </c>
      <c r="B157" s="30" t="s">
        <v>973</v>
      </c>
      <c r="C157" s="31" t="str">
        <f>'PVC on Wall PRICE'!A251</f>
        <v>Providing and fixing PVC pipes, fittings including fixing the pipe with clamps at 1.00 m spacing. This includes jointing of pipes &amp; fittings with one step PVC solvent cement and testing of joints complete as per direction of Engineer-in-Charge 40 mm dia 6Kgf/cm2 - Internal work - Exposed on wall (50.18.7.5.2)</v>
      </c>
      <c r="D157" s="31" t="str">
        <f t="shared" si="1"/>
        <v>Providing and fixing PVC pipes, fittings including fixing the pipe with clamps at 1.00 m spacing. This includes jointing of pipes &amp; fittings with one step PVC solvent cement and testing of joints complete as per direction of Engineer-in-Charge 40 mm dia 6Kgf/cm2 - Internal work - Exposed on wall (50.18.7.5.2) (Code: GWDDR155)</v>
      </c>
      <c r="E157" s="29" t="s">
        <v>22</v>
      </c>
      <c r="F157" s="32" t="s">
        <v>48</v>
      </c>
      <c r="G157" s="32" t="s">
        <v>49</v>
      </c>
      <c r="H157" s="32" t="s">
        <v>924</v>
      </c>
      <c r="I157" s="116">
        <f>'PVC on Wall PRICE'!H279</f>
        <v>70.793425</v>
      </c>
      <c r="J157" s="116">
        <f>'PVC on Wall PRICE'!I279</f>
        <v>238.14346</v>
      </c>
      <c r="K157" s="33">
        <f t="shared" si="2"/>
        <v>0</v>
      </c>
      <c r="L157" s="33">
        <f t="shared" si="3"/>
        <v>308.936885</v>
      </c>
    </row>
    <row r="158">
      <c r="A158" s="29">
        <v>156.0</v>
      </c>
      <c r="B158" s="30" t="s">
        <v>981</v>
      </c>
      <c r="C158" s="31" t="str">
        <f>'PVC on Wall PRICE'!A282</f>
        <v>Providing and fixing PVC pipes, fittings including fixing the pipe with clamps at 1.00 m spacing. This includes jointing of pipes &amp; fittings with one step PVC solvent cement and testing of joints complete as per direction of Engineer-in-Charge 50 mm dia 10 kgf/cm - Internal work- Exposed on wall (50.18.7.6.1)</v>
      </c>
      <c r="D158" s="31" t="str">
        <f t="shared" si="1"/>
        <v>Providing and fixing PVC pipes, fittings including fixing the pipe with clamps at 1.00 m spacing. This includes jointing of pipes &amp; fittings with one step PVC solvent cement and testing of joints complete as per direction of Engineer-in-Charge 50 mm dia 10 kgf/cm - Internal work- Exposed on wall (50.18.7.6.1) (Code: GWDDR156)</v>
      </c>
      <c r="E158" s="29" t="s">
        <v>22</v>
      </c>
      <c r="F158" s="32" t="s">
        <v>48</v>
      </c>
      <c r="G158" s="32" t="s">
        <v>49</v>
      </c>
      <c r="H158" s="32" t="s">
        <v>924</v>
      </c>
      <c r="I158" s="116">
        <f>'PVC on Wall PRICE'!H310</f>
        <v>120.21525</v>
      </c>
      <c r="J158" s="116">
        <f>'PVC on Wall PRICE'!I310</f>
        <v>238.14346</v>
      </c>
      <c r="K158" s="33">
        <f t="shared" si="2"/>
        <v>0</v>
      </c>
      <c r="L158" s="33">
        <f t="shared" si="3"/>
        <v>358.35871</v>
      </c>
    </row>
    <row r="159">
      <c r="A159" s="29">
        <v>157.0</v>
      </c>
      <c r="B159" s="30" t="s">
        <v>991</v>
      </c>
      <c r="C159" s="31" t="str">
        <f>'PVC on Wall PRICE'!A313</f>
        <v>Providing and fixing PVC pipes, fittings including fixing the pipe with clamps at 1.00 m spacing . This includes jointing of pipes &amp; fittings with one step PVC solvent cement and testing of joints complete as per direction of Engineer-in-Charge 50 mm dia 6 Kgf/cm2 - Internal work- Exposed on wall (50.18.7.6.2)</v>
      </c>
      <c r="D159" s="31" t="str">
        <f t="shared" si="1"/>
        <v>Providing and fixing PVC pipes, fittings including fixing the pipe with clamps at 1.00 m spacing . This includes jointing of pipes &amp; fittings with one step PVC solvent cement and testing of joints complete as per direction of Engineer-in-Charge 50 mm dia 6 Kgf/cm2 - Internal work- Exposed on wall (50.18.7.6.2) (Code: GWDDR157)</v>
      </c>
      <c r="E159" s="29" t="s">
        <v>22</v>
      </c>
      <c r="F159" s="32" t="s">
        <v>48</v>
      </c>
      <c r="G159" s="32" t="s">
        <v>49</v>
      </c>
      <c r="H159" s="32" t="s">
        <v>924</v>
      </c>
      <c r="I159" s="116">
        <f>'PVC on Wall PRICE'!H341</f>
        <v>80.1435</v>
      </c>
      <c r="J159" s="116">
        <f>'PVC on Wall PRICE'!I341</f>
        <v>238.14346</v>
      </c>
      <c r="K159" s="33">
        <f t="shared" si="2"/>
        <v>0</v>
      </c>
      <c r="L159" s="33">
        <f t="shared" si="3"/>
        <v>318.28696</v>
      </c>
    </row>
    <row r="160">
      <c r="A160" s="29">
        <v>158.0</v>
      </c>
      <c r="B160" s="30" t="s">
        <v>997</v>
      </c>
      <c r="C160" s="31" t="str">
        <f>'PVC on Wall PRICE'!A344</f>
        <v>Providing and fixing PVC pipes, fittings including fixing the pipe with clamps at 1.00 m spacing. This included jointing of pipes &amp; fittings with one step PVC solvent cement and testing of joints compete as per direction of Engineer-in-Charge 15 mm dia 12 Kgf/cm2-External work - Exposed on wall (50.18.9.11.1)</v>
      </c>
      <c r="D160" s="31" t="str">
        <f t="shared" si="1"/>
        <v>Providing and fixing PVC pipes, fittings including fixing the pipe with clamps at 1.00 m spacing. This included jointing of pipes &amp; fittings with one step PVC solvent cement and testing of joints compete as per direction of Engineer-in-Charge 15 mm dia 12 Kgf/cm2-External work - Exposed on wall (50.18.9.11.1) (Code: GWDDR158)</v>
      </c>
      <c r="E160" s="29" t="s">
        <v>22</v>
      </c>
      <c r="F160" s="32" t="s">
        <v>48</v>
      </c>
      <c r="G160" s="32" t="s">
        <v>49</v>
      </c>
      <c r="H160" s="32" t="s">
        <v>924</v>
      </c>
      <c r="I160" s="116">
        <f>'PVC on Wall PRICE'!H374</f>
        <v>50.75755</v>
      </c>
      <c r="J160" s="116">
        <f>'PVC on Wall PRICE'!I374</f>
        <v>155.799568</v>
      </c>
      <c r="K160" s="33">
        <f t="shared" si="2"/>
        <v>0</v>
      </c>
      <c r="L160" s="33">
        <f t="shared" si="3"/>
        <v>206.557118</v>
      </c>
    </row>
    <row r="161">
      <c r="A161" s="29">
        <v>159.0</v>
      </c>
      <c r="B161" s="30" t="s">
        <v>1004</v>
      </c>
      <c r="C161" s="31" t="str">
        <f>'PVC on Wall PRICE'!A377</f>
        <v>Providing and fixing PVC pipes, fittings including fixing the pipe with clamps at 1.00m spacing. This includes jointing of pipes &amp; fittings with one step PVC solvent cement and testing of joints complete as per direction of Engineer-in-Charge 15 mm dia 10 Kgf/cm2- External work - Exposed on wall (50.18.9.11.2)</v>
      </c>
      <c r="D161" s="31" t="str">
        <f t="shared" si="1"/>
        <v>Providing and fixing PVC pipes, fittings including fixing the pipe with clamps at 1.00m spacing. This includes jointing of pipes &amp; fittings with one step PVC solvent cement and testing of joints complete as per direction of Engineer-in-Charge 15 mm dia 10 Kgf/cm2- External work - Exposed on wall (50.18.9.11.2) (Code: GWDDR159)</v>
      </c>
      <c r="E161" s="29" t="s">
        <v>22</v>
      </c>
      <c r="F161" s="32" t="s">
        <v>48</v>
      </c>
      <c r="G161" s="32" t="s">
        <v>49</v>
      </c>
      <c r="H161" s="32" t="s">
        <v>924</v>
      </c>
      <c r="I161" s="116">
        <f>'PVC on Wall PRICE'!H407</f>
        <v>36.064575</v>
      </c>
      <c r="J161" s="116">
        <f>'PVC on Wall PRICE'!I407</f>
        <v>155.799568</v>
      </c>
      <c r="K161" s="33">
        <f t="shared" si="2"/>
        <v>0</v>
      </c>
      <c r="L161" s="33">
        <f t="shared" si="3"/>
        <v>191.864143</v>
      </c>
    </row>
    <row r="162">
      <c r="A162" s="29">
        <v>160.0</v>
      </c>
      <c r="B162" s="30" t="s">
        <v>1013</v>
      </c>
      <c r="C162" s="31" t="str">
        <f>'PVC on Wall PRICE'!A410</f>
        <v>Providing and fixing PVC pipes, fittings including fixing the pipe with clamps at 1.00 m spacing. This includes jointing of pipes &amp; fittings with one step PVC solvent cement and testing of joints complete as per direction of Engineer-in-Charge 20 mm dia 12 Kgf/cm2 - External work - Exposed on wall (50.18.9.12.1)</v>
      </c>
      <c r="D162" s="31" t="str">
        <f t="shared" si="1"/>
        <v>Providing and fixing PVC pipes, fittings including fixing the pipe with clamps at 1.00 m spacing. This includes jointing of pipes &amp; fittings with one step PVC solvent cement and testing of joints complete as per direction of Engineer-in-Charge 20 mm dia 12 Kgf/cm2 - External work - Exposed on wall (50.18.9.12.1) (Code: GWDDR160)</v>
      </c>
      <c r="E162" s="29" t="s">
        <v>22</v>
      </c>
      <c r="F162" s="32" t="s">
        <v>48</v>
      </c>
      <c r="G162" s="32" t="s">
        <v>49</v>
      </c>
      <c r="H162" s="32" t="s">
        <v>924</v>
      </c>
      <c r="I162" s="116">
        <f>'PVC on Wall PRICE'!H440</f>
        <v>54.0968625</v>
      </c>
      <c r="J162" s="116">
        <f>'PVC on Wall PRICE'!I440</f>
        <v>169.068544</v>
      </c>
      <c r="K162" s="33">
        <f t="shared" si="2"/>
        <v>0</v>
      </c>
      <c r="L162" s="33">
        <f t="shared" si="3"/>
        <v>223.1654065</v>
      </c>
    </row>
    <row r="163">
      <c r="A163" s="29">
        <v>161.0</v>
      </c>
      <c r="B163" s="30" t="s">
        <v>1021</v>
      </c>
      <c r="C163" s="31" t="str">
        <f>'PVC on Wall PRICE'!A443</f>
        <v>Providing and fixing PVC pipes, fittings including fixing the pipe with clamps at 1.00 m spacing. This includes jointing of pipes &amp; fittings with one step PVC solvent cement and testing of joints complete as per direction of Engineer-in-Charge 20 mm dia 10Kgf/cm2 External work- Exposed on wall (50.18.9.12.2)</v>
      </c>
      <c r="D163" s="31" t="str">
        <f t="shared" si="1"/>
        <v>Providing and fixing PVC pipes, fittings including fixing the pipe with clamps at 1.00 m spacing. This includes jointing of pipes &amp; fittings with one step PVC solvent cement and testing of joints complete as per direction of Engineer-in-Charge 20 mm dia 10Kgf/cm2 External work- Exposed on wall (50.18.9.12.2) (Code: GWDDR161)</v>
      </c>
      <c r="E163" s="29" t="s">
        <v>22</v>
      </c>
      <c r="F163" s="32" t="s">
        <v>48</v>
      </c>
      <c r="G163" s="32" t="s">
        <v>49</v>
      </c>
      <c r="H163" s="32" t="s">
        <v>924</v>
      </c>
      <c r="I163" s="116">
        <f>'PVC on Wall PRICE'!H473</f>
        <v>40.07175</v>
      </c>
      <c r="J163" s="116">
        <f>'PVC on Wall PRICE'!I473</f>
        <v>169.068544</v>
      </c>
      <c r="K163" s="33">
        <f t="shared" si="2"/>
        <v>0</v>
      </c>
      <c r="L163" s="33">
        <f t="shared" si="3"/>
        <v>209.140294</v>
      </c>
    </row>
    <row r="164">
      <c r="A164" s="29">
        <v>162.0</v>
      </c>
      <c r="B164" s="30" t="s">
        <v>1028</v>
      </c>
      <c r="C164" s="31" t="str">
        <f>'PVC on Wall PRICE'!A476</f>
        <v>Providing and fixing PVC pipes, fittings including fixing the pipe with clamps at 1.00 m spacing. This includes jointing of pipes &amp; fittings with one step PVC solvent cement and testing of joints complete as per direction of Engineer-in-Charge 25 mm dia 12 Kgf/ cm2- External work- exposed on wall (50.18.9.13.1)</v>
      </c>
      <c r="D164" s="31" t="str">
        <f t="shared" si="1"/>
        <v>Providing and fixing PVC pipes, fittings including fixing the pipe with clamps at 1.00 m spacing. This includes jointing of pipes &amp; fittings with one step PVC solvent cement and testing of joints complete as per direction of Engineer-in-Charge 25 mm dia 12 Kgf/ cm2- External work- exposed on wall (50.18.9.13.1) (Code: GWDDR162)</v>
      </c>
      <c r="E164" s="29" t="s">
        <v>22</v>
      </c>
      <c r="F164" s="32" t="s">
        <v>48</v>
      </c>
      <c r="G164" s="32" t="s">
        <v>49</v>
      </c>
      <c r="H164" s="32" t="s">
        <v>924</v>
      </c>
      <c r="I164" s="116">
        <f>'PVC on Wall PRICE'!H506</f>
        <v>81.479225</v>
      </c>
      <c r="J164" s="116">
        <f>'PVC on Wall PRICE'!I506</f>
        <v>169.068544</v>
      </c>
      <c r="K164" s="33">
        <f t="shared" si="2"/>
        <v>0</v>
      </c>
      <c r="L164" s="33">
        <f t="shared" si="3"/>
        <v>250.547769</v>
      </c>
    </row>
    <row r="165">
      <c r="A165" s="29">
        <v>163.0</v>
      </c>
      <c r="B165" s="30" t="s">
        <v>1036</v>
      </c>
      <c r="C165" s="31" t="str">
        <f>'PVC on Wall PRICE'!A509</f>
        <v>Providing and fixing PVC pipes, fittings including fixing the pipe with clamps at 1.00 m spacing. This includes jointing of pipes &amp; fittings with one step PVC solvent cement and testing of joints complete as per direction of Engineer-in-Charge 25 mm dia 10 Kgf/cm2- External work - Exposed on wall (50.18.9.13.2)</v>
      </c>
      <c r="D165" s="31" t="str">
        <f t="shared" si="1"/>
        <v>Providing and fixing PVC pipes, fittings including fixing the pipe with clamps at 1.00 m spacing. This includes jointing of pipes &amp; fittings with one step PVC solvent cement and testing of joints complete as per direction of Engineer-in-Charge 25 mm dia 10 Kgf/cm2- External work - Exposed on wall (50.18.9.13.2) (Code: GWDDR163)</v>
      </c>
      <c r="E165" s="29" t="s">
        <v>22</v>
      </c>
      <c r="F165" s="32" t="s">
        <v>48</v>
      </c>
      <c r="G165" s="32" t="s">
        <v>49</v>
      </c>
      <c r="H165" s="32" t="s">
        <v>924</v>
      </c>
      <c r="I165" s="116">
        <f>'PVC on Wall PRICE'!H539</f>
        <v>64.1148</v>
      </c>
      <c r="J165" s="116">
        <f>'PVC on Wall PRICE'!I539</f>
        <v>169.068544</v>
      </c>
      <c r="K165" s="33">
        <f t="shared" si="2"/>
        <v>0</v>
      </c>
      <c r="L165" s="33">
        <f t="shared" si="3"/>
        <v>233.183344</v>
      </c>
    </row>
    <row r="166">
      <c r="A166" s="29">
        <v>164.0</v>
      </c>
      <c r="B166" s="30" t="s">
        <v>1046</v>
      </c>
      <c r="C166" s="31" t="str">
        <f>'PVC on Wall PRICE'!A542</f>
        <v>Providing and fixing PVC pipes, fittings including fixing the pipe with clamps at 1.00 m spacing. This includes jointing of pipes &amp; fittings with one step PVC solvent cement and testing of joints complete as per direction of Engineer-in-Charge 32 mm dia 10 Kgf/cm2 - External work- Exposed on wall (50.18.9.14.1)</v>
      </c>
      <c r="D166" s="31" t="str">
        <f t="shared" si="1"/>
        <v>Providing and fixing PVC pipes, fittings including fixing the pipe with clamps at 1.00 m spacing. This includes jointing of pipes &amp; fittings with one step PVC solvent cement and testing of joints complete as per direction of Engineer-in-Charge 32 mm dia 10 Kgf/cm2 - External work- Exposed on wall (50.18.9.14.1) (Code: GWDDR164)</v>
      </c>
      <c r="E166" s="29" t="s">
        <v>22</v>
      </c>
      <c r="F166" s="32" t="s">
        <v>48</v>
      </c>
      <c r="G166" s="32" t="s">
        <v>49</v>
      </c>
      <c r="H166" s="32" t="s">
        <v>924</v>
      </c>
      <c r="I166" s="116">
        <f>'PVC on Wall PRICE'!H572</f>
        <v>86.822125</v>
      </c>
      <c r="J166" s="116">
        <f>'PVC on Wall PRICE'!I572</f>
        <v>193.3940243</v>
      </c>
      <c r="K166" s="33">
        <f t="shared" si="2"/>
        <v>0</v>
      </c>
      <c r="L166" s="33">
        <f t="shared" si="3"/>
        <v>280.2161493</v>
      </c>
    </row>
    <row r="167">
      <c r="A167" s="29">
        <v>165.0</v>
      </c>
      <c r="B167" s="30" t="s">
        <v>1059</v>
      </c>
      <c r="C167" s="31" t="str">
        <f>'PVC on Wall PRICE'!A575</f>
        <v>Providing and fixing PVC pipes, fittings including fixing the pipe with clamps at 1.00 m spacing. this includes jointing of pipes &amp; fittings with one step PVC solvent cement and testing of joints complete as per direction of Engineer-in-Charge 32 mm dia 6 Kgf/cm2 - External work - Exposed on wall (50.18.9.14.2)</v>
      </c>
      <c r="D167" s="31" t="str">
        <f t="shared" si="1"/>
        <v>Providing and fixing PVC pipes, fittings including fixing the pipe with clamps at 1.00 m spacing. this includes jointing of pipes &amp; fittings with one step PVC solvent cement and testing of joints complete as per direction of Engineer-in-Charge 32 mm dia 6 Kgf/cm2 - External work - Exposed on wall (50.18.9.14.2) (Code: GWDDR165)</v>
      </c>
      <c r="E167" s="29" t="s">
        <v>22</v>
      </c>
      <c r="F167" s="32" t="s">
        <v>48</v>
      </c>
      <c r="G167" s="32" t="s">
        <v>49</v>
      </c>
      <c r="H167" s="32" t="s">
        <v>924</v>
      </c>
      <c r="I167" s="116">
        <f>'PVC on Wall PRICE'!H605</f>
        <v>69.4577</v>
      </c>
      <c r="J167" s="116">
        <f>'PVC on Wall PRICE'!I605</f>
        <v>193.3940243</v>
      </c>
      <c r="K167" s="33">
        <f t="shared" si="2"/>
        <v>0</v>
      </c>
      <c r="L167" s="33">
        <f t="shared" si="3"/>
        <v>262.8517243</v>
      </c>
    </row>
    <row r="168">
      <c r="A168" s="29">
        <v>166.0</v>
      </c>
      <c r="B168" s="30" t="s">
        <v>1071</v>
      </c>
      <c r="C168" s="31" t="str">
        <f>'PVC on Wall PRICE'!A608</f>
        <v>Providing and fixing PVC pipes, fittings including fixing the pipe with clamps at 1.00 m spacing. This includes jointing of pipes &amp; fittings with one step PVC solvent cement and testing of joints complete as per direction of Engineer-in-Charge 40 mm dia 10Kgf/cm2- External work- Exposed on wall (50.18.9.15.1)</v>
      </c>
      <c r="D168" s="31" t="str">
        <f t="shared" si="1"/>
        <v>Providing and fixing PVC pipes, fittings including fixing the pipe with clamps at 1.00 m spacing. This includes jointing of pipes &amp; fittings with one step PVC solvent cement and testing of joints complete as per direction of Engineer-in-Charge 40 mm dia 10Kgf/cm2- External work- Exposed on wall (50.18.9.15.1) (Code: GWDDR166)</v>
      </c>
      <c r="E168" s="29" t="s">
        <v>22</v>
      </c>
      <c r="F168" s="32" t="s">
        <v>48</v>
      </c>
      <c r="G168" s="32" t="s">
        <v>49</v>
      </c>
      <c r="H168" s="32" t="s">
        <v>924</v>
      </c>
      <c r="I168" s="116">
        <f>'PVC on Wall PRICE'!H638</f>
        <v>112.2009</v>
      </c>
      <c r="J168" s="116">
        <f>'PVC on Wall PRICE'!I638</f>
        <v>245.7719133</v>
      </c>
      <c r="K168" s="33">
        <f t="shared" si="2"/>
        <v>0</v>
      </c>
      <c r="L168" s="33">
        <f t="shared" si="3"/>
        <v>357.9728133</v>
      </c>
    </row>
    <row r="169">
      <c r="A169" s="29">
        <v>167.0</v>
      </c>
      <c r="B169" s="30" t="s">
        <v>1081</v>
      </c>
      <c r="C169" s="31" t="str">
        <f>'PVC on Wall PRICE'!A641</f>
        <v>Providing and fixing PVC pipes, fittings including fixing the pipe with clamps at 1.00 m spacing. This includes jointing of pipes &amp; fittings with one step PVC solvent cement and testing of joints complete as per direction of Engineer-in-Charge 40 mm dia 6 Kgf/cm2 - External work - Exposed on wall (50.18.9.15.2)</v>
      </c>
      <c r="D169" s="31" t="str">
        <f t="shared" si="1"/>
        <v>Providing and fixing PVC pipes, fittings including fixing the pipe with clamps at 1.00 m spacing. This includes jointing of pipes &amp; fittings with one step PVC solvent cement and testing of joints complete as per direction of Engineer-in-Charge 40 mm dia 6 Kgf/cm2 - External work - Exposed on wall (50.18.9.15.2) (Code: GWDDR167)</v>
      </c>
      <c r="E169" s="29" t="s">
        <v>22</v>
      </c>
      <c r="F169" s="32" t="s">
        <v>48</v>
      </c>
      <c r="G169" s="32" t="s">
        <v>49</v>
      </c>
      <c r="H169" s="32" t="s">
        <v>924</v>
      </c>
      <c r="I169" s="116">
        <f>'PVC on Wall PRICE'!H671</f>
        <v>70.793425</v>
      </c>
      <c r="J169" s="116">
        <f>'PVC on Wall PRICE'!I671</f>
        <v>245.7719133</v>
      </c>
      <c r="K169" s="33">
        <f t="shared" si="2"/>
        <v>0</v>
      </c>
      <c r="L169" s="33">
        <f t="shared" si="3"/>
        <v>316.5653383</v>
      </c>
    </row>
    <row r="170">
      <c r="A170" s="29">
        <v>168.0</v>
      </c>
      <c r="B170" s="30" t="s">
        <v>1088</v>
      </c>
      <c r="C170" s="31" t="str">
        <f>'PVC on Wall PRICE'!A674</f>
        <v>Providing and fixing PVC pipes, fittings including fixing the pipe with clamps at 1.00 m spacing. This includes jointing of pipes &amp; fittings with one step PVC solvent cement and testing of joints complete as per direction of Engineer-in-Charge 50 mm dia 10Kgf/cm2 - External work - Exposed on wall (50.18.9.16.1)</v>
      </c>
      <c r="D170" s="31" t="str">
        <f t="shared" si="1"/>
        <v>Providing and fixing PVC pipes, fittings including fixing the pipe with clamps at 1.00 m spacing. This includes jointing of pipes &amp; fittings with one step PVC solvent cement and testing of joints complete as per direction of Engineer-in-Charge 50 mm dia 10Kgf/cm2 - External work - Exposed on wall (50.18.9.16.1) (Code: GWDDR168)</v>
      </c>
      <c r="E170" s="29" t="s">
        <v>22</v>
      </c>
      <c r="F170" s="32" t="s">
        <v>48</v>
      </c>
      <c r="G170" s="32" t="s">
        <v>49</v>
      </c>
      <c r="H170" s="32" t="s">
        <v>924</v>
      </c>
      <c r="I170" s="116">
        <f>'PVC on Wall PRICE'!H704</f>
        <v>120.21525</v>
      </c>
      <c r="J170" s="116">
        <f>'PVC on Wall PRICE'!I704</f>
        <v>245.7719133</v>
      </c>
      <c r="K170" s="33">
        <f t="shared" si="2"/>
        <v>0</v>
      </c>
      <c r="L170" s="33">
        <f t="shared" si="3"/>
        <v>365.9871633</v>
      </c>
    </row>
    <row r="171">
      <c r="A171" s="29">
        <v>169.0</v>
      </c>
      <c r="B171" s="30" t="s">
        <v>1096</v>
      </c>
      <c r="C171" s="31" t="str">
        <f>'PVC on Wall PRICE'!A707</f>
        <v>Providing and fixing PVC pipes, fittings including fixing the pipe with clamps at 1.00 m spacing. This includes jointing of pipes &amp; fittings with one step PVC solvent cement and testing of joints complete as per direction of Engineer-in-Charge 50 mm dia 6Kgf/cm2 - External work - Exposed on wall (50.18.9.16.2)</v>
      </c>
      <c r="D171" s="31" t="str">
        <f t="shared" si="1"/>
        <v>Providing and fixing PVC pipes, fittings including fixing the pipe with clamps at 1.00 m spacing. This includes jointing of pipes &amp; fittings with one step PVC solvent cement and testing of joints complete as per direction of Engineer-in-Charge 50 mm dia 6Kgf/cm2 - External work - Exposed on wall (50.18.9.16.2) (Code: GWDDR169)</v>
      </c>
      <c r="E171" s="29" t="s">
        <v>22</v>
      </c>
      <c r="F171" s="32" t="s">
        <v>48</v>
      </c>
      <c r="G171" s="32" t="s">
        <v>49</v>
      </c>
      <c r="H171" s="32" t="s">
        <v>924</v>
      </c>
      <c r="I171" s="116">
        <f>'PVC on Wall PRICE'!H737</f>
        <v>80.1435</v>
      </c>
      <c r="J171" s="116">
        <f>'PVC on Wall PRICE'!I737</f>
        <v>245.7719133</v>
      </c>
      <c r="K171" s="33">
        <f t="shared" si="2"/>
        <v>0</v>
      </c>
      <c r="L171" s="33">
        <f t="shared" si="3"/>
        <v>325.9154133</v>
      </c>
    </row>
    <row r="172">
      <c r="A172" s="29">
        <v>170.0</v>
      </c>
      <c r="B172" s="30" t="s">
        <v>1101</v>
      </c>
      <c r="C172" s="31" t="str">
        <f>'PVC on Wall PRICE'!A740</f>
        <v>Providing and fixing PVC pipes including fixing the pipe with clamps/ clip at 1.00 m spacing . This includes jointing of pipes with one step PVC solvent cement and testing of joints complete as per direction of Engineer-in-Charge 63 mm dia 6 Kgf/cm2 - External work - Exposed on wall (50.18.9.17.1)</v>
      </c>
      <c r="D172" s="31" t="str">
        <f t="shared" si="1"/>
        <v>Providing and fixing PVC pipes including fixing the pipe with clamps/ clip at 1.00 m spacing . This includes jointing of pipes with one step PVC solvent cement and testing of joints complete as per direction of Engineer-in-Charge 63 mm dia 6 Kgf/cm2 - External work - Exposed on wall (50.18.9.17.1) (Code: GWDDR170)</v>
      </c>
      <c r="E172" s="29" t="s">
        <v>22</v>
      </c>
      <c r="F172" s="32" t="s">
        <v>48</v>
      </c>
      <c r="G172" s="32" t="s">
        <v>49</v>
      </c>
      <c r="H172" s="32" t="s">
        <v>924</v>
      </c>
      <c r="I172" s="116">
        <f>'PVC on Wall PRICE'!H772</f>
        <v>143.90985</v>
      </c>
      <c r="J172" s="116">
        <f>'PVC on Wall PRICE'!I772</f>
        <v>102.0741996</v>
      </c>
      <c r="K172" s="33">
        <f t="shared" si="2"/>
        <v>0</v>
      </c>
      <c r="L172" s="33">
        <f t="shared" si="3"/>
        <v>245.9840496</v>
      </c>
    </row>
    <row r="173">
      <c r="A173" s="29">
        <v>171.0</v>
      </c>
      <c r="B173" s="30" t="s">
        <v>1108</v>
      </c>
      <c r="C173" s="31" t="str">
        <f>'PVC on Wall PRICE'!A775</f>
        <v>Providing and fixing PVC pipes including fixing the pipe with clamps/clips at 1.00 m spacing. This includes jointing of pipes with one step PVC solvent cement and testing of joints complete as per direction of Engineer-in-Charge 63 mm dia 4 Kgf/cm2- External work - exposed on wall (50.18.9.17.2)</v>
      </c>
      <c r="D173" s="31" t="str">
        <f t="shared" si="1"/>
        <v>Providing and fixing PVC pipes including fixing the pipe with clamps/clips at 1.00 m spacing. This includes jointing of pipes with one step PVC solvent cement and testing of joints complete as per direction of Engineer-in-Charge 63 mm dia 4 Kgf/cm2- External work - exposed on wall (50.18.9.17.2) (Code: GWDDR171)</v>
      </c>
      <c r="E173" s="29" t="s">
        <v>22</v>
      </c>
      <c r="F173" s="32" t="s">
        <v>48</v>
      </c>
      <c r="G173" s="32" t="s">
        <v>49</v>
      </c>
      <c r="H173" s="32" t="s">
        <v>924</v>
      </c>
      <c r="I173" s="116">
        <f>'PVC on Wall PRICE'!H807</f>
        <v>101.224725</v>
      </c>
      <c r="J173" s="116">
        <f>'PVC on Wall PRICE'!I807</f>
        <v>102.0741996</v>
      </c>
      <c r="K173" s="33">
        <f t="shared" si="2"/>
        <v>0</v>
      </c>
      <c r="L173" s="33">
        <f t="shared" si="3"/>
        <v>203.2989246</v>
      </c>
    </row>
    <row r="174">
      <c r="A174" s="29">
        <v>172.0</v>
      </c>
      <c r="B174" s="30" t="s">
        <v>1118</v>
      </c>
      <c r="C174" s="31" t="str">
        <f>'PVC on Wall PRICE'!A810</f>
        <v>Providing and fixing PVC pipes including fixing the pipe with clamps/clips at 1.00 m spacing. This included jointing of pipes with one step PVC solvent cement and testing of joints complete as per direction of Engineer-in-Charge 75 mm dia 6Kgf/cm2 - External work- Exposed on wall (50.18.9.18.1)</v>
      </c>
      <c r="D174" s="31" t="str">
        <f t="shared" si="1"/>
        <v>Providing and fixing PVC pipes including fixing the pipe with clamps/clips at 1.00 m spacing. This included jointing of pipes with one step PVC solvent cement and testing of joints complete as per direction of Engineer-in-Charge 75 mm dia 6Kgf/cm2 - External work- Exposed on wall (50.18.9.18.1) (Code: GWDDR172)</v>
      </c>
      <c r="E174" s="29" t="s">
        <v>22</v>
      </c>
      <c r="F174" s="32" t="s">
        <v>48</v>
      </c>
      <c r="G174" s="32" t="s">
        <v>49</v>
      </c>
      <c r="H174" s="32" t="s">
        <v>924</v>
      </c>
      <c r="I174" s="116">
        <f>'PVC on Wall PRICE'!H842</f>
        <v>157.325175</v>
      </c>
      <c r="J174" s="116">
        <f>'PVC on Wall PRICE'!I842</f>
        <v>102.0741996</v>
      </c>
      <c r="K174" s="33">
        <f t="shared" si="2"/>
        <v>0</v>
      </c>
      <c r="L174" s="33">
        <f t="shared" si="3"/>
        <v>259.3993746</v>
      </c>
    </row>
    <row r="175">
      <c r="A175" s="29">
        <v>173.0</v>
      </c>
      <c r="B175" s="30" t="s">
        <v>1124</v>
      </c>
      <c r="C175" s="31" t="str">
        <f>'PVC on Wall PRICE'!A845</f>
        <v>Providing and fixing PVC pipes including fixing the pipe with clamps/Clips at 1.00 m spacing. This included jointing of pipes with one step PVC solvent cement and testing of joints complete as per direction of Engineer-in-Charge 75 mm dia 4 kgf/cm2 - External work - Exposed on wall (50.18.9.18.2)</v>
      </c>
      <c r="D175" s="31" t="str">
        <f t="shared" si="1"/>
        <v>Providing and fixing PVC pipes including fixing the pipe with clamps/Clips at 1.00 m spacing. This included jointing of pipes with one step PVC solvent cement and testing of joints complete as per direction of Engineer-in-Charge 75 mm dia 4 kgf/cm2 - External work - Exposed on wall (50.18.9.18.2) (Code: GWDDR173)</v>
      </c>
      <c r="E175" s="29" t="s">
        <v>22</v>
      </c>
      <c r="F175" s="32" t="s">
        <v>48</v>
      </c>
      <c r="G175" s="32" t="s">
        <v>49</v>
      </c>
      <c r="H175" s="32" t="s">
        <v>924</v>
      </c>
      <c r="I175" s="116">
        <f>'PVC on Wall PRICE'!H877</f>
        <v>115.859625</v>
      </c>
      <c r="J175" s="116">
        <f>'PVC on Wall PRICE'!I877</f>
        <v>102.0741996</v>
      </c>
      <c r="K175" s="33">
        <f t="shared" si="2"/>
        <v>0</v>
      </c>
      <c r="L175" s="33">
        <f t="shared" si="3"/>
        <v>217.9338246</v>
      </c>
    </row>
    <row r="176">
      <c r="A176" s="29">
        <v>174.0</v>
      </c>
      <c r="B176" s="30" t="s">
        <v>1128</v>
      </c>
      <c r="C176" s="31" t="str">
        <f>'PVC on Wall PRICE'!A880</f>
        <v>Providing and fixing PVC pipes including fixing the pipe with clamps/ clips/ at 1.00 m spacing . This includes jointing of pipes with one step PVC solvent cement and testing of joints complete as per direction of Engineer-in-Charge 110 mm dia 6 Kgf/cm2 - External work- Exposed on wall (50.18.9.19.1)</v>
      </c>
      <c r="D176" s="31" t="str">
        <f t="shared" si="1"/>
        <v>Providing and fixing PVC pipes including fixing the pipe with clamps/ clips/ at 1.00 m spacing . This includes jointing of pipes with one step PVC solvent cement and testing of joints complete as per direction of Engineer-in-Charge 110 mm dia 6 Kgf/cm2 - External work- Exposed on wall (50.18.9.19.1) (Code: GWDDR174)</v>
      </c>
      <c r="E176" s="29" t="s">
        <v>22</v>
      </c>
      <c r="F176" s="32" t="s">
        <v>48</v>
      </c>
      <c r="G176" s="32" t="s">
        <v>49</v>
      </c>
      <c r="H176" s="32" t="s">
        <v>924</v>
      </c>
      <c r="I176" s="116">
        <f>'PVC on Wall PRICE'!H912</f>
        <v>257.330325</v>
      </c>
      <c r="J176" s="116">
        <f>'PVC on Wall PRICE'!I912</f>
        <v>102.0741996</v>
      </c>
      <c r="K176" s="33">
        <f t="shared" si="2"/>
        <v>0</v>
      </c>
      <c r="L176" s="33">
        <f t="shared" si="3"/>
        <v>359.4045246</v>
      </c>
    </row>
    <row r="177">
      <c r="A177" s="29">
        <v>175.0</v>
      </c>
      <c r="B177" s="30" t="s">
        <v>1131</v>
      </c>
      <c r="C177" s="31" t="str">
        <f>'PVC on Wall PRICE'!A915</f>
        <v>Providing and fixing PVC pipes including fixing the pipe with clamps/clips at 1.00 m spacing. This includes jointing of pipes with one step PVC solvent cement and testing of joints complete as per direction of Engineer-in-Charge 110 m dia 4 Kgf/cm2 - External work - Exposed on wall (50.18.9.19.2)</v>
      </c>
      <c r="D177" s="31" t="str">
        <f t="shared" si="1"/>
        <v>Providing and fixing PVC pipes including fixing the pipe with clamps/clips at 1.00 m spacing. This includes jointing of pipes with one step PVC solvent cement and testing of joints complete as per direction of Engineer-in-Charge 110 m dia 4 Kgf/cm2 - External work - Exposed on wall (50.18.9.19.2) (Code: GWDDR175)</v>
      </c>
      <c r="E177" s="29" t="s">
        <v>22</v>
      </c>
      <c r="F177" s="32" t="s">
        <v>48</v>
      </c>
      <c r="G177" s="32" t="s">
        <v>49</v>
      </c>
      <c r="H177" s="32" t="s">
        <v>924</v>
      </c>
      <c r="I177" s="116">
        <f>'PVC on Wall PRICE'!H947</f>
        <v>207.32775</v>
      </c>
      <c r="J177" s="116">
        <f>'PVC on Wall PRICE'!I947</f>
        <v>102.0741996</v>
      </c>
      <c r="K177" s="33">
        <f t="shared" si="2"/>
        <v>0</v>
      </c>
      <c r="L177" s="33">
        <f t="shared" si="3"/>
        <v>309.4019496</v>
      </c>
    </row>
    <row r="178">
      <c r="A178" s="29">
        <v>176.0</v>
      </c>
      <c r="B178" s="30" t="s">
        <v>1134</v>
      </c>
      <c r="C178" s="31" t="str">
        <f>'GI on Wall PRICE'!B2</f>
        <v>Providing and fixing G.I. pipes complete with G.I. fittings and clamps, including cutting and making good the walls etc. Internal work- Exposed on wall 15 mm dia nominal bore (18.10.1)</v>
      </c>
      <c r="D178" s="31" t="str">
        <f t="shared" si="1"/>
        <v>Providing and fixing G.I. pipes complete with G.I. fittings and clamps, including cutting and making good the walls etc. Internal work- Exposed on wall 15 mm dia nominal bore (18.10.1) (Code: GWDDR176)</v>
      </c>
      <c r="E178" s="29" t="s">
        <v>22</v>
      </c>
      <c r="F178" s="32" t="s">
        <v>48</v>
      </c>
      <c r="G178" s="32" t="s">
        <v>49</v>
      </c>
      <c r="H178" s="32" t="s">
        <v>1136</v>
      </c>
      <c r="I178" s="29">
        <v>0.0</v>
      </c>
      <c r="J178" s="96">
        <f>'GI on Wall PRICE'!C2</f>
        <v>264.02</v>
      </c>
      <c r="K178" s="33">
        <f t="shared" si="2"/>
        <v>0</v>
      </c>
      <c r="L178" s="33">
        <f t="shared" si="3"/>
        <v>264.02</v>
      </c>
    </row>
    <row r="179">
      <c r="A179" s="29">
        <v>177.0</v>
      </c>
      <c r="B179" s="30" t="s">
        <v>1139</v>
      </c>
      <c r="C179" s="31" t="str">
        <f>'GI on Wall PRICE'!B3</f>
        <v>Providing and fixing G.I. pipes complete with G.I. fittings and clamps, including cutting and making good the walls etc. Internal work- Exposed on wall 20 mm dia nominal bore (18.10.2)</v>
      </c>
      <c r="D179" s="31" t="str">
        <f t="shared" si="1"/>
        <v>Providing and fixing G.I. pipes complete with G.I. fittings and clamps, including cutting and making good the walls etc. Internal work- Exposed on wall 20 mm dia nominal bore (18.10.2) (Code: GWDDR177)</v>
      </c>
      <c r="E179" s="29" t="s">
        <v>22</v>
      </c>
      <c r="F179" s="32" t="s">
        <v>48</v>
      </c>
      <c r="G179" s="32" t="s">
        <v>49</v>
      </c>
      <c r="H179" s="32" t="s">
        <v>1136</v>
      </c>
      <c r="I179" s="29">
        <v>0.0</v>
      </c>
      <c r="J179" s="96">
        <f>'GI on Wall PRICE'!C3</f>
        <v>324.12</v>
      </c>
      <c r="K179" s="33">
        <f t="shared" si="2"/>
        <v>0</v>
      </c>
      <c r="L179" s="33">
        <f t="shared" si="3"/>
        <v>324.12</v>
      </c>
    </row>
    <row r="180">
      <c r="A180" s="29">
        <v>178.0</v>
      </c>
      <c r="B180" s="30" t="s">
        <v>1141</v>
      </c>
      <c r="C180" s="31" t="str">
        <f>'GI on Wall PRICE'!B4</f>
        <v>Providing and fixing G.I. pipes complete with G.I. fittings and clamps, including cutting and making good the walls etc. Internal work- Exposed on wall 25 mm dia nominal bore (18.10.3)</v>
      </c>
      <c r="D180" s="31" t="str">
        <f t="shared" si="1"/>
        <v>Providing and fixing G.I. pipes complete with G.I. fittings and clamps, including cutting and making good the walls etc. Internal work- Exposed on wall 25 mm dia nominal bore (18.10.3) (Code: GWDDR178)</v>
      </c>
      <c r="E180" s="29" t="s">
        <v>22</v>
      </c>
      <c r="F180" s="32" t="s">
        <v>48</v>
      </c>
      <c r="G180" s="32" t="s">
        <v>49</v>
      </c>
      <c r="H180" s="32" t="s">
        <v>1136</v>
      </c>
      <c r="I180" s="29">
        <v>0.0</v>
      </c>
      <c r="J180" s="96">
        <f>'GI on Wall PRICE'!C4</f>
        <v>426.41</v>
      </c>
      <c r="K180" s="33">
        <f t="shared" si="2"/>
        <v>0</v>
      </c>
      <c r="L180" s="33">
        <f t="shared" si="3"/>
        <v>426.41</v>
      </c>
    </row>
    <row r="181">
      <c r="A181" s="29">
        <v>179.0</v>
      </c>
      <c r="B181" s="30" t="s">
        <v>1144</v>
      </c>
      <c r="C181" s="31" t="str">
        <f>'GI on Wall PRICE'!B5</f>
        <v>Providing and fixing G.I. pipes complete with G.I. fittings and clamps, including cutting and making good the walls etc. Internal work- Exposed on wall 32 mm dia nominal bore (18.10.4)</v>
      </c>
      <c r="D181" s="31" t="str">
        <f t="shared" si="1"/>
        <v>Providing and fixing G.I. pipes complete with G.I. fittings and clamps, including cutting and making good the walls etc. Internal work- Exposed on wall 32 mm dia nominal bore (18.10.4) (Code: GWDDR179)</v>
      </c>
      <c r="E181" s="29" t="s">
        <v>22</v>
      </c>
      <c r="F181" s="32" t="s">
        <v>48</v>
      </c>
      <c r="G181" s="32" t="s">
        <v>49</v>
      </c>
      <c r="H181" s="32" t="s">
        <v>1136</v>
      </c>
      <c r="I181" s="29">
        <v>0.0</v>
      </c>
      <c r="J181" s="96">
        <f>'GI on Wall PRICE'!C5</f>
        <v>489.26</v>
      </c>
      <c r="K181" s="33">
        <f t="shared" si="2"/>
        <v>0</v>
      </c>
      <c r="L181" s="33">
        <f t="shared" si="3"/>
        <v>489.26</v>
      </c>
    </row>
    <row r="182">
      <c r="A182" s="29">
        <v>180.0</v>
      </c>
      <c r="B182" s="30" t="s">
        <v>1149</v>
      </c>
      <c r="C182" s="31" t="str">
        <f>'GI on Wall PRICE'!B6</f>
        <v>Providing and fixing G.I. pipes complete with G.I. fittings and clamps, including cutting and making good the walls etc. Internal work- Exposed on wall 40 mm dia nominal bore (18.10.5)</v>
      </c>
      <c r="D182" s="31" t="str">
        <f t="shared" si="1"/>
        <v>Providing and fixing G.I. pipes complete with G.I. fittings and clamps, including cutting and making good the walls etc. Internal work- Exposed on wall 40 mm dia nominal bore (18.10.5) (Code: GWDDR180)</v>
      </c>
      <c r="E182" s="29" t="s">
        <v>22</v>
      </c>
      <c r="F182" s="32" t="s">
        <v>48</v>
      </c>
      <c r="G182" s="32" t="s">
        <v>49</v>
      </c>
      <c r="H182" s="32" t="s">
        <v>1136</v>
      </c>
      <c r="I182" s="29">
        <v>0.0</v>
      </c>
      <c r="J182" s="96">
        <f>'GI on Wall PRICE'!C6</f>
        <v>629.54</v>
      </c>
      <c r="K182" s="33">
        <f t="shared" si="2"/>
        <v>0</v>
      </c>
      <c r="L182" s="33">
        <f t="shared" si="3"/>
        <v>629.54</v>
      </c>
    </row>
    <row r="183">
      <c r="A183" s="29">
        <v>181.0</v>
      </c>
      <c r="B183" s="30" t="s">
        <v>1154</v>
      </c>
      <c r="C183" s="31" t="str">
        <f>'GI on Wall PRICE'!B7</f>
        <v>Providing and fixing G.I. pipes complete with G.I. fittings and clamps, including cutting and making good the walls etc. Internal work- Exposed on wall 50 mm dia nominal bore (18.10.6)</v>
      </c>
      <c r="D183" s="31" t="str">
        <f t="shared" si="1"/>
        <v>Providing and fixing G.I. pipes complete with G.I. fittings and clamps, including cutting and making good the walls etc. Internal work- Exposed on wall 50 mm dia nominal bore (18.10.6) (Code: GWDDR181)</v>
      </c>
      <c r="E183" s="29" t="s">
        <v>22</v>
      </c>
      <c r="F183" s="32" t="s">
        <v>48</v>
      </c>
      <c r="G183" s="32" t="s">
        <v>49</v>
      </c>
      <c r="H183" s="32" t="s">
        <v>1136</v>
      </c>
      <c r="I183" s="29">
        <v>0.0</v>
      </c>
      <c r="J183" s="96">
        <f>'GI on Wall PRICE'!C7</f>
        <v>775.43</v>
      </c>
      <c r="K183" s="33">
        <f t="shared" si="2"/>
        <v>0</v>
      </c>
      <c r="L183" s="33">
        <f t="shared" si="3"/>
        <v>775.43</v>
      </c>
    </row>
    <row r="184">
      <c r="A184" s="29">
        <v>182.0</v>
      </c>
      <c r="B184" s="30" t="s">
        <v>1156</v>
      </c>
      <c r="C184" s="31" t="str">
        <f>'PVC With Trench PRICE'!A3</f>
        <v>Providing and fixing PVC pipes including jointing of pipes with one step PVC solvent cement, trenching, refilling &amp; testing of joints complete as per direction of Engineer in Charge 15 mm dia 12kgf/cm2 (50.18.9.1.1)</v>
      </c>
      <c r="D184" s="31" t="str">
        <f t="shared" si="1"/>
        <v>Providing and fixing PVC pipes including jointing of pipes with one step PVC solvent cement, trenching, refilling &amp; testing of joints complete as per direction of Engineer in Charge 15 mm dia 12kgf/cm2 (50.18.9.1.1) (Code: GWDDR182)</v>
      </c>
      <c r="E184" s="29" t="s">
        <v>22</v>
      </c>
      <c r="F184" s="32" t="s">
        <v>48</v>
      </c>
      <c r="G184" s="32" t="s">
        <v>49</v>
      </c>
      <c r="H184" s="32" t="s">
        <v>475</v>
      </c>
      <c r="I184" s="329">
        <f>'PVC With Trench PRICE'!H30</f>
        <v>50.75755</v>
      </c>
      <c r="J184" s="329">
        <f>'PVC With Trench PRICE'!I30</f>
        <v>118.161718</v>
      </c>
      <c r="K184" s="33">
        <f t="shared" si="2"/>
        <v>0</v>
      </c>
      <c r="L184" s="33">
        <f t="shared" si="3"/>
        <v>168.919268</v>
      </c>
    </row>
    <row r="185">
      <c r="A185" s="29">
        <v>183.0</v>
      </c>
      <c r="B185" s="30" t="s">
        <v>1161</v>
      </c>
      <c r="C185" s="31" t="str">
        <f>'PVC With Trench PRICE'!A33</f>
        <v>Providing and fixing PVC pipes including jointing of pipes with one step PVC solvent cement, trenching, refilling &amp; testing of joints complete as per direction of Engineer in Charge. 15 mm dia 10Kgf/cm2 (50.18.9.1.2)</v>
      </c>
      <c r="D185" s="31" t="str">
        <f t="shared" si="1"/>
        <v>Providing and fixing PVC pipes including jointing of pipes with one step PVC solvent cement, trenching, refilling &amp; testing of joints complete as per direction of Engineer in Charge. 15 mm dia 10Kgf/cm2 (50.18.9.1.2) (Code: GWDDR183)</v>
      </c>
      <c r="E185" s="29" t="s">
        <v>22</v>
      </c>
      <c r="F185" s="32" t="s">
        <v>48</v>
      </c>
      <c r="G185" s="32" t="s">
        <v>49</v>
      </c>
      <c r="H185" s="32" t="s">
        <v>475</v>
      </c>
      <c r="I185" s="116">
        <f>'PVC With Trench PRICE'!H60</f>
        <v>36.064575</v>
      </c>
      <c r="J185" s="116">
        <f>'PVC With Trench PRICE'!I60</f>
        <v>118.161718</v>
      </c>
      <c r="K185" s="33">
        <f t="shared" si="2"/>
        <v>0</v>
      </c>
      <c r="L185" s="33">
        <f t="shared" si="3"/>
        <v>154.226293</v>
      </c>
    </row>
    <row r="186">
      <c r="A186" s="29">
        <v>184.0</v>
      </c>
      <c r="B186" s="30" t="s">
        <v>1163</v>
      </c>
      <c r="C186" s="31" t="str">
        <f>'PVC With Trench PRICE'!A63</f>
        <v>Providing and fixing PVC pipes including jointing of pipes with one step PVC solvent cement, trenching, refilling &amp; testing of joints as per direction of Engineer in Charge.20 mm dia 12 Kgf/cm2 (50.18.9.2.1)</v>
      </c>
      <c r="D186" s="31" t="str">
        <f t="shared" si="1"/>
        <v>Providing and fixing PVC pipes including jointing of pipes with one step PVC solvent cement, trenching, refilling &amp; testing of joints as per direction of Engineer in Charge.20 mm dia 12 Kgf/cm2 (50.18.9.2.1) (Code: GWDDR184)</v>
      </c>
      <c r="E186" s="29" t="s">
        <v>22</v>
      </c>
      <c r="F186" s="32" t="s">
        <v>48</v>
      </c>
      <c r="G186" s="32" t="s">
        <v>49</v>
      </c>
      <c r="H186" s="32" t="s">
        <v>475</v>
      </c>
      <c r="I186" s="116">
        <f>'PVC With Trench PRICE'!H90</f>
        <v>54.0968625</v>
      </c>
      <c r="J186" s="116">
        <f>'PVC With Trench PRICE'!I90</f>
        <v>118.161718</v>
      </c>
      <c r="K186" s="33">
        <f t="shared" si="2"/>
        <v>0</v>
      </c>
      <c r="L186" s="33">
        <f t="shared" si="3"/>
        <v>172.2585805</v>
      </c>
    </row>
    <row r="187">
      <c r="A187" s="29">
        <v>185.0</v>
      </c>
      <c r="B187" s="30" t="s">
        <v>1168</v>
      </c>
      <c r="C187" s="31" t="str">
        <f>'PVC With Trench PRICE'!A93</f>
        <v>Providing and fixing PVC pipes including of pipes with one step PVC solvent cement, trenching, refilling &amp; testing of joints complete as per direction of Engineer in Charge. 20 mm dia 10 Kgf/cm2 (50.18.9.2.2)</v>
      </c>
      <c r="D187" s="31" t="str">
        <f t="shared" si="1"/>
        <v>Providing and fixing PVC pipes including of pipes with one step PVC solvent cement, trenching, refilling &amp; testing of joints complete as per direction of Engineer in Charge. 20 mm dia 10 Kgf/cm2 (50.18.9.2.2) (Code: GWDDR185)</v>
      </c>
      <c r="E187" s="29" t="s">
        <v>22</v>
      </c>
      <c r="F187" s="32" t="s">
        <v>48</v>
      </c>
      <c r="G187" s="32" t="s">
        <v>49</v>
      </c>
      <c r="H187" s="32" t="s">
        <v>475</v>
      </c>
      <c r="I187" s="116">
        <f>'PVC With Trench PRICE'!H120</f>
        <v>40.07175</v>
      </c>
      <c r="J187" s="116">
        <f>'PVC With Trench PRICE'!I120</f>
        <v>118.161718</v>
      </c>
      <c r="K187" s="33">
        <f t="shared" si="2"/>
        <v>0</v>
      </c>
      <c r="L187" s="33">
        <f t="shared" si="3"/>
        <v>158.233468</v>
      </c>
    </row>
    <row r="188">
      <c r="A188" s="29">
        <v>186.0</v>
      </c>
      <c r="B188" s="30" t="s">
        <v>1173</v>
      </c>
      <c r="C188" s="31" t="str">
        <f>'PVC With Trench PRICE'!A123</f>
        <v>Providing and fixing PVC pipes including jointing of pipes with one step PVC solvent cement, trenching, refilling &amp; testing of joints complete as per direction of Engineer in Charge 25 mm dia 12kgf/cm2 (50.18.9.3.1)</v>
      </c>
      <c r="D188" s="31" t="str">
        <f t="shared" si="1"/>
        <v>Providing and fixing PVC pipes including jointing of pipes with one step PVC solvent cement, trenching, refilling &amp; testing of joints complete as per direction of Engineer in Charge 25 mm dia 12kgf/cm2 (50.18.9.3.1) (Code: GWDDR186)</v>
      </c>
      <c r="E188" s="29" t="s">
        <v>22</v>
      </c>
      <c r="F188" s="32" t="s">
        <v>48</v>
      </c>
      <c r="G188" s="32" t="s">
        <v>49</v>
      </c>
      <c r="H188" s="32" t="s">
        <v>475</v>
      </c>
      <c r="I188" s="116">
        <f>'PVC With Trench PRICE'!H150</f>
        <v>81.479225</v>
      </c>
      <c r="J188" s="116">
        <f>'PVC With Trench PRICE'!I150</f>
        <v>128.5466895</v>
      </c>
      <c r="K188" s="33">
        <f t="shared" si="2"/>
        <v>0</v>
      </c>
      <c r="L188" s="33">
        <f t="shared" si="3"/>
        <v>210.0259145</v>
      </c>
    </row>
    <row r="189">
      <c r="A189" s="29">
        <v>187.0</v>
      </c>
      <c r="B189" s="30" t="s">
        <v>1177</v>
      </c>
      <c r="C189" s="31" t="str">
        <f>'PVC With Trench PRICE'!A153</f>
        <v>Providing and fixing PVC pipes includes jointing of pipes with one step PVC solvent cement, trenching, refilling &amp; testing of joints complete as per direction of Engineer in Charge. 25 mm dia 10KGF/cm2 (50.18.9.3.2)</v>
      </c>
      <c r="D189" s="31" t="str">
        <f t="shared" si="1"/>
        <v>Providing and fixing PVC pipes includes jointing of pipes with one step PVC solvent cement, trenching, refilling &amp; testing of joints complete as per direction of Engineer in Charge. 25 mm dia 10KGF/cm2 (50.18.9.3.2) (Code: GWDDR187)</v>
      </c>
      <c r="E189" s="29" t="s">
        <v>22</v>
      </c>
      <c r="F189" s="32" t="s">
        <v>48</v>
      </c>
      <c r="G189" s="32" t="s">
        <v>49</v>
      </c>
      <c r="H189" s="32" t="s">
        <v>475</v>
      </c>
      <c r="I189" s="116">
        <f>'PVC With Trench PRICE'!H180</f>
        <v>64.1148</v>
      </c>
      <c r="J189" s="116">
        <f>'PVC With Trench PRICE'!I180</f>
        <v>128.5466895</v>
      </c>
      <c r="K189" s="33">
        <f t="shared" si="2"/>
        <v>0</v>
      </c>
      <c r="L189" s="33">
        <f t="shared" si="3"/>
        <v>192.6614895</v>
      </c>
    </row>
    <row r="190">
      <c r="A190" s="29">
        <v>188.0</v>
      </c>
      <c r="B190" s="30" t="s">
        <v>1185</v>
      </c>
      <c r="C190" s="31" t="str">
        <f>'PVC With Trench PRICE'!A183</f>
        <v>Providing and fixing PVC pipes including jointing of pipes with one step PVC solvent cement, trenching, refilling &amp; testing of joints complete as per direction of Engineer in Charge.32 mm dia 10.Kgf/cm2 (50.18.9.4.1)</v>
      </c>
      <c r="D190" s="31" t="str">
        <f t="shared" si="1"/>
        <v>Providing and fixing PVC pipes including jointing of pipes with one step PVC solvent cement, trenching, refilling &amp; testing of joints complete as per direction of Engineer in Charge.32 mm dia 10.Kgf/cm2 (50.18.9.4.1) (Code: GWDDR188)</v>
      </c>
      <c r="E190" s="29" t="s">
        <v>22</v>
      </c>
      <c r="F190" s="32" t="s">
        <v>48</v>
      </c>
      <c r="G190" s="32" t="s">
        <v>49</v>
      </c>
      <c r="H190" s="32" t="s">
        <v>475</v>
      </c>
      <c r="I190" s="116">
        <f>'PVC With Trench PRICE'!H210</f>
        <v>86.822125</v>
      </c>
      <c r="J190" s="116">
        <f>'PVC With Trench PRICE'!I210</f>
        <v>128.5466895</v>
      </c>
      <c r="K190" s="33">
        <f t="shared" si="2"/>
        <v>0</v>
      </c>
      <c r="L190" s="33">
        <f t="shared" si="3"/>
        <v>215.3688145</v>
      </c>
    </row>
    <row r="191">
      <c r="A191" s="29">
        <v>189.0</v>
      </c>
      <c r="B191" s="30" t="s">
        <v>1188</v>
      </c>
      <c r="C191" s="31" t="str">
        <f>'PVC With Trench PRICE'!A213</f>
        <v>Providing and fixing PVC pipes including joints of pipes with one step PVC solvent cement, trenching, refilling &amp; testing of joints complete as per direction of Engineer in Charge. 32 mm dia 6 Kgf/cm2 (50.18.9.4.2)</v>
      </c>
      <c r="D191" s="31" t="str">
        <f t="shared" si="1"/>
        <v>Providing and fixing PVC pipes including joints of pipes with one step PVC solvent cement, trenching, refilling &amp; testing of joints complete as per direction of Engineer in Charge. 32 mm dia 6 Kgf/cm2 (50.18.9.4.2) (Code: GWDDR189)</v>
      </c>
      <c r="E191" s="29" t="s">
        <v>22</v>
      </c>
      <c r="F191" s="32" t="s">
        <v>48</v>
      </c>
      <c r="G191" s="32" t="s">
        <v>49</v>
      </c>
      <c r="H191" s="32" t="s">
        <v>475</v>
      </c>
      <c r="I191" s="116">
        <f>'PVC With Trench PRICE'!H240</f>
        <v>69.4577</v>
      </c>
      <c r="J191" s="116">
        <f>'PVC With Trench PRICE'!I240</f>
        <v>128.5466895</v>
      </c>
      <c r="K191" s="33">
        <f t="shared" si="2"/>
        <v>0</v>
      </c>
      <c r="L191" s="33">
        <f t="shared" si="3"/>
        <v>198.0043895</v>
      </c>
    </row>
    <row r="192">
      <c r="A192" s="29">
        <v>190.0</v>
      </c>
      <c r="B192" s="30" t="s">
        <v>1193</v>
      </c>
      <c r="C192" s="31" t="str">
        <f>'PVC With Trench PRICE'!A243</f>
        <v>Providing and fixing PVC pipes including jointing of pipes with one step PVC solvent cement, trenching refilling &amp; testing of joints complete as per direction of Engineer in Charge 40 mm dia 10Kgf/cm2 (50.18.9.5.1)</v>
      </c>
      <c r="D192" s="31" t="str">
        <f t="shared" si="1"/>
        <v>Providing and fixing PVC pipes including jointing of pipes with one step PVC solvent cement, trenching refilling &amp; testing of joints complete as per direction of Engineer in Charge 40 mm dia 10Kgf/cm2 (50.18.9.5.1) (Code: GWDDR190)</v>
      </c>
      <c r="E192" s="29" t="s">
        <v>22</v>
      </c>
      <c r="F192" s="32" t="s">
        <v>48</v>
      </c>
      <c r="G192" s="32" t="s">
        <v>49</v>
      </c>
      <c r="H192" s="32" t="s">
        <v>475</v>
      </c>
      <c r="I192" s="116">
        <f>'PVC With Trench PRICE'!H270</f>
        <v>112.2009</v>
      </c>
      <c r="J192" s="116">
        <f>'PVC With Trench PRICE'!I270</f>
        <v>138.1824935</v>
      </c>
      <c r="K192" s="33">
        <f t="shared" si="2"/>
        <v>0</v>
      </c>
      <c r="L192" s="33">
        <f t="shared" si="3"/>
        <v>250.3833935</v>
      </c>
    </row>
    <row r="193">
      <c r="A193" s="29">
        <v>191.0</v>
      </c>
      <c r="B193" s="30" t="s">
        <v>1197</v>
      </c>
      <c r="C193" s="31" t="str">
        <f>'PVC With Trench PRICE'!A273</f>
        <v>Providing and fixing PVC pipes including jointing of pipes with one step PVC solvent cement, trenching, refilling &amp; testing of joints compete as per direction of Engineer in Charge. 40 mm dia 6 Kgf/cm2 (50.18.9.5.2)</v>
      </c>
      <c r="D193" s="31" t="str">
        <f t="shared" si="1"/>
        <v>Providing and fixing PVC pipes including jointing of pipes with one step PVC solvent cement, trenching, refilling &amp; testing of joints compete as per direction of Engineer in Charge. 40 mm dia 6 Kgf/cm2 (50.18.9.5.2) (Code: GWDDR191)</v>
      </c>
      <c r="E193" s="29" t="s">
        <v>22</v>
      </c>
      <c r="F193" s="32" t="s">
        <v>48</v>
      </c>
      <c r="G193" s="32" t="s">
        <v>49</v>
      </c>
      <c r="H193" s="32" t="s">
        <v>475</v>
      </c>
      <c r="I193" s="116">
        <f>'PVC With Trench PRICE'!H300</f>
        <v>70.793425</v>
      </c>
      <c r="J193" s="116">
        <f>'PVC With Trench PRICE'!I300</f>
        <v>138.1824935</v>
      </c>
      <c r="K193" s="33">
        <f t="shared" si="2"/>
        <v>0</v>
      </c>
      <c r="L193" s="33">
        <f t="shared" si="3"/>
        <v>208.9759185</v>
      </c>
    </row>
    <row r="194">
      <c r="A194" s="29">
        <v>192.0</v>
      </c>
      <c r="B194" s="30" t="s">
        <v>1206</v>
      </c>
      <c r="C194" s="31" t="str">
        <f>'PVC With Trench PRICE'!A303</f>
        <v>Providing and fixing PVC pipes including jointing of pipes with one step PVC solvent cement, trenching, refilling &amp; testing of joints complete as per direction of Engineer in Charge. 50 mm dia 10Kgf/cm2 (50.18.9.6.1)</v>
      </c>
      <c r="D194" s="31" t="str">
        <f t="shared" si="1"/>
        <v>Providing and fixing PVC pipes including jointing of pipes with one step PVC solvent cement, trenching, refilling &amp; testing of joints complete as per direction of Engineer in Charge. 50 mm dia 10Kgf/cm2 (50.18.9.6.1) (Code: GWDDR192)</v>
      </c>
      <c r="E194" s="29" t="s">
        <v>22</v>
      </c>
      <c r="F194" s="32" t="s">
        <v>48</v>
      </c>
      <c r="G194" s="32" t="s">
        <v>49</v>
      </c>
      <c r="H194" s="32" t="s">
        <v>475</v>
      </c>
      <c r="I194" s="116">
        <f>'PVC With Trench PRICE'!H330</f>
        <v>120.21525</v>
      </c>
      <c r="J194" s="116">
        <f>'PVC With Trench PRICE'!I330</f>
        <v>138.1824935</v>
      </c>
      <c r="K194" s="33">
        <f t="shared" si="2"/>
        <v>0</v>
      </c>
      <c r="L194" s="33">
        <f t="shared" si="3"/>
        <v>258.3977435</v>
      </c>
    </row>
    <row r="195">
      <c r="A195" s="29">
        <v>193.0</v>
      </c>
      <c r="B195" s="30" t="s">
        <v>1213</v>
      </c>
      <c r="C195" s="31" t="str">
        <f>'PVC With Trench PRICE'!A333</f>
        <v>Providing and fixing PVC pipes including jointing of pipes with one step PVC solvent cement, trenching, refilling &amp; testing of joints complete as per direction of Engineer in Charge. 50 mm dia 6 Kgf/cm2 (50.18.9.6.2)</v>
      </c>
      <c r="D195" s="31" t="str">
        <f t="shared" si="1"/>
        <v>Providing and fixing PVC pipes including jointing of pipes with one step PVC solvent cement, trenching, refilling &amp; testing of joints complete as per direction of Engineer in Charge. 50 mm dia 6 Kgf/cm2 (50.18.9.6.2) (Code: GWDDR193)</v>
      </c>
      <c r="E195" s="29" t="s">
        <v>22</v>
      </c>
      <c r="F195" s="32" t="s">
        <v>48</v>
      </c>
      <c r="G195" s="32" t="s">
        <v>49</v>
      </c>
      <c r="H195" s="32" t="s">
        <v>475</v>
      </c>
      <c r="I195" s="116">
        <f>'PVC With Trench PRICE'!H360</f>
        <v>80.1435</v>
      </c>
      <c r="J195" s="116">
        <f>'PVC With Trench PRICE'!I360</f>
        <v>138.1824935</v>
      </c>
      <c r="K195" s="33">
        <f t="shared" si="2"/>
        <v>0</v>
      </c>
      <c r="L195" s="33">
        <f t="shared" si="3"/>
        <v>218.3259935</v>
      </c>
    </row>
    <row r="196">
      <c r="A196" s="29">
        <v>194.0</v>
      </c>
      <c r="B196" s="30" t="s">
        <v>1220</v>
      </c>
      <c r="C196" s="31" t="str">
        <f>'PVC With Trench PRICE'!A363</f>
        <v>Providing and fixing PVC pipes including of pipes with one step PVC solvent cement, trenching refilling &amp; testing of joints complete as per direction of Engineer in Charge. 63 mm dia 6Kgf/cm2 (50.18.9.7.1)</v>
      </c>
      <c r="D196" s="31" t="str">
        <f t="shared" si="1"/>
        <v>Providing and fixing PVC pipes including of pipes with one step PVC solvent cement, trenching refilling &amp; testing of joints complete as per direction of Engineer in Charge. 63 mm dia 6Kgf/cm2 (50.18.9.7.1) (Code: GWDDR194)</v>
      </c>
      <c r="E196" s="29" t="s">
        <v>22</v>
      </c>
      <c r="F196" s="32" t="s">
        <v>48</v>
      </c>
      <c r="G196" s="32" t="s">
        <v>49</v>
      </c>
      <c r="H196" s="32" t="s">
        <v>475</v>
      </c>
      <c r="I196" s="116">
        <f>'PVC With Trench PRICE'!H390</f>
        <v>143.90985</v>
      </c>
      <c r="J196" s="116">
        <f>'PVC With Trench PRICE'!I390</f>
        <v>171.100565</v>
      </c>
      <c r="K196" s="33">
        <f t="shared" si="2"/>
        <v>0</v>
      </c>
      <c r="L196" s="33">
        <f t="shared" si="3"/>
        <v>315.010415</v>
      </c>
    </row>
    <row r="197">
      <c r="A197" s="29">
        <v>195.0</v>
      </c>
      <c r="B197" s="30" t="s">
        <v>1225</v>
      </c>
      <c r="C197" s="31" t="str">
        <f>'PVC With Trench PRICE'!A393</f>
        <v>Providing and fixing PVC pipes including jointing of pipes with one step PVC solvent cement, trenching, refilling &amp; testing of joints complete as per direction of Engineer in Charge.63 mm dia 4 Kgf/cm2 (50.18.9.7.2)</v>
      </c>
      <c r="D197" s="31" t="str">
        <f t="shared" si="1"/>
        <v>Providing and fixing PVC pipes including jointing of pipes with one step PVC solvent cement, trenching, refilling &amp; testing of joints complete as per direction of Engineer in Charge.63 mm dia 4 Kgf/cm2 (50.18.9.7.2) (Code: GWDDR195)</v>
      </c>
      <c r="E197" s="29" t="s">
        <v>22</v>
      </c>
      <c r="F197" s="32" t="s">
        <v>48</v>
      </c>
      <c r="G197" s="32" t="s">
        <v>49</v>
      </c>
      <c r="H197" s="32" t="s">
        <v>475</v>
      </c>
      <c r="I197" s="116">
        <f>'PVC With Trench PRICE'!H420</f>
        <v>101.224725</v>
      </c>
      <c r="J197" s="116">
        <f>'PVC With Trench PRICE'!I420</f>
        <v>171.100565</v>
      </c>
      <c r="K197" s="33">
        <f t="shared" si="2"/>
        <v>0</v>
      </c>
      <c r="L197" s="33">
        <f t="shared" si="3"/>
        <v>272.32529</v>
      </c>
    </row>
    <row r="198">
      <c r="A198" s="29">
        <v>196.0</v>
      </c>
      <c r="B198" s="30" t="s">
        <v>1228</v>
      </c>
      <c r="C198" s="31" t="str">
        <f>'PVC With Trench PRICE'!A423</f>
        <v>Providing and fixing PVC pipes including jointing of pipes with one step PVC solvent cement, trenching, refilling &amp; testing of joints complete as per direction of Engineer in Charge. 75 mm dia 6 Kgf/ cm2 50.18.9.8.1)</v>
      </c>
      <c r="D198" s="31" t="str">
        <f t="shared" si="1"/>
        <v>Providing and fixing PVC pipes including jointing of pipes with one step PVC solvent cement, trenching, refilling &amp; testing of joints complete as per direction of Engineer in Charge. 75 mm dia 6 Kgf/ cm2 50.18.9.8.1) (Code: GWDDR196)</v>
      </c>
      <c r="E198" s="29" t="s">
        <v>22</v>
      </c>
      <c r="F198" s="32" t="s">
        <v>48</v>
      </c>
      <c r="G198" s="32" t="s">
        <v>49</v>
      </c>
      <c r="H198" s="32" t="s">
        <v>475</v>
      </c>
      <c r="I198" s="116">
        <f>'PVC With Trench PRICE'!H450</f>
        <v>157.325175</v>
      </c>
      <c r="J198" s="116">
        <f>'PVC With Trench PRICE'!I450</f>
        <v>171.100565</v>
      </c>
      <c r="K198" s="33">
        <f t="shared" si="2"/>
        <v>0</v>
      </c>
      <c r="L198" s="33">
        <f t="shared" si="3"/>
        <v>328.42574</v>
      </c>
    </row>
    <row r="199">
      <c r="A199" s="29">
        <v>197.0</v>
      </c>
      <c r="B199" s="30" t="s">
        <v>1231</v>
      </c>
      <c r="C199" s="31" t="str">
        <f>'PVC With Trench PRICE'!A453</f>
        <v>Providing and fixing PVC pipes including of pipes with one step PVC solvent cement, trenching and refilling &amp; testing of joints complete as per direction of Engineer in Charge. 75 mm dia 4 Kgf/cm2 50.18.9.8.2)</v>
      </c>
      <c r="D199" s="31" t="str">
        <f t="shared" si="1"/>
        <v>Providing and fixing PVC pipes including of pipes with one step PVC solvent cement, trenching and refilling &amp; testing of joints complete as per direction of Engineer in Charge. 75 mm dia 4 Kgf/cm2 50.18.9.8.2) (Code: GWDDR197)</v>
      </c>
      <c r="E199" s="29" t="s">
        <v>22</v>
      </c>
      <c r="F199" s="32" t="s">
        <v>48</v>
      </c>
      <c r="G199" s="32" t="s">
        <v>49</v>
      </c>
      <c r="H199" s="32" t="s">
        <v>475</v>
      </c>
      <c r="I199" s="116">
        <f>'PVC With Trench PRICE'!H480</f>
        <v>115.859625</v>
      </c>
      <c r="J199" s="116">
        <f>'PVC With Trench PRICE'!I480</f>
        <v>171.100565</v>
      </c>
      <c r="K199" s="33">
        <f t="shared" si="2"/>
        <v>0</v>
      </c>
      <c r="L199" s="33">
        <f t="shared" si="3"/>
        <v>286.96019</v>
      </c>
    </row>
    <row r="200">
      <c r="A200" s="29">
        <v>198.0</v>
      </c>
      <c r="B200" s="30" t="s">
        <v>1238</v>
      </c>
      <c r="C200" s="31" t="str">
        <f>'PVC With Trench PRICE'!A483</f>
        <v>Providing and fixing PVC pipes including jointing of pipes with one step PVC solvent cement, trenching, refilling &amp; testing of Joints complete as per direction of engineer in charge.110 mm dia 6Kgf/cm2 (50.18.9.9.1)</v>
      </c>
      <c r="D200" s="31" t="str">
        <f t="shared" si="1"/>
        <v>Providing and fixing PVC pipes including jointing of pipes with one step PVC solvent cement, trenching, refilling &amp; testing of Joints complete as per direction of engineer in charge.110 mm dia 6Kgf/cm2 (50.18.9.9.1) (Code: GWDDR198)</v>
      </c>
      <c r="E200" s="29" t="s">
        <v>22</v>
      </c>
      <c r="F200" s="32" t="s">
        <v>48</v>
      </c>
      <c r="G200" s="32" t="s">
        <v>49</v>
      </c>
      <c r="H200" s="32" t="s">
        <v>475</v>
      </c>
      <c r="I200" s="116">
        <f>'PVC With Trench PRICE'!H510</f>
        <v>257.330325</v>
      </c>
      <c r="J200" s="116">
        <f>'PVC With Trench PRICE'!I510</f>
        <v>226.2288395</v>
      </c>
      <c r="K200" s="33">
        <f t="shared" si="2"/>
        <v>0</v>
      </c>
      <c r="L200" s="33">
        <f t="shared" si="3"/>
        <v>483.5591645</v>
      </c>
    </row>
    <row r="201">
      <c r="A201" s="29">
        <v>199.0</v>
      </c>
      <c r="B201" s="30" t="s">
        <v>1245</v>
      </c>
      <c r="C201" s="31" t="str">
        <f>'PVC With Trench PRICE'!A513</f>
        <v>Providing and fixing PVC pipes includes joints of pipes with one step PVC solvent cement, trenching, refilling &amp; testing of joints complete as per direction of Engineer in CHarge. 110 mm dia 4 Kg/cm2 (50.18.9.9.2)</v>
      </c>
      <c r="D201" s="31" t="str">
        <f t="shared" si="1"/>
        <v>Providing and fixing PVC pipes includes joints of pipes with one step PVC solvent cement, trenching, refilling &amp; testing of joints complete as per direction of Engineer in CHarge. 110 mm dia 4 Kg/cm2 (50.18.9.9.2) (Code: GWDDR199)</v>
      </c>
      <c r="E201" s="29" t="s">
        <v>22</v>
      </c>
      <c r="F201" s="32" t="s">
        <v>48</v>
      </c>
      <c r="G201" s="32" t="s">
        <v>49</v>
      </c>
      <c r="H201" s="32" t="s">
        <v>475</v>
      </c>
      <c r="I201" s="116">
        <f>'PVC With Trench PRICE'!H540</f>
        <v>207.32775</v>
      </c>
      <c r="J201" s="116">
        <f>'PVC With Trench PRICE'!I540</f>
        <v>226.2288395</v>
      </c>
      <c r="K201" s="33">
        <f t="shared" si="2"/>
        <v>0</v>
      </c>
      <c r="L201" s="33">
        <f t="shared" si="3"/>
        <v>433.5565895</v>
      </c>
    </row>
    <row r="202">
      <c r="A202" s="29">
        <v>200.0</v>
      </c>
      <c r="B202" s="30" t="s">
        <v>1251</v>
      </c>
      <c r="C202" s="31" t="str">
        <f>'PVC With Trench PRICE'!A543</f>
        <v>Providing and fixing PVC pipes including jointing of pipes with one step pvc solvent cement, trenching , refilling &amp; testing of joints complete as per direction of Engineer in Charge. 150 mm dia 6 Kgf/cm2 (50.18.9.10.1)</v>
      </c>
      <c r="D202" s="31" t="str">
        <f t="shared" si="1"/>
        <v>Providing and fixing PVC pipes including jointing of pipes with one step pvc solvent cement, trenching , refilling &amp; testing of joints complete as per direction of Engineer in Charge. 150 mm dia 6 Kgf/cm2 (50.18.9.10.1) (Code: GWDDR200)</v>
      </c>
      <c r="E202" s="29" t="s">
        <v>22</v>
      </c>
      <c r="F202" s="32" t="s">
        <v>48</v>
      </c>
      <c r="G202" s="32" t="s">
        <v>49</v>
      </c>
      <c r="H202" s="32" t="s">
        <v>475</v>
      </c>
      <c r="I202" s="116">
        <f>'PVC With Trench PRICE'!H570</f>
        <v>634.179</v>
      </c>
      <c r="J202" s="116">
        <f>'PVC With Trench PRICE'!I570</f>
        <v>226.2288395</v>
      </c>
      <c r="K202" s="33">
        <f t="shared" si="2"/>
        <v>0</v>
      </c>
      <c r="L202" s="33">
        <f t="shared" si="3"/>
        <v>860.4078395</v>
      </c>
    </row>
    <row r="203">
      <c r="A203" s="29">
        <v>201.0</v>
      </c>
      <c r="B203" s="30" t="s">
        <v>1253</v>
      </c>
      <c r="C203" s="31" t="str">
        <f>'Water Tank'!B2</f>
        <v>Providing and placing on terrace (at all floor levels) polyethylene water storage tank ISI : 12701 marked, with cover and suitable locking arrangement and making necessary holes for inlet, outlet and overflow pipes but without fittings and the base support for tank as per (18.48)</v>
      </c>
      <c r="D203" s="31" t="str">
        <f t="shared" si="1"/>
        <v>Providing and placing on terrace (at all floor levels) polyethylene water storage tank ISI : 12701 marked, with cover and suitable locking arrangement and making necessary holes for inlet, outlet and overflow pipes but without fittings and the base support for tank as per (18.48) (Code: GWDDR201)</v>
      </c>
      <c r="E203" s="29" t="s">
        <v>1256</v>
      </c>
      <c r="F203" s="32" t="s">
        <v>48</v>
      </c>
      <c r="G203" s="32" t="s">
        <v>49</v>
      </c>
      <c r="H203" s="32" t="s">
        <v>50</v>
      </c>
      <c r="I203" s="29">
        <v>0.0</v>
      </c>
      <c r="J203" s="32">
        <f>'Water Tank'!C2</f>
        <v>8.41</v>
      </c>
      <c r="K203" s="33">
        <f t="shared" si="2"/>
        <v>0</v>
      </c>
      <c r="L203" s="33">
        <f t="shared" si="3"/>
        <v>8.41</v>
      </c>
    </row>
    <row r="204">
      <c r="A204" s="29">
        <v>202.0</v>
      </c>
      <c r="B204" s="30" t="s">
        <v>1260</v>
      </c>
      <c r="C204" s="31" t="str">
        <f>'PVC Fittings'!A3</f>
        <v>Providing and fixing PVC moulded fittings/ accessories for Rigid PVC pipes, including jointing with PVC solvent cement - 150 mm dia Bend</v>
      </c>
      <c r="D204" s="31" t="str">
        <f t="shared" si="1"/>
        <v>Providing and fixing PVC moulded fittings/ accessories for Rigid PVC pipes, including jointing with PVC solvent cement - 150 mm dia Bend (Code: GWDDR202)</v>
      </c>
      <c r="E204" s="29" t="s">
        <v>43</v>
      </c>
      <c r="F204" s="32" t="s">
        <v>48</v>
      </c>
      <c r="G204" s="32" t="s">
        <v>45</v>
      </c>
      <c r="H204" s="32" t="s">
        <v>46</v>
      </c>
      <c r="I204" s="116">
        <f>'PVC Fittings'!H26</f>
        <v>638.825</v>
      </c>
      <c r="J204" s="116">
        <f>'PVC Fittings'!I26</f>
        <v>29.7701742</v>
      </c>
      <c r="K204" s="33">
        <f t="shared" si="2"/>
        <v>0</v>
      </c>
      <c r="L204" s="33">
        <f t="shared" si="3"/>
        <v>668.5951742</v>
      </c>
    </row>
    <row r="205">
      <c r="A205" s="29">
        <v>203.0</v>
      </c>
      <c r="B205" s="30" t="s">
        <v>1265</v>
      </c>
      <c r="C205" s="31" t="str">
        <f>'PVC Fittings'!A29</f>
        <v>Providing and fixing PVC moulded fittings/accessories for Rigid PVC pipes,including jointing with PVC solvent cement - 90 mm dia Socket/ coupling</v>
      </c>
      <c r="D205" s="31" t="str">
        <f t="shared" si="1"/>
        <v>Providing and fixing PVC moulded fittings/accessories for Rigid PVC pipes,including jointing with PVC solvent cement - 90 mm dia Socket/ coupling (Code: GWDDR203)</v>
      </c>
      <c r="E205" s="29" t="s">
        <v>43</v>
      </c>
      <c r="F205" s="32" t="s">
        <v>48</v>
      </c>
      <c r="G205" s="32" t="s">
        <v>45</v>
      </c>
      <c r="H205" s="32" t="s">
        <v>194</v>
      </c>
      <c r="I205" s="116">
        <f>'PVC Fittings'!H52</f>
        <v>60.398</v>
      </c>
      <c r="J205" s="116">
        <f>'PVC Fittings'!I52</f>
        <v>33.2913776</v>
      </c>
      <c r="K205" s="33">
        <f t="shared" si="2"/>
        <v>0</v>
      </c>
      <c r="L205" s="33">
        <f t="shared" si="3"/>
        <v>93.6893776</v>
      </c>
    </row>
    <row r="206">
      <c r="A206" s="29">
        <v>204.0</v>
      </c>
      <c r="B206" s="30" t="s">
        <v>1267</v>
      </c>
      <c r="C206" s="31" t="str">
        <f>'PVC Fittings'!A55</f>
        <v>Providing and fixing PVC moulded fittings/accessories for Rigid PVC pipes,including jointing with PVC solvent cement - 140 mm dia Socket/ coupling</v>
      </c>
      <c r="D206" s="31" t="str">
        <f t="shared" si="1"/>
        <v>Providing and fixing PVC moulded fittings/accessories for Rigid PVC pipes,including jointing with PVC solvent cement - 140 mm dia Socket/ coupling (Code: GWDDR204)</v>
      </c>
      <c r="E206" s="29" t="s">
        <v>43</v>
      </c>
      <c r="F206" s="32" t="s">
        <v>48</v>
      </c>
      <c r="G206" s="32" t="s">
        <v>45</v>
      </c>
      <c r="H206" s="32" t="s">
        <v>194</v>
      </c>
      <c r="I206" s="116">
        <f>'PVC Fittings'!H78</f>
        <v>185.84</v>
      </c>
      <c r="J206" s="116">
        <f>'PVC Fittings'!I78</f>
        <v>33.2913776</v>
      </c>
      <c r="K206" s="33">
        <f t="shared" si="2"/>
        <v>0</v>
      </c>
      <c r="L206" s="33">
        <f t="shared" si="3"/>
        <v>219.1313776</v>
      </c>
    </row>
    <row r="207">
      <c r="A207" s="29">
        <v>205.0</v>
      </c>
      <c r="B207" s="30" t="s">
        <v>1270</v>
      </c>
      <c r="C207" s="31" t="str">
        <f>'PVC Fittings'!A81</f>
        <v>Providing and fixing PVC moulded fittings/accessories for Rigid PVC pipes,including jointing with PVC solvent cement - 160 mm dia Socket/ coupling</v>
      </c>
      <c r="D207" s="31" t="str">
        <f t="shared" si="1"/>
        <v>Providing and fixing PVC moulded fittings/accessories for Rigid PVC pipes,including jointing with PVC solvent cement - 160 mm dia Socket/ coupling (Code: GWDDR205)</v>
      </c>
      <c r="E207" s="29" t="s">
        <v>43</v>
      </c>
      <c r="F207" s="32" t="s">
        <v>48</v>
      </c>
      <c r="G207" s="32" t="s">
        <v>45</v>
      </c>
      <c r="H207" s="32" t="s">
        <v>194</v>
      </c>
      <c r="I207" s="116">
        <f>'PVC Fittings'!H104</f>
        <v>214.8775</v>
      </c>
      <c r="J207" s="116">
        <f>'PVC Fittings'!I104</f>
        <v>33.2913776</v>
      </c>
      <c r="K207" s="33">
        <f t="shared" si="2"/>
        <v>0</v>
      </c>
      <c r="L207" s="33">
        <f t="shared" si="3"/>
        <v>248.1688776</v>
      </c>
    </row>
    <row r="208">
      <c r="A208" s="29">
        <v>206.0</v>
      </c>
      <c r="B208" s="30" t="s">
        <v>1275</v>
      </c>
      <c r="C208" s="31" t="str">
        <f>'PVC Fittings'!A107</f>
        <v>Providing and fixing PVC moulded fittings/accessories for Rigid PVC pipes,including jointing with PVC solvent cement - 180 mm dia Socket/ coupling</v>
      </c>
      <c r="D208" s="31" t="str">
        <f t="shared" si="1"/>
        <v>Providing and fixing PVC moulded fittings/accessories for Rigid PVC pipes,including jointing with PVC solvent cement - 180 mm dia Socket/ coupling (Code: GWDDR206)</v>
      </c>
      <c r="E208" s="29" t="s">
        <v>43</v>
      </c>
      <c r="F208" s="32" t="s">
        <v>48</v>
      </c>
      <c r="G208" s="32" t="s">
        <v>45</v>
      </c>
      <c r="H208" s="32" t="s">
        <v>194</v>
      </c>
      <c r="I208" s="116">
        <f>'PVC Fittings'!H130</f>
        <v>245.0765</v>
      </c>
      <c r="J208" s="116">
        <f>'PVC Fittings'!I130</f>
        <v>33.2913776</v>
      </c>
      <c r="K208" s="33">
        <f t="shared" si="2"/>
        <v>0</v>
      </c>
      <c r="L208" s="33">
        <f t="shared" si="3"/>
        <v>278.3678776</v>
      </c>
    </row>
    <row r="209">
      <c r="A209" s="29">
        <v>207.0</v>
      </c>
      <c r="B209" s="30" t="s">
        <v>1280</v>
      </c>
      <c r="C209" s="31" t="str">
        <f>'PVC Fittings'!A133</f>
        <v>Providing and fixing PVC moulded fittings/accessories for Rigid PVC pipes,including jointing with PVC solvent cement - 200 mm dia Socket/ coupling</v>
      </c>
      <c r="D209" s="31" t="str">
        <f t="shared" si="1"/>
        <v>Providing and fixing PVC moulded fittings/accessories for Rigid PVC pipes,including jointing with PVC solvent cement - 200 mm dia Socket/ coupling (Code: GWDDR207)</v>
      </c>
      <c r="E209" s="29" t="s">
        <v>43</v>
      </c>
      <c r="F209" s="32" t="s">
        <v>48</v>
      </c>
      <c r="G209" s="32" t="s">
        <v>45</v>
      </c>
      <c r="H209" s="32" t="s">
        <v>194</v>
      </c>
      <c r="I209" s="116">
        <f>'PVC Fittings'!H156</f>
        <v>394.91</v>
      </c>
      <c r="J209" s="116">
        <f>'PVC Fittings'!I156</f>
        <v>33.2913776</v>
      </c>
      <c r="K209" s="33">
        <f t="shared" si="2"/>
        <v>0</v>
      </c>
      <c r="L209" s="33">
        <f t="shared" si="3"/>
        <v>428.2013776</v>
      </c>
    </row>
    <row r="210">
      <c r="A210" s="29">
        <v>208.0</v>
      </c>
      <c r="B210" s="30" t="s">
        <v>1285</v>
      </c>
      <c r="C210" s="31" t="str">
        <f>'PVC Fittings'!A159</f>
        <v>Providing and fixing PVC moulded fittings/accessories for Rigid PVC pipes,including jointing with PVC solvent cement - 250 mm dia Socket/ coupling</v>
      </c>
      <c r="D210" s="31" t="str">
        <f t="shared" si="1"/>
        <v>Providing and fixing PVC moulded fittings/accessories for Rigid PVC pipes,including jointing with PVC solvent cement - 250 mm dia Socket/ coupling (Code: GWDDR208)</v>
      </c>
      <c r="E210" s="29" t="s">
        <v>43</v>
      </c>
      <c r="F210" s="32" t="s">
        <v>48</v>
      </c>
      <c r="G210" s="32" t="s">
        <v>45</v>
      </c>
      <c r="H210" s="32" t="s">
        <v>194</v>
      </c>
      <c r="I210" s="116">
        <f>'PVC Fittings'!H182</f>
        <v>1037.2195</v>
      </c>
      <c r="J210" s="116">
        <f>'PVC Fittings'!I182</f>
        <v>33.2913776</v>
      </c>
      <c r="K210" s="33">
        <f t="shared" si="2"/>
        <v>0</v>
      </c>
      <c r="L210" s="33">
        <f t="shared" si="3"/>
        <v>1070.510878</v>
      </c>
    </row>
    <row r="211">
      <c r="A211" s="29">
        <v>209.0</v>
      </c>
      <c r="B211" s="30" t="s">
        <v>1287</v>
      </c>
      <c r="C211" s="31" t="str">
        <f>'PVC Fittings'!A185</f>
        <v>Providing and fixing PVC moulded fittings/accessories for Rigid PVC pipes,including jointing with PVC solvent cement - 280 mm dia Socket/ coupling</v>
      </c>
      <c r="D211" s="31" t="str">
        <f t="shared" si="1"/>
        <v>Providing and fixing PVC moulded fittings/accessories for Rigid PVC pipes,including jointing with PVC solvent cement - 280 mm dia Socket/ coupling (Code: GWDDR209)</v>
      </c>
      <c r="E211" s="29" t="s">
        <v>43</v>
      </c>
      <c r="F211" s="32" t="s">
        <v>48</v>
      </c>
      <c r="G211" s="32" t="s">
        <v>45</v>
      </c>
      <c r="H211" s="32" t="s">
        <v>194</v>
      </c>
      <c r="I211" s="116">
        <f>'PVC Fittings'!H208</f>
        <v>1161.5</v>
      </c>
      <c r="J211" s="116">
        <f>'PVC Fittings'!I208</f>
        <v>33.2913776</v>
      </c>
      <c r="K211" s="33">
        <f t="shared" si="2"/>
        <v>0</v>
      </c>
      <c r="L211" s="33">
        <f t="shared" si="3"/>
        <v>1194.791378</v>
      </c>
    </row>
    <row r="212">
      <c r="A212" s="29">
        <v>210.0</v>
      </c>
      <c r="B212" s="30" t="s">
        <v>1291</v>
      </c>
      <c r="C212" s="31" t="str">
        <f>'PVC Fittings PRICE'!A3</f>
        <v>Providing and fixing PVC moulded fitting / accessories for Rigid PVC pipes, including jointing with PVC solvent cement-63 mm dia Socket /coupling (50.18.9.20.9)</v>
      </c>
      <c r="D212" s="31" t="str">
        <f t="shared" si="1"/>
        <v>Providing and fixing PVC moulded fitting / accessories for Rigid PVC pipes, including jointing with PVC solvent cement-63 mm dia Socket /coupling (50.18.9.20.9) (Code: GWDDR210)</v>
      </c>
      <c r="E212" s="29" t="s">
        <v>43</v>
      </c>
      <c r="F212" s="32" t="s">
        <v>48</v>
      </c>
      <c r="G212" s="32" t="s">
        <v>45</v>
      </c>
      <c r="H212" s="32" t="s">
        <v>194</v>
      </c>
      <c r="I212" s="116">
        <f>'PVC Fittings PRICE'!H26</f>
        <v>28.45675</v>
      </c>
      <c r="J212" s="116">
        <f>'PVC Fittings PRICE'!I26</f>
        <v>29.7701742</v>
      </c>
      <c r="K212" s="33">
        <f t="shared" si="2"/>
        <v>0</v>
      </c>
      <c r="L212" s="33">
        <f t="shared" si="3"/>
        <v>58.2269242</v>
      </c>
    </row>
    <row r="213">
      <c r="A213" s="29">
        <v>211.0</v>
      </c>
      <c r="B213" s="30" t="s">
        <v>1292</v>
      </c>
      <c r="C213" s="31" t="str">
        <f>'PVC Fittings PRICE'!A29</f>
        <v>Providing and fixing PVC moulded fittings/ accessories for Rigid PVC pipes, including jointing with PVC solvent cement - 75 mm dia Socket /coupling (50.18.9.21.9)</v>
      </c>
      <c r="D213" s="31" t="str">
        <f t="shared" si="1"/>
        <v>Providing and fixing PVC moulded fittings/ accessories for Rigid PVC pipes, including jointing with PVC solvent cement - 75 mm dia Socket /coupling (50.18.9.21.9) (Code: GWDDR211)</v>
      </c>
      <c r="E213" s="29" t="s">
        <v>43</v>
      </c>
      <c r="F213" s="32" t="s">
        <v>48</v>
      </c>
      <c r="G213" s="32" t="s">
        <v>45</v>
      </c>
      <c r="H213" s="32" t="s">
        <v>194</v>
      </c>
      <c r="I213" s="116">
        <f>'PVC Fittings PRICE'!H52</f>
        <v>34.845</v>
      </c>
      <c r="J213" s="116">
        <f>'PVC Fittings PRICE'!I52</f>
        <v>29.7701742</v>
      </c>
      <c r="K213" s="33">
        <f t="shared" si="2"/>
        <v>0</v>
      </c>
      <c r="L213" s="33">
        <f t="shared" si="3"/>
        <v>64.6151742</v>
      </c>
    </row>
    <row r="214">
      <c r="A214" s="29">
        <v>212.0</v>
      </c>
      <c r="B214" s="30" t="s">
        <v>1294</v>
      </c>
      <c r="C214" s="31" t="str">
        <f>'PVC Fittings PRICE'!A55</f>
        <v>Providing and fixing PVC moulded fittings/accessories for Rigid PVC pipes,including jointing with PVC solvent cement - 110 mm dia Socket/ coupling (50.18.9.22.11)</v>
      </c>
      <c r="D214" s="31" t="str">
        <f t="shared" si="1"/>
        <v>Providing and fixing PVC moulded fittings/accessories for Rigid PVC pipes,including jointing with PVC solvent cement - 110 mm dia Socket/ coupling (50.18.9.22.11) (Code: GWDDR212)</v>
      </c>
      <c r="E214" s="29" t="s">
        <v>43</v>
      </c>
      <c r="F214" s="32" t="s">
        <v>48</v>
      </c>
      <c r="G214" s="32" t="s">
        <v>45</v>
      </c>
      <c r="H214" s="32" t="s">
        <v>194</v>
      </c>
      <c r="I214" s="116">
        <f>'PVC Fittings PRICE'!H78</f>
        <v>68.5285</v>
      </c>
      <c r="J214" s="116">
        <f>'PVC Fittings PRICE'!I78</f>
        <v>33.2913776</v>
      </c>
      <c r="K214" s="33">
        <f t="shared" si="2"/>
        <v>0</v>
      </c>
      <c r="L214" s="33">
        <f t="shared" si="3"/>
        <v>101.8198776</v>
      </c>
    </row>
    <row r="215">
      <c r="A215" s="29">
        <v>213.0</v>
      </c>
      <c r="B215" s="30" t="s">
        <v>1296</v>
      </c>
      <c r="C215" s="31" t="str">
        <f>'PVC Fittings PRICE'!A81</f>
        <v>Providing and fixing PVC moulded fittings/ accessories for Rigid PVC pipes, including jointing with PVC solvent cement - 63 mm dia Bend (50.18.9.20.4)</v>
      </c>
      <c r="D215" s="31" t="str">
        <f t="shared" si="1"/>
        <v>Providing and fixing PVC moulded fittings/ accessories for Rigid PVC pipes, including jointing with PVC solvent cement - 63 mm dia Bend (50.18.9.20.4) (Code: GWDDR213)</v>
      </c>
      <c r="E215" s="29" t="s">
        <v>43</v>
      </c>
      <c r="F215" s="32" t="s">
        <v>48</v>
      </c>
      <c r="G215" s="32" t="s">
        <v>45</v>
      </c>
      <c r="H215" s="32" t="s">
        <v>46</v>
      </c>
      <c r="I215" s="116">
        <f>'PVC Fittings PRICE'!H104</f>
        <v>41.23325</v>
      </c>
      <c r="J215" s="116">
        <f>'PVC Fittings PRICE'!I104</f>
        <v>29.7701742</v>
      </c>
      <c r="K215" s="33">
        <f t="shared" si="2"/>
        <v>0</v>
      </c>
      <c r="L215" s="33">
        <f t="shared" si="3"/>
        <v>71.0034242</v>
      </c>
    </row>
    <row r="216">
      <c r="A216" s="29">
        <v>214.0</v>
      </c>
      <c r="B216" s="30" t="s">
        <v>1297</v>
      </c>
      <c r="C216" s="31" t="str">
        <f>'PVC Fittings PRICE'!A107</f>
        <v>Providing and fixing PVC moulded fittings/ accessories for Rigid PVC pipes, including jointing with PVC solvent cement - 75 mm dia Bend (50.18.9.21.4)</v>
      </c>
      <c r="D216" s="31" t="str">
        <f t="shared" si="1"/>
        <v>Providing and fixing PVC moulded fittings/ accessories for Rigid PVC pipes, including jointing with PVC solvent cement - 75 mm dia Bend (50.18.9.21.4) (Code: GWDDR214)</v>
      </c>
      <c r="E216" s="29" t="s">
        <v>43</v>
      </c>
      <c r="F216" s="32" t="s">
        <v>48</v>
      </c>
      <c r="G216" s="32" t="s">
        <v>45</v>
      </c>
      <c r="H216" s="32" t="s">
        <v>46</v>
      </c>
      <c r="I216" s="116">
        <f>'PVC Fittings PRICE'!H130</f>
        <v>50.52525</v>
      </c>
      <c r="J216" s="116">
        <f>'PVC Fittings PRICE'!I130</f>
        <v>29.7701742</v>
      </c>
      <c r="K216" s="33">
        <f t="shared" si="2"/>
        <v>0</v>
      </c>
      <c r="L216" s="33">
        <f t="shared" si="3"/>
        <v>80.2954242</v>
      </c>
    </row>
    <row r="217">
      <c r="A217" s="29">
        <v>215.0</v>
      </c>
      <c r="B217" s="30" t="s">
        <v>1298</v>
      </c>
      <c r="C217" s="31" t="str">
        <f>'PVC Fittings PRICE'!A133</f>
        <v>Providing and fixing PVC moulded fittings/ accessories for Rigid PVC pipes, including jointing with PVC solvent cement- 110 mm dia Bend (50.18.9.22.4)</v>
      </c>
      <c r="D217" s="31" t="str">
        <f t="shared" si="1"/>
        <v>Providing and fixing PVC moulded fittings/ accessories for Rigid PVC pipes, including jointing with PVC solvent cement- 110 mm dia Bend (50.18.9.22.4) (Code: GWDDR215)</v>
      </c>
      <c r="E217" s="29" t="s">
        <v>43</v>
      </c>
      <c r="F217" s="32" t="s">
        <v>48</v>
      </c>
      <c r="G217" s="32" t="s">
        <v>45</v>
      </c>
      <c r="H217" s="32" t="s">
        <v>46</v>
      </c>
      <c r="I217" s="116">
        <f>'PVC Fittings PRICE'!H156</f>
        <v>118.473</v>
      </c>
      <c r="J217" s="116">
        <f>'PVC Fittings PRICE'!I156</f>
        <v>33.2913776</v>
      </c>
      <c r="K217" s="33">
        <f t="shared" si="2"/>
        <v>0</v>
      </c>
      <c r="L217" s="33">
        <f t="shared" si="3"/>
        <v>151.7643776</v>
      </c>
    </row>
    <row r="218">
      <c r="A218" s="29">
        <v>216.0</v>
      </c>
      <c r="B218" s="30" t="s">
        <v>1299</v>
      </c>
      <c r="C218" s="31" t="str">
        <f>'PVC Fittings PRICE'!A159</f>
        <v>Providing and fixing PVC moulded fittings/ accessories for Rigid PVC pipes, including jointing with PVC solvent cement -63x63x63 mm dia Tee (50.18.9.20.5)</v>
      </c>
      <c r="D218" s="31" t="str">
        <f t="shared" si="1"/>
        <v>Providing and fixing PVC moulded fittings/ accessories for Rigid PVC pipes, including jointing with PVC solvent cement -63x63x63 mm dia Tee (50.18.9.20.5) (Code: GWDDR216)</v>
      </c>
      <c r="E218" s="29" t="s">
        <v>43</v>
      </c>
      <c r="F218" s="32" t="s">
        <v>48</v>
      </c>
      <c r="G218" s="32" t="s">
        <v>45</v>
      </c>
      <c r="H218" s="32" t="s">
        <v>87</v>
      </c>
      <c r="I218" s="116">
        <f>'PVC Fittings PRICE'!H182</f>
        <v>45.87925</v>
      </c>
      <c r="J218" s="116">
        <f>'PVC Fittings PRICE'!I182</f>
        <v>31.4445926</v>
      </c>
      <c r="K218" s="33">
        <f t="shared" si="2"/>
        <v>0</v>
      </c>
      <c r="L218" s="33">
        <f t="shared" si="3"/>
        <v>77.3238426</v>
      </c>
    </row>
    <row r="219">
      <c r="A219" s="29">
        <v>217.0</v>
      </c>
      <c r="B219" s="30" t="s">
        <v>1300</v>
      </c>
      <c r="C219" s="31" t="str">
        <f>'PVC Fittings PRICE'!A185</f>
        <v>Providing and fixing PVC moulded fittings/ accessories for Rigid PVC pipes, including jointing with PVC solvent cement -75x75x75 mm dia Tee (50.18.9.21.5)</v>
      </c>
      <c r="D219" s="31" t="str">
        <f t="shared" si="1"/>
        <v>Providing and fixing PVC moulded fittings/ accessories for Rigid PVC pipes, including jointing with PVC solvent cement -75x75x75 mm dia Tee (50.18.9.21.5) (Code: GWDDR217)</v>
      </c>
      <c r="E219" s="29" t="s">
        <v>43</v>
      </c>
      <c r="F219" s="32" t="s">
        <v>48</v>
      </c>
      <c r="G219" s="32" t="s">
        <v>45</v>
      </c>
      <c r="H219" s="32" t="s">
        <v>87</v>
      </c>
      <c r="I219" s="116">
        <f>'PVC Fittings PRICE'!H208</f>
        <v>55.17125</v>
      </c>
      <c r="J219" s="116">
        <f>'PVC Fittings PRICE'!I208</f>
        <v>31.4445926</v>
      </c>
      <c r="K219" s="33">
        <f t="shared" si="2"/>
        <v>0</v>
      </c>
      <c r="L219" s="33">
        <f t="shared" si="3"/>
        <v>86.6158426</v>
      </c>
    </row>
    <row r="220">
      <c r="A220" s="29">
        <v>218.0</v>
      </c>
      <c r="B220" s="30" t="s">
        <v>1304</v>
      </c>
      <c r="C220" s="31" t="str">
        <f>'PVC Fittings PRICE'!A211</f>
        <v>Providing and fixing PVC moulded fittings/ accessories for Rigid PVC pipes including jointing with PVC solvent cement 110x110x110 mm dia Tee (50.18.9.22.5)</v>
      </c>
      <c r="D220" s="31" t="str">
        <f t="shared" si="1"/>
        <v>Providing and fixing PVC moulded fittings/ accessories for Rigid PVC pipes including jointing with PVC solvent cement 110x110x110 mm dia Tee (50.18.9.22.5) (Code: GWDDR218)</v>
      </c>
      <c r="E220" s="29" t="s">
        <v>43</v>
      </c>
      <c r="F220" s="32" t="s">
        <v>48</v>
      </c>
      <c r="G220" s="32" t="s">
        <v>45</v>
      </c>
      <c r="H220" s="32" t="s">
        <v>87</v>
      </c>
      <c r="I220" s="116">
        <f>'PVC Fittings PRICE'!H234</f>
        <v>130.088</v>
      </c>
      <c r="J220" s="116">
        <f>'PVC Fittings PRICE'!I234</f>
        <v>34.965796</v>
      </c>
      <c r="K220" s="33">
        <f t="shared" si="2"/>
        <v>0</v>
      </c>
      <c r="L220" s="33">
        <f t="shared" si="3"/>
        <v>165.053796</v>
      </c>
    </row>
    <row r="221">
      <c r="A221" s="29">
        <v>219.0</v>
      </c>
      <c r="B221" s="30" t="s">
        <v>1305</v>
      </c>
      <c r="C221" s="31" t="str">
        <f>'PVC Fittings PRICE'!A237</f>
        <v>Providing and fixing PVC moulded fittings/ accessories for Rigid PVC pipes, including jointing with PVC solvent cement -63x63x63 mm dia Door Tee (50.18.9.20.6)</v>
      </c>
      <c r="D221" s="31" t="str">
        <f t="shared" si="1"/>
        <v>Providing and fixing PVC moulded fittings/ accessories for Rigid PVC pipes, including jointing with PVC solvent cement -63x63x63 mm dia Door Tee (50.18.9.20.6) (Code: GWDDR219)</v>
      </c>
      <c r="E221" s="29" t="s">
        <v>43</v>
      </c>
      <c r="F221" s="32" t="s">
        <v>48</v>
      </c>
      <c r="G221" s="32" t="s">
        <v>45</v>
      </c>
      <c r="H221" s="32" t="s">
        <v>87</v>
      </c>
      <c r="I221" s="116">
        <f>'PVC Fittings PRICE'!H260</f>
        <v>54.00975</v>
      </c>
      <c r="J221" s="116">
        <f>'PVC Fittings PRICE'!I260</f>
        <v>31.4445926</v>
      </c>
      <c r="K221" s="33">
        <f t="shared" si="2"/>
        <v>0</v>
      </c>
      <c r="L221" s="33">
        <f t="shared" si="3"/>
        <v>85.4543426</v>
      </c>
    </row>
    <row r="222">
      <c r="A222" s="29">
        <v>220.0</v>
      </c>
      <c r="B222" s="30" t="s">
        <v>1309</v>
      </c>
      <c r="C222" s="31" t="str">
        <f>'PVC Fittings PRICE'!A263</f>
        <v>Providing and fixing PVC moulded fittings/ accessories for Rigid PVC pipes, including jointing with PVC solvent cement -75x75x75 mm dia Door Tee (50.18.9.21.6)</v>
      </c>
      <c r="D222" s="31" t="str">
        <f t="shared" si="1"/>
        <v>Providing and fixing PVC moulded fittings/ accessories for Rigid PVC pipes, including jointing with PVC solvent cement -75x75x75 mm dia Door Tee (50.18.9.21.6) (Code: GWDDR220)</v>
      </c>
      <c r="E222" s="29" t="s">
        <v>43</v>
      </c>
      <c r="F222" s="32" t="s">
        <v>48</v>
      </c>
      <c r="G222" s="32" t="s">
        <v>45</v>
      </c>
      <c r="H222" s="32" t="s">
        <v>87</v>
      </c>
      <c r="I222" s="116">
        <f>'PVC Fittings PRICE'!H286</f>
        <v>66.78625</v>
      </c>
      <c r="J222" s="116">
        <f>'PVC Fittings PRICE'!I286</f>
        <v>31.4445926</v>
      </c>
      <c r="K222" s="33">
        <f t="shared" si="2"/>
        <v>0</v>
      </c>
      <c r="L222" s="33">
        <f t="shared" si="3"/>
        <v>98.2308426</v>
      </c>
    </row>
    <row r="223">
      <c r="A223" s="29">
        <v>221.0</v>
      </c>
      <c r="B223" s="30" t="s">
        <v>1314</v>
      </c>
      <c r="C223" s="31" t="str">
        <f>'PVC Fittings PRICE'!A289</f>
        <v>Providing and fixing PVC moulded fittings/ accessories for Rigid PVC pipes including jointing with PVC solvent cement 110x110x110 mm dia Door Tee (50.18.9.22.6)</v>
      </c>
      <c r="D223" s="31" t="str">
        <f t="shared" si="1"/>
        <v>Providing and fixing PVC moulded fittings/ accessories for Rigid PVC pipes including jointing with PVC solvent cement 110x110x110 mm dia Door Tee (50.18.9.22.6) (Code: GWDDR221)</v>
      </c>
      <c r="E223" s="29" t="s">
        <v>43</v>
      </c>
      <c r="F223" s="32" t="s">
        <v>48</v>
      </c>
      <c r="G223" s="32" t="s">
        <v>45</v>
      </c>
      <c r="H223" s="32" t="s">
        <v>87</v>
      </c>
      <c r="I223" s="116">
        <f>'PVC Fittings PRICE'!H312</f>
        <v>142.8645</v>
      </c>
      <c r="J223" s="116">
        <f>'PVC Fittings PRICE'!I312</f>
        <v>34.965796</v>
      </c>
      <c r="K223" s="33">
        <f t="shared" si="2"/>
        <v>0</v>
      </c>
      <c r="L223" s="33">
        <f t="shared" si="3"/>
        <v>177.830296</v>
      </c>
    </row>
    <row r="224">
      <c r="A224" s="29">
        <v>222.0</v>
      </c>
      <c r="B224" s="30" t="s">
        <v>1316</v>
      </c>
      <c r="C224" s="31" t="str">
        <f>'PVC Fittings PRICE'!A315</f>
        <v>Providing and fixing PVC moulded fittings/ accessories for Rigid PVC pipes including jointing with PVC solvent cement 110x110x75 mm dia Door Tee (50.18.9.22.7)</v>
      </c>
      <c r="D224" s="31" t="str">
        <f t="shared" si="1"/>
        <v>Providing and fixing PVC moulded fittings/ accessories for Rigid PVC pipes including jointing with PVC solvent cement 110x110x75 mm dia Door Tee (50.18.9.22.7) (Code: GWDDR222)</v>
      </c>
      <c r="E224" s="29" t="s">
        <v>43</v>
      </c>
      <c r="F224" s="32" t="s">
        <v>48</v>
      </c>
      <c r="G224" s="32" t="s">
        <v>45</v>
      </c>
      <c r="H224" s="32" t="s">
        <v>87</v>
      </c>
      <c r="I224" s="116">
        <f>'PVC Fittings PRICE'!H338</f>
        <v>135.8955</v>
      </c>
      <c r="J224" s="116">
        <f>'PVC Fittings PRICE'!I338</f>
        <v>34.965796</v>
      </c>
      <c r="K224" s="33">
        <f t="shared" si="2"/>
        <v>0</v>
      </c>
      <c r="L224" s="33">
        <f t="shared" si="3"/>
        <v>170.861296</v>
      </c>
    </row>
    <row r="225">
      <c r="A225" s="29">
        <v>223.0</v>
      </c>
      <c r="B225" s="30" t="s">
        <v>1317</v>
      </c>
      <c r="C225" s="31" t="str">
        <f>'PVC Fittings PRICE'!A341</f>
        <v>Providing and fixing PVC moulded fittings/accessories for Rigid PVC pipes, including jointing with PVC solvent cement -63 mm dia Elbow (50.18.9.20.1)</v>
      </c>
      <c r="D225" s="31" t="str">
        <f t="shared" si="1"/>
        <v>Providing and fixing PVC moulded fittings/accessories for Rigid PVC pipes, including jointing with PVC solvent cement -63 mm dia Elbow (50.18.9.20.1) (Code: GWDDR223)</v>
      </c>
      <c r="E225" s="29" t="s">
        <v>43</v>
      </c>
      <c r="F225" s="32" t="s">
        <v>48</v>
      </c>
      <c r="G225" s="32" t="s">
        <v>45</v>
      </c>
      <c r="H225" s="32" t="s">
        <v>147</v>
      </c>
      <c r="I225" s="116">
        <f>'PVC Fittings PRICE'!H364</f>
        <v>34.845</v>
      </c>
      <c r="J225" s="116">
        <f>'PVC Fittings PRICE'!I364</f>
        <v>29.7701742</v>
      </c>
      <c r="K225" s="33">
        <f t="shared" si="2"/>
        <v>0</v>
      </c>
      <c r="L225" s="33">
        <f t="shared" si="3"/>
        <v>64.6151742</v>
      </c>
    </row>
    <row r="226">
      <c r="A226" s="29">
        <v>224.0</v>
      </c>
      <c r="B226" s="30" t="s">
        <v>1319</v>
      </c>
      <c r="C226" s="31" t="str">
        <f>'PVC Fittings PRICE'!A367</f>
        <v>Providing and fixing PVC moulded fittings/accessories for Rigid PVC pipes, including jointing with PVC solvent cement -63 mm dia 45 degree Elbow (50.18.9.20.2)</v>
      </c>
      <c r="D226" s="31" t="str">
        <f t="shared" si="1"/>
        <v>Providing and fixing PVC moulded fittings/accessories for Rigid PVC pipes, including jointing with PVC solvent cement -63 mm dia 45 degree Elbow (50.18.9.20.2) (Code: GWDDR224)</v>
      </c>
      <c r="E226" s="29" t="s">
        <v>43</v>
      </c>
      <c r="F226" s="32" t="s">
        <v>48</v>
      </c>
      <c r="G226" s="32" t="s">
        <v>45</v>
      </c>
      <c r="H226" s="32" t="s">
        <v>147</v>
      </c>
      <c r="I226" s="116">
        <f>'PVC Fittings PRICE'!H390</f>
        <v>26.13375</v>
      </c>
      <c r="J226" s="116">
        <f>'PVC Fittings PRICE'!I390</f>
        <v>29.7701742</v>
      </c>
      <c r="K226" s="33">
        <f t="shared" si="2"/>
        <v>0</v>
      </c>
      <c r="L226" s="33">
        <f t="shared" si="3"/>
        <v>55.9039242</v>
      </c>
    </row>
    <row r="227">
      <c r="A227" s="29">
        <v>225.0</v>
      </c>
      <c r="B227" s="30" t="s">
        <v>1320</v>
      </c>
      <c r="C227" s="31" t="str">
        <f>'PVC Fittings PRICE'!A393</f>
        <v>Providing and fixing PVC moulded fittings/accessories for Rigid PVC pipes, including jointing with PVC solvent cement -63 mm dia Door Elbow (50.18.9.20.3)</v>
      </c>
      <c r="D227" s="31" t="str">
        <f t="shared" si="1"/>
        <v>Providing and fixing PVC moulded fittings/accessories for Rigid PVC pipes, including jointing with PVC solvent cement -63 mm dia Door Elbow (50.18.9.20.3) (Code: GWDDR225)</v>
      </c>
      <c r="E227" s="29" t="s">
        <v>43</v>
      </c>
      <c r="F227" s="32" t="s">
        <v>48</v>
      </c>
      <c r="G227" s="32" t="s">
        <v>45</v>
      </c>
      <c r="H227" s="32" t="s">
        <v>147</v>
      </c>
      <c r="I227" s="116">
        <f>'PVC Fittings PRICE'!H416</f>
        <v>42.39475</v>
      </c>
      <c r="J227" s="116">
        <f>'PVC Fittings PRICE'!I416</f>
        <v>29.7701742</v>
      </c>
      <c r="K227" s="33">
        <f t="shared" si="2"/>
        <v>0</v>
      </c>
      <c r="L227" s="33">
        <f t="shared" si="3"/>
        <v>72.1649242</v>
      </c>
    </row>
    <row r="228">
      <c r="A228" s="29">
        <v>226.0</v>
      </c>
      <c r="B228" s="30" t="s">
        <v>1321</v>
      </c>
      <c r="C228" s="31" t="str">
        <f>'PVC Fittings PRICE'!A419</f>
        <v>Providing and fixing PVC moulded fittings/accessories for Rigid PVC pipes, including jointing with PVC solvent cement -75 mm dia Elbow (50.18.9.21.1)</v>
      </c>
      <c r="D228" s="31" t="str">
        <f t="shared" si="1"/>
        <v>Providing and fixing PVC moulded fittings/accessories for Rigid PVC pipes, including jointing with PVC solvent cement -75 mm dia Elbow (50.18.9.21.1) (Code: GWDDR226)</v>
      </c>
      <c r="E228" s="29" t="s">
        <v>43</v>
      </c>
      <c r="F228" s="32" t="s">
        <v>48</v>
      </c>
      <c r="G228" s="32" t="s">
        <v>45</v>
      </c>
      <c r="H228" s="32" t="s">
        <v>147</v>
      </c>
      <c r="I228" s="116">
        <f>'PVC Fittings PRICE'!H442</f>
        <v>56.9135</v>
      </c>
      <c r="J228" s="116">
        <f>'PVC Fittings PRICE'!I442</f>
        <v>29.7701742</v>
      </c>
      <c r="K228" s="33">
        <f t="shared" si="2"/>
        <v>0</v>
      </c>
      <c r="L228" s="33">
        <f t="shared" si="3"/>
        <v>86.6836742</v>
      </c>
    </row>
    <row r="229">
      <c r="A229" s="29">
        <v>227.0</v>
      </c>
      <c r="B229" s="30" t="s">
        <v>1322</v>
      </c>
      <c r="C229" s="31" t="str">
        <f>'PVC Fittings PRICE'!A445</f>
        <v>Providing and fixing PVC moulded fittings/accessories for Rigid PVC pipes, including jointing with PVC solvent cement -75 mm dia 45 degree Elbow (50.18.9.21.2)</v>
      </c>
      <c r="D229" s="31" t="str">
        <f t="shared" si="1"/>
        <v>Providing and fixing PVC moulded fittings/accessories for Rigid PVC pipes, including jointing with PVC solvent cement -75 mm dia 45 degree Elbow (50.18.9.21.2) (Code: GWDDR227)</v>
      </c>
      <c r="E229" s="29" t="s">
        <v>43</v>
      </c>
      <c r="F229" s="32" t="s">
        <v>48</v>
      </c>
      <c r="G229" s="32" t="s">
        <v>45</v>
      </c>
      <c r="H229" s="32" t="s">
        <v>147</v>
      </c>
      <c r="I229" s="116">
        <f>'PVC Fittings PRICE'!H468</f>
        <v>32.522</v>
      </c>
      <c r="J229" s="116">
        <f>'PVC Fittings PRICE'!I468</f>
        <v>29.7701742</v>
      </c>
      <c r="K229" s="33">
        <f t="shared" si="2"/>
        <v>0</v>
      </c>
      <c r="L229" s="33">
        <f t="shared" si="3"/>
        <v>62.2921742</v>
      </c>
    </row>
    <row r="230">
      <c r="A230" s="29">
        <v>228.0</v>
      </c>
      <c r="B230" s="30" t="s">
        <v>1325</v>
      </c>
      <c r="C230" s="31" t="str">
        <f>'PVC Fittings PRICE'!A471</f>
        <v>Providing and fixing PVC moulded fittings/accessories for Rigid PVC pipes, including jointing with PVC solvent cement -75 mm dia Door Elbow (50.18.9.21.3)</v>
      </c>
      <c r="D230" s="31" t="str">
        <f t="shared" si="1"/>
        <v>Providing and fixing PVC moulded fittings/accessories for Rigid PVC pipes, including jointing with PVC solvent cement -75 mm dia Door Elbow (50.18.9.21.3) (Code: GWDDR228)</v>
      </c>
      <c r="E230" s="29" t="s">
        <v>43</v>
      </c>
      <c r="F230" s="32" t="s">
        <v>48</v>
      </c>
      <c r="G230" s="32" t="s">
        <v>45</v>
      </c>
      <c r="H230" s="32" t="s">
        <v>147</v>
      </c>
      <c r="I230" s="116">
        <f>'PVC Fittings PRICE'!H494</f>
        <v>56.9135</v>
      </c>
      <c r="J230" s="116">
        <f>'PVC Fittings PRICE'!I494</f>
        <v>29.7701742</v>
      </c>
      <c r="K230" s="33">
        <f t="shared" si="2"/>
        <v>0</v>
      </c>
      <c r="L230" s="33">
        <f t="shared" si="3"/>
        <v>86.6836742</v>
      </c>
    </row>
    <row r="231">
      <c r="A231" s="29">
        <v>229.0</v>
      </c>
      <c r="B231" s="30" t="s">
        <v>1326</v>
      </c>
      <c r="C231" s="31" t="str">
        <f>'PVC Fittings PRICE'!A497</f>
        <v>Providing and fixing PVC moulded fittings / accessories for Rigid PVC pipes, including jointing with PVC solvent cement - 110 mm dia Elbow (50.18.9.22.1)</v>
      </c>
      <c r="D231" s="31" t="str">
        <f t="shared" si="1"/>
        <v>Providing and fixing PVC moulded fittings / accessories for Rigid PVC pipes, including jointing with PVC solvent cement - 110 mm dia Elbow (50.18.9.22.1) (Code: GWDDR229)</v>
      </c>
      <c r="E231" s="29" t="s">
        <v>43</v>
      </c>
      <c r="F231" s="32" t="s">
        <v>48</v>
      </c>
      <c r="G231" s="32" t="s">
        <v>45</v>
      </c>
      <c r="H231" s="32" t="s">
        <v>147</v>
      </c>
      <c r="I231" s="116">
        <f>'PVC Fittings PRICE'!H520</f>
        <v>65.044</v>
      </c>
      <c r="J231" s="116">
        <f>'PVC Fittings PRICE'!I520</f>
        <v>33.2913776</v>
      </c>
      <c r="K231" s="33">
        <f t="shared" si="2"/>
        <v>0</v>
      </c>
      <c r="L231" s="33">
        <f t="shared" si="3"/>
        <v>98.3353776</v>
      </c>
    </row>
    <row r="232">
      <c r="A232" s="29">
        <v>230.0</v>
      </c>
      <c r="B232" s="30" t="s">
        <v>1327</v>
      </c>
      <c r="C232" s="31" t="str">
        <f>'PVC Fittings PRICE'!A523</f>
        <v>Providing and fixing PVC moulded fittings / accessories for Rigid PVC pipes, including jointing with PVC solvent cement - 110 mm dia 45 degree Elbow (50.18.9.22.2)</v>
      </c>
      <c r="D232" s="31" t="str">
        <f t="shared" si="1"/>
        <v>Providing and fixing PVC moulded fittings / accessories for Rigid PVC pipes, including jointing with PVC solvent cement - 110 mm dia 45 degree Elbow (50.18.9.22.2) (Code: GWDDR230)</v>
      </c>
      <c r="E232" s="29" t="s">
        <v>43</v>
      </c>
      <c r="F232" s="32" t="s">
        <v>48</v>
      </c>
      <c r="G232" s="32" t="s">
        <v>45</v>
      </c>
      <c r="H232" s="32" t="s">
        <v>147</v>
      </c>
      <c r="I232" s="116">
        <f>'PVC Fittings PRICE'!H546</f>
        <v>62.721</v>
      </c>
      <c r="J232" s="116">
        <f>'PVC Fittings PRICE'!I546</f>
        <v>33.2913776</v>
      </c>
      <c r="K232" s="33">
        <f t="shared" si="2"/>
        <v>0</v>
      </c>
      <c r="L232" s="33">
        <f t="shared" si="3"/>
        <v>96.0123776</v>
      </c>
    </row>
    <row r="233">
      <c r="A233" s="29">
        <v>231.0</v>
      </c>
      <c r="B233" s="30" t="s">
        <v>1328</v>
      </c>
      <c r="C233" s="31" t="str">
        <f>'PVC Fittings PRICE'!A549</f>
        <v>Providing and fixing PVC moulded fittings / accessories for Rigid PVC pipes, including jointing with PVC solvent cement - 110 mm Door Elbow (50.18.9.22.3)</v>
      </c>
      <c r="D233" s="31" t="str">
        <f t="shared" si="1"/>
        <v>Providing and fixing PVC moulded fittings / accessories for Rigid PVC pipes, including jointing with PVC solvent cement - 110 mm Door Elbow (50.18.9.22.3) (Code: GWDDR231)</v>
      </c>
      <c r="E233" s="29" t="s">
        <v>43</v>
      </c>
      <c r="F233" s="32" t="s">
        <v>48</v>
      </c>
      <c r="G233" s="32" t="s">
        <v>45</v>
      </c>
      <c r="H233" s="32" t="s">
        <v>147</v>
      </c>
      <c r="I233" s="116">
        <f>'PVC Fittings PRICE'!H572</f>
        <v>89.4355</v>
      </c>
      <c r="J233" s="116">
        <f>'PVC Fittings PRICE'!I572</f>
        <v>33.2913776</v>
      </c>
      <c r="K233" s="33">
        <f t="shared" si="2"/>
        <v>0</v>
      </c>
      <c r="L233" s="33">
        <f t="shared" si="3"/>
        <v>122.7268776</v>
      </c>
    </row>
    <row r="234">
      <c r="A234" s="29">
        <v>232.0</v>
      </c>
      <c r="B234" s="30" t="s">
        <v>1330</v>
      </c>
      <c r="C234" s="31" t="str">
        <f>'PVC Fittings PRICE'!A575</f>
        <v>Providing and fixing PVC moulded fittings/ accessories for Rigid PVC pipes, including jointing with PVC solvent cement - 63 mm dia End cap (50.18.9.20.8)</v>
      </c>
      <c r="D234" s="31" t="str">
        <f t="shared" si="1"/>
        <v>Providing and fixing PVC moulded fittings/ accessories for Rigid PVC pipes, including jointing with PVC solvent cement - 63 mm dia End cap (50.18.9.20.8) (Code: GWDDR232)</v>
      </c>
      <c r="E234" s="29" t="s">
        <v>43</v>
      </c>
      <c r="F234" s="32" t="s">
        <v>48</v>
      </c>
      <c r="G234" s="32" t="s">
        <v>45</v>
      </c>
      <c r="H234" s="32" t="s">
        <v>57</v>
      </c>
      <c r="I234" s="116">
        <f>'PVC Fittings PRICE'!H598</f>
        <v>22.0685</v>
      </c>
      <c r="J234" s="116">
        <f>'PVC Fittings PRICE'!I598</f>
        <v>29.7701742</v>
      </c>
      <c r="K234" s="33">
        <f t="shared" si="2"/>
        <v>0</v>
      </c>
      <c r="L234" s="33">
        <f t="shared" si="3"/>
        <v>51.8386742</v>
      </c>
    </row>
    <row r="235">
      <c r="A235" s="29">
        <v>233.0</v>
      </c>
      <c r="B235" s="30" t="s">
        <v>1332</v>
      </c>
      <c r="C235" s="31" t="str">
        <f>'PVC Fittings PRICE'!A601</f>
        <v>Providing and fixing PVC moulded fittings/ accessories for Rigid PVC pipes, including jointing with PVC solvent cement -75 mm dia End cap (50.18.9.21.8)</v>
      </c>
      <c r="D235" s="31" t="str">
        <f t="shared" si="1"/>
        <v>Providing and fixing PVC moulded fittings/ accessories for Rigid PVC pipes, including jointing with PVC solvent cement -75 mm dia End cap (50.18.9.21.8) (Code: GWDDR233)</v>
      </c>
      <c r="E235" s="29" t="s">
        <v>43</v>
      </c>
      <c r="F235" s="32" t="s">
        <v>48</v>
      </c>
      <c r="G235" s="32" t="s">
        <v>45</v>
      </c>
      <c r="H235" s="32" t="s">
        <v>57</v>
      </c>
      <c r="I235" s="116">
        <f>'PVC Fittings PRICE'!H624</f>
        <v>26.7145</v>
      </c>
      <c r="J235" s="116">
        <f>'PVC Fittings PRICE'!I624</f>
        <v>29.7729618</v>
      </c>
      <c r="K235" s="33">
        <f t="shared" si="2"/>
        <v>0</v>
      </c>
      <c r="L235" s="33">
        <f t="shared" si="3"/>
        <v>56.4874618</v>
      </c>
    </row>
    <row r="236">
      <c r="A236" s="29">
        <v>234.0</v>
      </c>
      <c r="B236" s="30" t="s">
        <v>1336</v>
      </c>
      <c r="C236" s="31" t="str">
        <f>'PVC Fittings PRICE'!A627</f>
        <v>Providing and fixing PVC moulded fittings/accessories for Rigid PVC pipes, including jointing with PVC solvent cement -110 mm dia End Cap (50.18.9.22.10)</v>
      </c>
      <c r="D236" s="31" t="str">
        <f t="shared" si="1"/>
        <v>Providing and fixing PVC moulded fittings/accessories for Rigid PVC pipes, including jointing with PVC solvent cement -110 mm dia End Cap (50.18.9.22.10) (Code: GWDDR234)</v>
      </c>
      <c r="E236" s="29" t="s">
        <v>43</v>
      </c>
      <c r="F236" s="32" t="s">
        <v>48</v>
      </c>
      <c r="G236" s="32" t="s">
        <v>45</v>
      </c>
      <c r="H236" s="32" t="s">
        <v>57</v>
      </c>
      <c r="I236" s="116">
        <f>'PVC Fittings PRICE'!H650</f>
        <v>32.522</v>
      </c>
      <c r="J236" s="116">
        <f>'PVC Fittings PRICE'!I650</f>
        <v>33.2913776</v>
      </c>
      <c r="K236" s="33">
        <f t="shared" si="2"/>
        <v>0</v>
      </c>
      <c r="L236" s="33">
        <f t="shared" si="3"/>
        <v>65.8133776</v>
      </c>
    </row>
    <row r="237">
      <c r="A237" s="29">
        <v>235.0</v>
      </c>
      <c r="B237" s="30" t="s">
        <v>1338</v>
      </c>
      <c r="C237" s="31" t="str">
        <f>'PVC Fittings PRICE'!A653</f>
        <v>Providing and fixing PVC moulded fittings/ accessories for Rigid PVC pipes, including jointing with PVC solvent cement - 63x50 mm dia Reducer (50.18.9.20.10)</v>
      </c>
      <c r="D237" s="31" t="str">
        <f t="shared" si="1"/>
        <v>Providing and fixing PVC moulded fittings/ accessories for Rigid PVC pipes, including jointing with PVC solvent cement - 63x50 mm dia Reducer (50.18.9.20.10) (Code: GWDDR235)</v>
      </c>
      <c r="E237" s="29" t="s">
        <v>43</v>
      </c>
      <c r="F237" s="32" t="s">
        <v>48</v>
      </c>
      <c r="G237" s="32" t="s">
        <v>45</v>
      </c>
      <c r="H237" s="32" t="s">
        <v>100</v>
      </c>
      <c r="I237" s="116">
        <f>'PVC Fittings PRICE'!H676</f>
        <v>25.553</v>
      </c>
      <c r="J237" s="116">
        <f>'PVC Fittings PRICE'!I676</f>
        <v>29.7701742</v>
      </c>
      <c r="K237" s="33">
        <f t="shared" si="2"/>
        <v>0</v>
      </c>
      <c r="L237" s="33">
        <f t="shared" si="3"/>
        <v>55.3231742</v>
      </c>
    </row>
    <row r="238">
      <c r="A238" s="29">
        <v>236.0</v>
      </c>
      <c r="B238" s="30" t="s">
        <v>1339</v>
      </c>
      <c r="C238" s="31" t="str">
        <f>'PVC Fittings PRICE'!A679</f>
        <v>Providing and fixing PVC moulded fittings/ accessories for Rigid PVC pipes, including jointing with PVC solvent cement - 75x63 mm dia Reducer (50.18.9.21.10)</v>
      </c>
      <c r="D238" s="31" t="str">
        <f t="shared" si="1"/>
        <v>Providing and fixing PVC moulded fittings/ accessories for Rigid PVC pipes, including jointing with PVC solvent cement - 75x63 mm dia Reducer (50.18.9.21.10) (Code: GWDDR236)</v>
      </c>
      <c r="E238" s="29" t="s">
        <v>43</v>
      </c>
      <c r="F238" s="32" t="s">
        <v>48</v>
      </c>
      <c r="G238" s="32" t="s">
        <v>45</v>
      </c>
      <c r="H238" s="32" t="s">
        <v>100</v>
      </c>
      <c r="I238" s="116">
        <f>'PVC Fittings PRICE'!H702</f>
        <v>32.522</v>
      </c>
      <c r="J238" s="116">
        <f>'PVC Fittings PRICE'!I702</f>
        <v>29.7701742</v>
      </c>
      <c r="K238" s="33">
        <f t="shared" si="2"/>
        <v>0</v>
      </c>
      <c r="L238" s="33">
        <f t="shared" si="3"/>
        <v>62.2921742</v>
      </c>
    </row>
    <row r="239">
      <c r="A239" s="29">
        <v>237.0</v>
      </c>
      <c r="B239" s="30" t="s">
        <v>1341</v>
      </c>
      <c r="C239" s="31" t="str">
        <f>'PVC Fittings PRICE'!A705</f>
        <v>Providing and fixing PVC moulded fittings/ accessories for Rigid PVC pipes, including jointing with PVC solvent cement - 110x75 mm dia Reducer (50.18.9.22.12)</v>
      </c>
      <c r="D239" s="31" t="str">
        <f t="shared" si="1"/>
        <v>Providing and fixing PVC moulded fittings/ accessories for Rigid PVC pipes, including jointing with PVC solvent cement - 110x75 mm dia Reducer (50.18.9.22.12) (Code: GWDDR237)</v>
      </c>
      <c r="E239" s="29" t="s">
        <v>43</v>
      </c>
      <c r="F239" s="32" t="s">
        <v>48</v>
      </c>
      <c r="G239" s="32" t="s">
        <v>45</v>
      </c>
      <c r="H239" s="32" t="s">
        <v>100</v>
      </c>
      <c r="I239" s="116">
        <f>'PVC Fittings PRICE'!H728</f>
        <v>65.044</v>
      </c>
      <c r="J239" s="116">
        <f>'PVC Fittings PRICE'!I728</f>
        <v>33.2913776</v>
      </c>
      <c r="K239" s="33">
        <f t="shared" si="2"/>
        <v>0</v>
      </c>
      <c r="L239" s="33">
        <f t="shared" si="3"/>
        <v>98.3353776</v>
      </c>
    </row>
    <row r="240">
      <c r="A240" s="29">
        <v>238.0</v>
      </c>
      <c r="B240" s="30" t="s">
        <v>1342</v>
      </c>
      <c r="C240" s="31" t="str">
        <f>Scaffolding!B2</f>
        <v>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v>
      </c>
      <c r="D240" s="31" t="str">
        <f t="shared" si="1"/>
        <v>Providing and fixing double scaffolding system (cup lock type) on the exterior side, upto seven story hight made with 40 mm dia. M.S. tube 1.5 m centre to centre, horizontal &amp; vertical tubes joining with cup &amp; lock system with M.S. tubes, M.S. tube challies, M.S. clamps and M.S. staricase system in the scaffolding for working platform etc. and maintaining it in a serviceable condition for the required duration as approved and removing it there after. The scaffolding system shall be stiffened with bracings, runners, connection with the building etc wherever required for inspection of work at required location with essential safety features for the workmen etc. complete as per directions and approval of Engineer- in Charge. The elevational area of the scaffolding shall be measured for payment purpose. The payment will be made once irrespective of duration of scaffolding. Note:- This item to be used for maintenance work judicially, necessary deduction for scaffolding in the existing item to be done . (14.72) (Code: GWDDR238)</v>
      </c>
      <c r="E240" s="29" t="s">
        <v>305</v>
      </c>
      <c r="F240" s="32" t="s">
        <v>48</v>
      </c>
      <c r="G240" s="32" t="s">
        <v>68</v>
      </c>
      <c r="H240" s="32" t="s">
        <v>1343</v>
      </c>
      <c r="I240" s="29">
        <v>0.0</v>
      </c>
      <c r="J240" s="32">
        <f>Scaffolding!C2</f>
        <v>247.41</v>
      </c>
      <c r="K240" s="33">
        <f t="shared" si="2"/>
        <v>0</v>
      </c>
      <c r="L240" s="33">
        <f t="shared" si="3"/>
        <v>247.41</v>
      </c>
    </row>
    <row r="241">
      <c r="A241" s="29">
        <v>239.0</v>
      </c>
      <c r="B241" s="30" t="s">
        <v>1345</v>
      </c>
      <c r="C241" s="31" t="str">
        <f>'GI Works'!A3</f>
        <v>GI work in single section, fixed with or without connecting plate, including cutting, hoisting, fixing in position and applying a priming coat of approved steel primer all complete.</v>
      </c>
      <c r="D241" s="31" t="str">
        <f t="shared" si="1"/>
        <v>GI work in single section, fixed with or without connecting plate, including cutting, hoisting, fixing in position and applying a priming coat of approved steel primer all complete. (Code: GWDDR239)</v>
      </c>
      <c r="E241" s="29" t="s">
        <v>759</v>
      </c>
      <c r="F241" s="32" t="s">
        <v>48</v>
      </c>
      <c r="G241" s="32" t="s">
        <v>49</v>
      </c>
      <c r="H241" s="32" t="s">
        <v>50</v>
      </c>
      <c r="I241" s="29">
        <v>0.0</v>
      </c>
      <c r="J241" s="32">
        <f>'GI Works'!F30</f>
        <v>151.04</v>
      </c>
      <c r="K241" s="33">
        <f t="shared" si="2"/>
        <v>0</v>
      </c>
      <c r="L241" s="33">
        <f t="shared" si="3"/>
        <v>151.04</v>
      </c>
    </row>
    <row r="242">
      <c r="A242" s="29">
        <v>240.0</v>
      </c>
      <c r="B242" s="30" t="s">
        <v>1346</v>
      </c>
      <c r="C242" s="31" t="str">
        <f>'Gravel for TWC'!A3</f>
        <v>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v>
      </c>
      <c r="D242" s="31" t="str">
        <f t="shared" si="1"/>
        <v>Supplying of 4.75 to 8mm size pebble (pebbles shall be hard, clean, free from clay, dust and other impurities), stacking in standard heaps for measurement including cost, conveyance up to 5km and labour charges for stacking, spreading, testing and as per the directions of the department officers etc complete and as per CPHEEO specification. (Code: GWDDR240)</v>
      </c>
      <c r="E242" s="29" t="s">
        <v>824</v>
      </c>
      <c r="F242" s="32" t="s">
        <v>48</v>
      </c>
      <c r="G242" s="32" t="s">
        <v>235</v>
      </c>
      <c r="H242" s="32" t="s">
        <v>296</v>
      </c>
      <c r="I242" s="116">
        <f>'Gravel for TWC'!H32</f>
        <v>7611.3095</v>
      </c>
      <c r="J242" s="116">
        <f>'Gravel for TWC'!I32</f>
        <v>826.674395</v>
      </c>
      <c r="K242" s="33">
        <f t="shared" si="2"/>
        <v>0</v>
      </c>
      <c r="L242" s="33">
        <f t="shared" si="3"/>
        <v>8437.983895</v>
      </c>
    </row>
    <row r="243">
      <c r="A243" s="29">
        <v>241.0</v>
      </c>
      <c r="B243" s="30" t="s">
        <v>1348</v>
      </c>
      <c r="C243" s="31" t="str">
        <f>'GI With Trench PRICE'!B2</f>
        <v>Providing and fixing G.I. pipes complete with G.I fittings including trenching and refilling etc. External work 15 mm dia nominal bore (18.12.1)</v>
      </c>
      <c r="D243" s="31" t="str">
        <f t="shared" si="1"/>
        <v>Providing and fixing G.I. pipes complete with G.I fittings including trenching and refilling etc. External work 15 mm dia nominal bore (18.12.1) (Code: GWDDR241)</v>
      </c>
      <c r="E243" s="29" t="s">
        <v>22</v>
      </c>
      <c r="F243" s="32" t="s">
        <v>48</v>
      </c>
      <c r="G243" s="32" t="s">
        <v>49</v>
      </c>
      <c r="H243" s="32" t="s">
        <v>1349</v>
      </c>
      <c r="I243" s="29">
        <v>0.0</v>
      </c>
      <c r="J243" s="96">
        <f>'GI With Trench PRICE'!C2</f>
        <v>232.24</v>
      </c>
      <c r="K243" s="33">
        <f t="shared" si="2"/>
        <v>0</v>
      </c>
      <c r="L243" s="33">
        <f t="shared" si="3"/>
        <v>232.24</v>
      </c>
    </row>
    <row r="244">
      <c r="A244" s="29">
        <v>242.0</v>
      </c>
      <c r="B244" s="30" t="s">
        <v>1350</v>
      </c>
      <c r="C244" s="31" t="str">
        <f>'GI With Trench PRICE'!B3</f>
        <v>Providing and fixing G.I. pipes complete with G.I fittings including trenching and refilling etc. External work 20 mm dia nominal bore (18.12.2)</v>
      </c>
      <c r="D244" s="31" t="str">
        <f t="shared" si="1"/>
        <v>Providing and fixing G.I. pipes complete with G.I fittings including trenching and refilling etc. External work 20 mm dia nominal bore (18.12.2) (Code: GWDDR242)</v>
      </c>
      <c r="E244" s="29" t="s">
        <v>22</v>
      </c>
      <c r="F244" s="32" t="s">
        <v>48</v>
      </c>
      <c r="G244" s="32" t="s">
        <v>49</v>
      </c>
      <c r="H244" s="32" t="s">
        <v>1349</v>
      </c>
      <c r="I244" s="29">
        <v>0.0</v>
      </c>
      <c r="J244" s="96">
        <f>'GI With Trench PRICE'!C3</f>
        <v>273.77</v>
      </c>
      <c r="K244" s="33">
        <f t="shared" si="2"/>
        <v>0</v>
      </c>
      <c r="L244" s="33">
        <f t="shared" si="3"/>
        <v>273.77</v>
      </c>
    </row>
    <row r="245">
      <c r="A245" s="29">
        <v>243.0</v>
      </c>
      <c r="B245" s="30" t="s">
        <v>1351</v>
      </c>
      <c r="C245" s="31" t="str">
        <f>'GI With Trench PRICE'!B4</f>
        <v>Providing and fixing G.I. pipes complete with G.I fittings including trenching and refilling etc. External work 25 mm dia nominal bore (18.12.3)</v>
      </c>
      <c r="D245" s="31" t="str">
        <f t="shared" si="1"/>
        <v>Providing and fixing G.I. pipes complete with G.I fittings including trenching and refilling etc. External work 25 mm dia nominal bore (18.12.3) (Code: GWDDR243)</v>
      </c>
      <c r="E245" s="29" t="s">
        <v>22</v>
      </c>
      <c r="F245" s="32" t="s">
        <v>48</v>
      </c>
      <c r="G245" s="32" t="s">
        <v>49</v>
      </c>
      <c r="H245" s="32" t="s">
        <v>1349</v>
      </c>
      <c r="I245" s="29">
        <v>0.0</v>
      </c>
      <c r="J245" s="96">
        <f>'GI With Trench PRICE'!C4</f>
        <v>362.84</v>
      </c>
      <c r="K245" s="33">
        <f t="shared" si="2"/>
        <v>0</v>
      </c>
      <c r="L245" s="33">
        <f t="shared" si="3"/>
        <v>362.84</v>
      </c>
    </row>
    <row r="246">
      <c r="A246" s="29">
        <v>244.0</v>
      </c>
      <c r="B246" s="30" t="s">
        <v>1352</v>
      </c>
      <c r="C246" s="31" t="str">
        <f>'GI With Trench PRICE'!B5</f>
        <v>Providing and fixing G.I. pipes complete with G.I fittings including trenching and refilling etc. External work 32 mm dia nominal bore (18.12.4)</v>
      </c>
      <c r="D246" s="31" t="str">
        <f t="shared" si="1"/>
        <v>Providing and fixing G.I. pipes complete with G.I fittings including trenching and refilling etc. External work 32 mm dia nominal bore (18.12.4) (Code: GWDDR244)</v>
      </c>
      <c r="E246" s="29" t="s">
        <v>22</v>
      </c>
      <c r="F246" s="32" t="s">
        <v>48</v>
      </c>
      <c r="G246" s="32" t="s">
        <v>49</v>
      </c>
      <c r="H246" s="32" t="s">
        <v>1349</v>
      </c>
      <c r="I246" s="29">
        <v>0.0</v>
      </c>
      <c r="J246" s="96">
        <f>'GI With Trench PRICE'!C5</f>
        <v>397.33</v>
      </c>
      <c r="K246" s="33">
        <f t="shared" si="2"/>
        <v>0</v>
      </c>
      <c r="L246" s="33">
        <f t="shared" si="3"/>
        <v>397.33</v>
      </c>
    </row>
    <row r="247">
      <c r="A247" s="29">
        <v>245.0</v>
      </c>
      <c r="B247" s="30" t="s">
        <v>1353</v>
      </c>
      <c r="C247" s="31" t="str">
        <f>'GI With Trench PRICE'!B6</f>
        <v>Providing and fixing G.I. pipes complete with G.I fittings including trenching and refilling etc. External work 40 mm dia nominal bore (18.12.5)</v>
      </c>
      <c r="D247" s="31" t="str">
        <f t="shared" si="1"/>
        <v>Providing and fixing G.I. pipes complete with G.I fittings including trenching and refilling etc. External work 40 mm dia nominal bore (18.12.5) (Code: GWDDR245)</v>
      </c>
      <c r="E247" s="29" t="s">
        <v>22</v>
      </c>
      <c r="F247" s="32" t="s">
        <v>48</v>
      </c>
      <c r="G247" s="32" t="s">
        <v>49</v>
      </c>
      <c r="H247" s="32" t="s">
        <v>1349</v>
      </c>
      <c r="I247" s="29">
        <v>0.0</v>
      </c>
      <c r="J247" s="96">
        <f>'GI With Trench PRICE'!C6</f>
        <v>484.72</v>
      </c>
      <c r="K247" s="33">
        <f t="shared" si="2"/>
        <v>0</v>
      </c>
      <c r="L247" s="33">
        <f t="shared" si="3"/>
        <v>484.72</v>
      </c>
    </row>
    <row r="248">
      <c r="A248" s="29">
        <v>246.0</v>
      </c>
      <c r="B248" s="30" t="s">
        <v>1354</v>
      </c>
      <c r="C248" s="31" t="str">
        <f>'GI With Trench PRICE'!B7</f>
        <v>Providing and fixing G.I. pipes complete with G.I fittings including trenching and refilling etc. External work 50 mm dia nominal bore (18.12.6)</v>
      </c>
      <c r="D248" s="31" t="str">
        <f t="shared" si="1"/>
        <v>Providing and fixing G.I. pipes complete with G.I fittings including trenching and refilling etc. External work 50 mm dia nominal bore (18.12.6) (Code: GWDDR246)</v>
      </c>
      <c r="E248" s="29" t="s">
        <v>22</v>
      </c>
      <c r="F248" s="32" t="s">
        <v>48</v>
      </c>
      <c r="G248" s="32" t="s">
        <v>49</v>
      </c>
      <c r="H248" s="32" t="s">
        <v>1349</v>
      </c>
      <c r="I248" s="29">
        <v>0.0</v>
      </c>
      <c r="J248" s="96">
        <f>'GI With Trench PRICE'!C7</f>
        <v>567.92</v>
      </c>
      <c r="K248" s="33">
        <f t="shared" si="2"/>
        <v>0</v>
      </c>
      <c r="L248" s="33">
        <f t="shared" si="3"/>
        <v>567.92</v>
      </c>
    </row>
    <row r="249">
      <c r="A249" s="29">
        <v>247.0</v>
      </c>
      <c r="B249" s="30" t="s">
        <v>1355</v>
      </c>
      <c r="C249" s="31" t="str">
        <f>'GI With Trench PRICE'!B8</f>
        <v>Providing and fixing G.I. pipes complete with G.I fittings including trenching and refilling etc. External work 65 mm dia nominal bore (18.12.7)</v>
      </c>
      <c r="D249" s="31" t="str">
        <f t="shared" si="1"/>
        <v>Providing and fixing G.I. pipes complete with G.I fittings including trenching and refilling etc. External work 65 mm dia nominal bore (18.12.7) (Code: GWDDR247)</v>
      </c>
      <c r="E249" s="29" t="s">
        <v>22</v>
      </c>
      <c r="F249" s="32" t="s">
        <v>48</v>
      </c>
      <c r="G249" s="32" t="s">
        <v>49</v>
      </c>
      <c r="H249" s="32" t="s">
        <v>1349</v>
      </c>
      <c r="I249" s="29">
        <v>0.0</v>
      </c>
      <c r="J249" s="96">
        <f>'GI With Trench PRICE'!C8</f>
        <v>667.24</v>
      </c>
      <c r="K249" s="33">
        <f t="shared" si="2"/>
        <v>0</v>
      </c>
      <c r="L249" s="33">
        <f t="shared" si="3"/>
        <v>667.24</v>
      </c>
    </row>
    <row r="250">
      <c r="A250" s="29">
        <v>248.0</v>
      </c>
      <c r="B250" s="30" t="s">
        <v>1356</v>
      </c>
      <c r="C250" s="31" t="str">
        <f>'GI With Trench PRICE'!B9</f>
        <v>Providing and fixing G.I. pipes complete with G.I fittings including trenching and refilling etc. External work 80 mm dia nominal bore (18.12.8)</v>
      </c>
      <c r="D250" s="31" t="str">
        <f t="shared" si="1"/>
        <v>Providing and fixing G.I. pipes complete with G.I fittings including trenching and refilling etc. External work 80 mm dia nominal bore (18.12.8) (Code: GWDDR248)</v>
      </c>
      <c r="E250" s="29" t="s">
        <v>22</v>
      </c>
      <c r="F250" s="32" t="s">
        <v>48</v>
      </c>
      <c r="G250" s="32" t="s">
        <v>49</v>
      </c>
      <c r="H250" s="32" t="s">
        <v>1349</v>
      </c>
      <c r="I250" s="29">
        <v>0.0</v>
      </c>
      <c r="J250" s="96">
        <f>'GI With Trench PRICE'!C9</f>
        <v>797.9</v>
      </c>
      <c r="K250" s="33">
        <f t="shared" si="2"/>
        <v>0</v>
      </c>
      <c r="L250" s="33">
        <f t="shared" si="3"/>
        <v>797.9</v>
      </c>
    </row>
    <row r="251">
      <c r="A251" s="29">
        <v>249.0</v>
      </c>
      <c r="B251" s="30" t="s">
        <v>1358</v>
      </c>
      <c r="C251" s="31" t="str">
        <f>'Other Fittings PRICE'!B2</f>
        <v>Providing and fixing gun metal gate valve with C.I. wheel of approved quality (screwed end) : 25 mm nominal bore (18.17.1)</v>
      </c>
      <c r="D251" s="31" t="str">
        <f t="shared" si="1"/>
        <v>Providing and fixing gun metal gate valve with C.I. wheel of approved quality (screwed end) : 25 mm nominal bore (18.17.1) (Code: GWDDR249)</v>
      </c>
      <c r="E251" s="29" t="s">
        <v>43</v>
      </c>
      <c r="F251" s="32" t="s">
        <v>48</v>
      </c>
      <c r="G251" s="32" t="s">
        <v>49</v>
      </c>
      <c r="H251" s="32" t="s">
        <v>1359</v>
      </c>
      <c r="I251" s="29">
        <v>0.0</v>
      </c>
      <c r="J251" s="96">
        <f>'Other Fittings PRICE'!C2</f>
        <v>462.13</v>
      </c>
      <c r="K251" s="33">
        <f t="shared" si="2"/>
        <v>0</v>
      </c>
      <c r="L251" s="33">
        <f t="shared" si="3"/>
        <v>462.13</v>
      </c>
    </row>
    <row r="252">
      <c r="A252" s="29">
        <v>250.0</v>
      </c>
      <c r="B252" s="30" t="s">
        <v>1360</v>
      </c>
      <c r="C252" s="31" t="str">
        <f>'Other Fittings PRICE'!B3</f>
        <v>Providing and fixing gun metal gate valve with C.I. wheel of approved quality (screwed end) : 32 mm nominal bore (18.17.2)</v>
      </c>
      <c r="D252" s="31" t="str">
        <f t="shared" si="1"/>
        <v>Providing and fixing gun metal gate valve with C.I. wheel of approved quality (screwed end) : 32 mm nominal bore (18.17.2) (Code: GWDDR250)</v>
      </c>
      <c r="E252" s="29" t="s">
        <v>43</v>
      </c>
      <c r="F252" s="32" t="s">
        <v>48</v>
      </c>
      <c r="G252" s="32" t="s">
        <v>49</v>
      </c>
      <c r="H252" s="32" t="s">
        <v>1359</v>
      </c>
      <c r="I252" s="29">
        <v>0.0</v>
      </c>
      <c r="J252" s="96">
        <f>'Other Fittings PRICE'!C3</f>
        <v>512.12</v>
      </c>
      <c r="K252" s="33">
        <f t="shared" si="2"/>
        <v>0</v>
      </c>
      <c r="L252" s="33">
        <f t="shared" si="3"/>
        <v>512.12</v>
      </c>
    </row>
    <row r="253">
      <c r="A253" s="29">
        <v>251.0</v>
      </c>
      <c r="B253" s="30" t="s">
        <v>1363</v>
      </c>
      <c r="C253" s="31" t="str">
        <f>'Other Fittings PRICE'!B4</f>
        <v>Providing and fixing gun metal gate valve with C.I. wheel of approved quality (screwed end) : 40 mm nominal bore (18.17.3)</v>
      </c>
      <c r="D253" s="31" t="str">
        <f t="shared" si="1"/>
        <v>Providing and fixing gun metal gate valve with C.I. wheel of approved quality (screwed end) : 40 mm nominal bore (18.17.3) (Code: GWDDR251)</v>
      </c>
      <c r="E253" s="29" t="s">
        <v>43</v>
      </c>
      <c r="F253" s="32" t="s">
        <v>48</v>
      </c>
      <c r="G253" s="32" t="s">
        <v>49</v>
      </c>
      <c r="H253" s="32" t="s">
        <v>1359</v>
      </c>
      <c r="I253" s="29">
        <v>0.0</v>
      </c>
      <c r="J253" s="96">
        <f>'Other Fittings PRICE'!C4</f>
        <v>614.04</v>
      </c>
      <c r="K253" s="33">
        <f t="shared" si="2"/>
        <v>0</v>
      </c>
      <c r="L253" s="33">
        <f t="shared" si="3"/>
        <v>614.04</v>
      </c>
    </row>
    <row r="254">
      <c r="A254" s="29">
        <v>252.0</v>
      </c>
      <c r="B254" s="30" t="s">
        <v>1364</v>
      </c>
      <c r="C254" s="31" t="str">
        <f>'Other Fittings PRICE'!B5</f>
        <v>Providing and fixing gun metal gate valve with C.I. wheel of approved quality (screwed end) : 50 mm nominal bore (18.17.4)</v>
      </c>
      <c r="D254" s="31" t="str">
        <f t="shared" si="1"/>
        <v>Providing and fixing gun metal gate valve with C.I. wheel of approved quality (screwed end) : 50 mm nominal bore (18.17.4) (Code: GWDDR252)</v>
      </c>
      <c r="E254" s="29" t="s">
        <v>43</v>
      </c>
      <c r="F254" s="32" t="s">
        <v>48</v>
      </c>
      <c r="G254" s="32" t="s">
        <v>49</v>
      </c>
      <c r="H254" s="32" t="s">
        <v>1359</v>
      </c>
      <c r="I254" s="29">
        <v>0.0</v>
      </c>
      <c r="J254" s="96">
        <f>'Other Fittings PRICE'!C5</f>
        <v>762.43</v>
      </c>
      <c r="K254" s="33">
        <f t="shared" si="2"/>
        <v>0</v>
      </c>
      <c r="L254" s="33">
        <f t="shared" si="3"/>
        <v>762.43</v>
      </c>
    </row>
    <row r="255">
      <c r="A255" s="29">
        <v>253.0</v>
      </c>
      <c r="B255" s="30" t="s">
        <v>1365</v>
      </c>
      <c r="C255" s="31" t="str">
        <f>'Other Fittings PRICE'!B6</f>
        <v>Providing and fixing gun metal gate valve with C.I. wheel of approved quality (screwed end) : 65 mm nominal bore (18.17.5)</v>
      </c>
      <c r="D255" s="31" t="str">
        <f t="shared" si="1"/>
        <v>Providing and fixing gun metal gate valve with C.I. wheel of approved quality (screwed end) : 65 mm nominal bore (18.17.5) (Code: GWDDR253)</v>
      </c>
      <c r="E255" s="29" t="s">
        <v>43</v>
      </c>
      <c r="F255" s="32" t="s">
        <v>48</v>
      </c>
      <c r="G255" s="32" t="s">
        <v>49</v>
      </c>
      <c r="H255" s="32" t="s">
        <v>1359</v>
      </c>
      <c r="I255" s="29">
        <v>0.0</v>
      </c>
      <c r="J255" s="33">
        <f>'Other Fittings PRICE'!C6</f>
        <v>1294.11</v>
      </c>
      <c r="K255" s="33">
        <f t="shared" si="2"/>
        <v>0</v>
      </c>
      <c r="L255" s="33">
        <f t="shared" si="3"/>
        <v>1294.11</v>
      </c>
    </row>
    <row r="256">
      <c r="A256" s="29">
        <v>254.0</v>
      </c>
      <c r="B256" s="30" t="s">
        <v>1366</v>
      </c>
      <c r="C256" s="31" t="str">
        <f>'Other Fittings PRICE'!B7</f>
        <v>Providing and fixing gun metal gate valve with C.I. wheel of approved quality (screwed end) : 80 mm nominal bore (18.17.6)</v>
      </c>
      <c r="D256" s="31" t="str">
        <f t="shared" si="1"/>
        <v>Providing and fixing gun metal gate valve with C.I. wheel of approved quality (screwed end) : 80 mm nominal bore (18.17.6) (Code: GWDDR254)</v>
      </c>
      <c r="E256" s="29" t="s">
        <v>43</v>
      </c>
      <c r="F256" s="32" t="s">
        <v>48</v>
      </c>
      <c r="G256" s="32" t="s">
        <v>49</v>
      </c>
      <c r="H256" s="32" t="s">
        <v>1359</v>
      </c>
      <c r="I256" s="29">
        <v>0.0</v>
      </c>
      <c r="J256" s="33">
        <f>'Other Fittings PRICE'!C7</f>
        <v>1933.85</v>
      </c>
      <c r="K256" s="33">
        <f t="shared" si="2"/>
        <v>0</v>
      </c>
      <c r="L256" s="33">
        <f t="shared" si="3"/>
        <v>1933.85</v>
      </c>
    </row>
    <row r="257">
      <c r="A257" s="29">
        <v>255.0</v>
      </c>
      <c r="B257" s="30" t="s">
        <v>1367</v>
      </c>
      <c r="C257" s="31" t="str">
        <f>'Other Fittings PRICE'!B8</f>
        <v>Providing and fixing gun metal gate valve with C.I. wheel of approved quality (screwed end) : 20 mm nominal bore (18.17.1A)</v>
      </c>
      <c r="D257" s="31" t="str">
        <f t="shared" si="1"/>
        <v>Providing and fixing gun metal gate valve with C.I. wheel of approved quality (screwed end) : 20 mm nominal bore (18.17.1A) (Code: GWDDR255)</v>
      </c>
      <c r="E257" s="29" t="s">
        <v>43</v>
      </c>
      <c r="F257" s="32" t="s">
        <v>48</v>
      </c>
      <c r="G257" s="32" t="s">
        <v>49</v>
      </c>
      <c r="H257" s="32" t="s">
        <v>1359</v>
      </c>
      <c r="I257" s="29">
        <v>0.0</v>
      </c>
      <c r="J257" s="96">
        <f>'Other Fittings PRICE'!C8</f>
        <v>400.86</v>
      </c>
      <c r="K257" s="33">
        <f t="shared" si="2"/>
        <v>0</v>
      </c>
      <c r="L257" s="33">
        <f t="shared" si="3"/>
        <v>400.86</v>
      </c>
    </row>
    <row r="258">
      <c r="A258" s="29">
        <v>256.0</v>
      </c>
      <c r="B258" s="30" t="s">
        <v>1368</v>
      </c>
      <c r="C258" s="31" t="str">
        <f>'Other Fittings PRICE'!B9</f>
        <v>Providing and fixing gun metal non-return valve of approved quality (screwed end): 25 mm nominal bore Horizontal (18.19.1.1)</v>
      </c>
      <c r="D258" s="31" t="str">
        <f t="shared" si="1"/>
        <v>Providing and fixing gun metal non-return valve of approved quality (screwed end): 25 mm nominal bore Horizontal (18.19.1.1) (Code: GWDDR256)</v>
      </c>
      <c r="E258" s="29" t="s">
        <v>43</v>
      </c>
      <c r="F258" s="32" t="s">
        <v>48</v>
      </c>
      <c r="G258" s="32" t="s">
        <v>49</v>
      </c>
      <c r="H258" s="32" t="s">
        <v>1369</v>
      </c>
      <c r="I258" s="29">
        <v>0.0</v>
      </c>
      <c r="J258" s="96">
        <f>'Other Fittings PRICE'!C9</f>
        <v>439.81</v>
      </c>
      <c r="K258" s="33">
        <f t="shared" si="2"/>
        <v>0</v>
      </c>
      <c r="L258" s="33">
        <f t="shared" si="3"/>
        <v>439.81</v>
      </c>
    </row>
    <row r="259">
      <c r="A259" s="29">
        <v>257.0</v>
      </c>
      <c r="B259" s="30" t="s">
        <v>1370</v>
      </c>
      <c r="C259" s="31" t="str">
        <f>'Other Fittings PRICE'!B10</f>
        <v>Providing and fixing gun metal non-return valve of approved quality (screwed end): 25 mm nominal bore Vertical (18.19.1.2)</v>
      </c>
      <c r="D259" s="31" t="str">
        <f t="shared" si="1"/>
        <v>Providing and fixing gun metal non-return valve of approved quality (screwed end): 25 mm nominal bore Vertical (18.19.1.2) (Code: GWDDR257)</v>
      </c>
      <c r="E259" s="29" t="s">
        <v>43</v>
      </c>
      <c r="F259" s="32" t="s">
        <v>48</v>
      </c>
      <c r="G259" s="32" t="s">
        <v>49</v>
      </c>
      <c r="H259" s="32" t="s">
        <v>1369</v>
      </c>
      <c r="I259" s="29">
        <v>0.0</v>
      </c>
      <c r="J259" s="96">
        <f>'Other Fittings PRICE'!C10</f>
        <v>497.89</v>
      </c>
      <c r="K259" s="33">
        <f t="shared" si="2"/>
        <v>0</v>
      </c>
      <c r="L259" s="33">
        <f t="shared" si="3"/>
        <v>497.89</v>
      </c>
    </row>
    <row r="260">
      <c r="A260" s="29">
        <v>258.0</v>
      </c>
      <c r="B260" s="30" t="s">
        <v>1371</v>
      </c>
      <c r="C260" s="31" t="str">
        <f>'Other Fittings PRICE'!B11</f>
        <v>Providing and fixing gun metal non-return valve of approved quality (screwed end): 32 mm nominal bore Horizontal (18.19.2.1)</v>
      </c>
      <c r="D260" s="31" t="str">
        <f t="shared" si="1"/>
        <v>Providing and fixing gun metal non-return valve of approved quality (screwed end): 32 mm nominal bore Horizontal (18.19.2.1) (Code: GWDDR258)</v>
      </c>
      <c r="E260" s="29" t="s">
        <v>43</v>
      </c>
      <c r="F260" s="32" t="s">
        <v>48</v>
      </c>
      <c r="G260" s="32" t="s">
        <v>49</v>
      </c>
      <c r="H260" s="32" t="s">
        <v>1369</v>
      </c>
      <c r="I260" s="29">
        <v>0.0</v>
      </c>
      <c r="J260" s="96">
        <f>'Other Fittings PRICE'!C11</f>
        <v>588.21</v>
      </c>
      <c r="K260" s="33">
        <f t="shared" si="2"/>
        <v>0</v>
      </c>
      <c r="L260" s="33">
        <f t="shared" si="3"/>
        <v>588.21</v>
      </c>
    </row>
    <row r="261">
      <c r="A261" s="29">
        <v>259.0</v>
      </c>
      <c r="B261" s="30" t="s">
        <v>1373</v>
      </c>
      <c r="C261" s="31" t="str">
        <f>'Other Fittings PRICE'!B12</f>
        <v>Providing and fixing gun metal non-return valve of approved quality (screwed end): 32 mm nominal bore Vertical (18.19.2.2)</v>
      </c>
      <c r="D261" s="31" t="str">
        <f t="shared" si="1"/>
        <v>Providing and fixing gun metal non-return valve of approved quality (screwed end): 32 mm nominal bore Vertical (18.19.2.2) (Code: GWDDR259)</v>
      </c>
      <c r="E261" s="29" t="s">
        <v>43</v>
      </c>
      <c r="F261" s="32" t="s">
        <v>48</v>
      </c>
      <c r="G261" s="32" t="s">
        <v>49</v>
      </c>
      <c r="H261" s="32" t="s">
        <v>1369</v>
      </c>
      <c r="I261" s="29">
        <v>0.0</v>
      </c>
      <c r="J261" s="96">
        <f>'Other Fittings PRICE'!C12</f>
        <v>675.32</v>
      </c>
      <c r="K261" s="33">
        <f t="shared" si="2"/>
        <v>0</v>
      </c>
      <c r="L261" s="33">
        <f t="shared" si="3"/>
        <v>675.32</v>
      </c>
    </row>
    <row r="262">
      <c r="A262" s="29">
        <v>260.0</v>
      </c>
      <c r="B262" s="30" t="s">
        <v>1375</v>
      </c>
      <c r="C262" s="31" t="str">
        <f>'Other Fittings PRICE'!B13</f>
        <v>Providing and fixing gun metal non-return valve of approved quality (screwed end): 40 mm nominal bore Horizontal (18.19.3.1)</v>
      </c>
      <c r="D262" s="31" t="str">
        <f t="shared" si="1"/>
        <v>Providing and fixing gun metal non-return valve of approved quality (screwed end): 40 mm nominal bore Horizontal (18.19.3.1) (Code: GWDDR260)</v>
      </c>
      <c r="E262" s="29" t="s">
        <v>43</v>
      </c>
      <c r="F262" s="32" t="s">
        <v>48</v>
      </c>
      <c r="G262" s="32" t="s">
        <v>49</v>
      </c>
      <c r="H262" s="32" t="s">
        <v>1369</v>
      </c>
      <c r="I262" s="29">
        <v>0.0</v>
      </c>
      <c r="J262" s="96">
        <f>'Other Fittings PRICE'!C13</f>
        <v>707.55</v>
      </c>
      <c r="K262" s="33">
        <f t="shared" si="2"/>
        <v>0</v>
      </c>
      <c r="L262" s="33">
        <f t="shared" si="3"/>
        <v>707.55</v>
      </c>
    </row>
    <row r="263">
      <c r="A263" s="29">
        <v>261.0</v>
      </c>
      <c r="B263" s="30" t="s">
        <v>1378</v>
      </c>
      <c r="C263" s="31" t="str">
        <f>'Other Fittings PRICE'!B14</f>
        <v>Providing and fixing gun metal non-return valve of approved quality (screwed end): 40 mm nominal bore Vertical (18.19.3.2)</v>
      </c>
      <c r="D263" s="31" t="str">
        <f t="shared" si="1"/>
        <v>Providing and fixing gun metal non-return valve of approved quality (screwed end): 40 mm nominal bore Vertical (18.19.3.2) (Code: GWDDR261)</v>
      </c>
      <c r="E263" s="29" t="s">
        <v>43</v>
      </c>
      <c r="F263" s="32" t="s">
        <v>48</v>
      </c>
      <c r="G263" s="32" t="s">
        <v>49</v>
      </c>
      <c r="H263" s="32" t="s">
        <v>1369</v>
      </c>
      <c r="I263" s="29">
        <v>0.0</v>
      </c>
      <c r="J263" s="33">
        <f>'Other Fittings PRICE'!C14</f>
        <v>910.81</v>
      </c>
      <c r="K263" s="33">
        <f t="shared" si="2"/>
        <v>0</v>
      </c>
      <c r="L263" s="33">
        <f t="shared" si="3"/>
        <v>910.81</v>
      </c>
    </row>
    <row r="264">
      <c r="A264" s="29">
        <v>262.0</v>
      </c>
      <c r="B264" s="30" t="s">
        <v>1387</v>
      </c>
      <c r="C264" s="31" t="str">
        <f>'Other Fittings PRICE'!B15</f>
        <v>Providing and fixing gun metal non-return valve of approved quality (screwed end): 50 mm nominal bore Horizontal (18.19.4.1)</v>
      </c>
      <c r="D264" s="31" t="str">
        <f t="shared" si="1"/>
        <v>Providing and fixing gun metal non-return valve of approved quality (screwed end): 50 mm nominal bore Horizontal (18.19.4.1) (Code: GWDDR262)</v>
      </c>
      <c r="E264" s="29" t="s">
        <v>43</v>
      </c>
      <c r="F264" s="32" t="s">
        <v>48</v>
      </c>
      <c r="G264" s="32" t="s">
        <v>49</v>
      </c>
      <c r="H264" s="32" t="s">
        <v>1369</v>
      </c>
      <c r="I264" s="29">
        <v>0.0</v>
      </c>
      <c r="J264" s="33">
        <f>'Other Fittings PRICE'!C15</f>
        <v>1018.88</v>
      </c>
      <c r="K264" s="33">
        <f t="shared" si="2"/>
        <v>0</v>
      </c>
      <c r="L264" s="33">
        <f t="shared" si="3"/>
        <v>1018.88</v>
      </c>
    </row>
    <row r="265">
      <c r="A265" s="29">
        <v>263.0</v>
      </c>
      <c r="B265" s="30" t="s">
        <v>1400</v>
      </c>
      <c r="C265" s="31" t="str">
        <f>'Other Fittings PRICE'!B16</f>
        <v>Providing and fixing gun metal non-return valve of approved quality (screwed end): 50 mm nominal bore Vertical (18.19.4.2)</v>
      </c>
      <c r="D265" s="31" t="str">
        <f t="shared" si="1"/>
        <v>Providing and fixing gun metal non-return valve of approved quality (screwed end): 50 mm nominal bore Vertical (18.19.4.2) (Code: GWDDR263)</v>
      </c>
      <c r="E265" s="29" t="s">
        <v>43</v>
      </c>
      <c r="F265" s="32" t="s">
        <v>48</v>
      </c>
      <c r="G265" s="32" t="s">
        <v>49</v>
      </c>
      <c r="H265" s="32" t="s">
        <v>1369</v>
      </c>
      <c r="I265" s="29">
        <v>0.0</v>
      </c>
      <c r="J265" s="33">
        <f>'Other Fittings PRICE'!C16</f>
        <v>1146.64</v>
      </c>
      <c r="K265" s="33">
        <f t="shared" si="2"/>
        <v>0</v>
      </c>
      <c r="L265" s="33">
        <f t="shared" si="3"/>
        <v>1146.64</v>
      </c>
    </row>
    <row r="266">
      <c r="A266" s="29">
        <v>264.0</v>
      </c>
      <c r="B266" s="30" t="s">
        <v>1409</v>
      </c>
      <c r="C266" s="31" t="str">
        <f>'Other Fittings PRICE'!B17</f>
        <v>Providing and fixing gun metal non-return valve of approved quality (screwed end): 65 mm nominal bore Horizontal (18.19.5.1)</v>
      </c>
      <c r="D266" s="31" t="str">
        <f t="shared" si="1"/>
        <v>Providing and fixing gun metal non-return valve of approved quality (screwed end): 65 mm nominal bore Horizontal (18.19.5.1) (Code: GWDDR264)</v>
      </c>
      <c r="E266" s="29" t="s">
        <v>43</v>
      </c>
      <c r="F266" s="32" t="s">
        <v>48</v>
      </c>
      <c r="G266" s="32" t="s">
        <v>49</v>
      </c>
      <c r="H266" s="32" t="s">
        <v>1369</v>
      </c>
      <c r="I266" s="29">
        <v>0.0</v>
      </c>
      <c r="J266" s="33">
        <f>'Other Fittings PRICE'!C17</f>
        <v>1817.7</v>
      </c>
      <c r="K266" s="33">
        <f t="shared" si="2"/>
        <v>0</v>
      </c>
      <c r="L266" s="33">
        <f t="shared" si="3"/>
        <v>1817.7</v>
      </c>
    </row>
    <row r="267">
      <c r="A267" s="29">
        <v>265.0</v>
      </c>
      <c r="B267" s="30" t="s">
        <v>1418</v>
      </c>
      <c r="C267" s="31" t="str">
        <f>'Other Fittings PRICE'!B18</f>
        <v>Providing and fixing gun metal non-return valve of approved quality (screwed end): 65 mm nominal bore Vertical (18.19.5.2)</v>
      </c>
      <c r="D267" s="31" t="str">
        <f t="shared" si="1"/>
        <v>Providing and fixing gun metal non-return valve of approved quality (screwed end): 65 mm nominal bore Vertical (18.19.5.2) (Code: GWDDR265)</v>
      </c>
      <c r="E267" s="29" t="s">
        <v>43</v>
      </c>
      <c r="F267" s="32" t="s">
        <v>48</v>
      </c>
      <c r="G267" s="32" t="s">
        <v>49</v>
      </c>
      <c r="H267" s="32" t="s">
        <v>1369</v>
      </c>
      <c r="I267" s="29">
        <v>0.0</v>
      </c>
      <c r="J267" s="33">
        <f>'Other Fittings PRICE'!C18</f>
        <v>1846.74</v>
      </c>
      <c r="K267" s="33">
        <f t="shared" si="2"/>
        <v>0</v>
      </c>
      <c r="L267" s="33">
        <f t="shared" si="3"/>
        <v>1846.74</v>
      </c>
    </row>
    <row r="268">
      <c r="A268" s="29">
        <v>266.0</v>
      </c>
      <c r="B268" s="30" t="s">
        <v>1427</v>
      </c>
      <c r="C268" s="31" t="str">
        <f>'Other Fittings PRICE'!B19</f>
        <v>Providing and fixing gun metal non-return valve of approved quality (screwed end): 80 mm nominal bore Horizontal (18.19.6.1)</v>
      </c>
      <c r="D268" s="31" t="str">
        <f t="shared" si="1"/>
        <v>Providing and fixing gun metal non-return valve of approved quality (screwed end): 80 mm nominal bore Horizontal (18.19.6.1) (Code: GWDDR266)</v>
      </c>
      <c r="E268" s="29" t="s">
        <v>43</v>
      </c>
      <c r="F268" s="32" t="s">
        <v>48</v>
      </c>
      <c r="G268" s="32" t="s">
        <v>49</v>
      </c>
      <c r="H268" s="32" t="s">
        <v>1369</v>
      </c>
      <c r="I268" s="29">
        <v>0.0</v>
      </c>
      <c r="J268" s="33">
        <f>'Other Fittings PRICE'!C19</f>
        <v>2721.38</v>
      </c>
      <c r="K268" s="33">
        <f t="shared" si="2"/>
        <v>0</v>
      </c>
      <c r="L268" s="33">
        <f t="shared" si="3"/>
        <v>2721.38</v>
      </c>
    </row>
    <row r="269">
      <c r="A269" s="29">
        <v>267.0</v>
      </c>
      <c r="B269" s="30" t="s">
        <v>1436</v>
      </c>
      <c r="C269" s="31" t="str">
        <f>'Other Fittings PRICE'!B20</f>
        <v>Providing and fixing gun metal non-return valve of approved quality (screwed end): 80 mm nominal bore Vertical (18.19.6.2)</v>
      </c>
      <c r="D269" s="31" t="str">
        <f t="shared" si="1"/>
        <v>Providing and fixing gun metal non-return valve of approved quality (screwed end): 80 mm nominal bore Vertical (18.19.6.2) (Code: GWDDR267)</v>
      </c>
      <c r="E269" s="29" t="s">
        <v>43</v>
      </c>
      <c r="F269" s="32" t="s">
        <v>48</v>
      </c>
      <c r="G269" s="32" t="s">
        <v>49</v>
      </c>
      <c r="H269" s="32" t="s">
        <v>1369</v>
      </c>
      <c r="I269" s="29">
        <v>0.0</v>
      </c>
      <c r="J269" s="33">
        <f>'Other Fittings PRICE'!C20</f>
        <v>3069.83</v>
      </c>
      <c r="K269" s="33">
        <f t="shared" si="2"/>
        <v>0</v>
      </c>
      <c r="L269" s="33">
        <f t="shared" si="3"/>
        <v>3069.83</v>
      </c>
    </row>
    <row r="270">
      <c r="A270" s="29">
        <v>268.0</v>
      </c>
      <c r="B270" s="30" t="s">
        <v>1444</v>
      </c>
      <c r="C270" s="31" t="str">
        <f>'Other Fittings PRICE'!B21</f>
        <v>Providing and fixing G.I. Union in G.I pipe including cutting and threading the pipe and making long screws etc. complete ( New work): 15 mm nominal bore (18.46.1)</v>
      </c>
      <c r="D270" s="31" t="str">
        <f t="shared" si="1"/>
        <v>Providing and fixing G.I. Union in G.I pipe including cutting and threading the pipe and making long screws etc. complete ( New work): 15 mm nominal bore (18.46.1) (Code: GWDDR268)</v>
      </c>
      <c r="E270" s="29" t="s">
        <v>43</v>
      </c>
      <c r="F270" s="32" t="s">
        <v>48</v>
      </c>
      <c r="G270" s="32" t="s">
        <v>49</v>
      </c>
      <c r="H270" s="32" t="s">
        <v>1449</v>
      </c>
      <c r="I270" s="29">
        <v>0.0</v>
      </c>
      <c r="J270" s="96">
        <f>'Other Fittings PRICE'!C21</f>
        <v>227.71</v>
      </c>
      <c r="K270" s="33">
        <f t="shared" si="2"/>
        <v>0</v>
      </c>
      <c r="L270" s="33">
        <f t="shared" si="3"/>
        <v>227.71</v>
      </c>
    </row>
    <row r="271">
      <c r="A271" s="29">
        <v>269.0</v>
      </c>
      <c r="B271" s="30" t="s">
        <v>1454</v>
      </c>
      <c r="C271" s="31" t="str">
        <f>'Other Fittings PRICE'!B22</f>
        <v>Providing and fixing G.I. Union in G.I pipe including cutting and threading the pipe and making long screws etc. complete ( New work): 20 mm nominal bore (18.46.2)</v>
      </c>
      <c r="D271" s="31" t="str">
        <f t="shared" si="1"/>
        <v>Providing and fixing G.I. Union in G.I pipe including cutting and threading the pipe and making long screws etc. complete ( New work): 20 mm nominal bore (18.46.2) (Code: GWDDR269)</v>
      </c>
      <c r="E271" s="29" t="s">
        <v>43</v>
      </c>
      <c r="F271" s="32" t="s">
        <v>48</v>
      </c>
      <c r="G271" s="32" t="s">
        <v>49</v>
      </c>
      <c r="H271" s="32" t="s">
        <v>1449</v>
      </c>
      <c r="I271" s="29">
        <v>0.0</v>
      </c>
      <c r="J271" s="96">
        <f>'Other Fittings PRICE'!C22</f>
        <v>250.94</v>
      </c>
      <c r="K271" s="33">
        <f t="shared" si="2"/>
        <v>0</v>
      </c>
      <c r="L271" s="33">
        <f t="shared" si="3"/>
        <v>250.94</v>
      </c>
    </row>
    <row r="272">
      <c r="A272" s="29">
        <v>270.0</v>
      </c>
      <c r="B272" s="30" t="s">
        <v>1459</v>
      </c>
      <c r="C272" s="31" t="str">
        <f>'Other Fittings PRICE'!B23</f>
        <v>Providing and fixing G.I. Union in G.I pipe including cutting and threading the pipe and making long screws etc. complete ( New work): 25 mm nominal bore (18.46.3)</v>
      </c>
      <c r="D272" s="31" t="str">
        <f t="shared" si="1"/>
        <v>Providing and fixing G.I. Union in G.I pipe including cutting and threading the pipe and making long screws etc. complete ( New work): 25 mm nominal bore (18.46.3) (Code: GWDDR270)</v>
      </c>
      <c r="E272" s="29" t="s">
        <v>43</v>
      </c>
      <c r="F272" s="32" t="s">
        <v>48</v>
      </c>
      <c r="G272" s="32" t="s">
        <v>49</v>
      </c>
      <c r="H272" s="32" t="s">
        <v>1449</v>
      </c>
      <c r="I272" s="29">
        <v>0.0</v>
      </c>
      <c r="J272" s="33">
        <f>'Other Fittings PRICE'!C23</f>
        <v>320.63</v>
      </c>
      <c r="K272" s="33">
        <f t="shared" si="2"/>
        <v>0</v>
      </c>
      <c r="L272" s="33">
        <f t="shared" si="3"/>
        <v>320.63</v>
      </c>
    </row>
    <row r="273">
      <c r="A273" s="29">
        <v>271.0</v>
      </c>
      <c r="B273" s="30" t="s">
        <v>1460</v>
      </c>
      <c r="C273" s="31" t="str">
        <f>'Other Fittings PRICE'!B24</f>
        <v>Providing and fixing G.I. Union in G.I pipe including cutting and threading the pipe and making long screws etc. complete ( New work): 32 mm nominal bore (18.46.4)</v>
      </c>
      <c r="D273" s="31" t="str">
        <f t="shared" si="1"/>
        <v>Providing and fixing G.I. Union in G.I pipe including cutting and threading the pipe and making long screws etc. complete ( New work): 32 mm nominal bore (18.46.4) (Code: GWDDR271)</v>
      </c>
      <c r="E273" s="29" t="s">
        <v>43</v>
      </c>
      <c r="F273" s="32" t="s">
        <v>48</v>
      </c>
      <c r="G273" s="32" t="s">
        <v>49</v>
      </c>
      <c r="H273" s="32" t="s">
        <v>1449</v>
      </c>
      <c r="I273" s="29">
        <v>0.0</v>
      </c>
      <c r="J273" s="33">
        <f>'Other Fittings PRICE'!C24</f>
        <v>355.48</v>
      </c>
      <c r="K273" s="33">
        <f t="shared" si="2"/>
        <v>0</v>
      </c>
      <c r="L273" s="33">
        <f t="shared" si="3"/>
        <v>355.48</v>
      </c>
    </row>
    <row r="274">
      <c r="A274" s="29">
        <v>272.0</v>
      </c>
      <c r="B274" s="30" t="s">
        <v>1461</v>
      </c>
      <c r="C274" s="31" t="str">
        <f>'Other Fittings PRICE'!B25</f>
        <v>Providing and fixing G.I. Union in G.I pipe including cutting and threading the pipe and making long screws etc. complete ( New work): 40 mm nominal bore (18.46.5)</v>
      </c>
      <c r="D274" s="31" t="str">
        <f t="shared" si="1"/>
        <v>Providing and fixing G.I. Union in G.I pipe including cutting and threading the pipe and making long screws etc. complete ( New work): 40 mm nominal bore (18.46.5) (Code: GWDDR272)</v>
      </c>
      <c r="E274" s="29" t="s">
        <v>43</v>
      </c>
      <c r="F274" s="32" t="s">
        <v>48</v>
      </c>
      <c r="G274" s="32" t="s">
        <v>49</v>
      </c>
      <c r="H274" s="32" t="s">
        <v>1449</v>
      </c>
      <c r="I274" s="29">
        <v>0.0</v>
      </c>
      <c r="J274" s="33">
        <f>'Other Fittings PRICE'!C25</f>
        <v>454.2</v>
      </c>
      <c r="K274" s="33">
        <f t="shared" si="2"/>
        <v>0</v>
      </c>
      <c r="L274" s="33">
        <f t="shared" si="3"/>
        <v>454.2</v>
      </c>
    </row>
    <row r="275">
      <c r="A275" s="29">
        <v>273.0</v>
      </c>
      <c r="B275" s="30" t="s">
        <v>1462</v>
      </c>
      <c r="C275" s="31" t="str">
        <f>'Other Fittings PRICE'!B26</f>
        <v>Providing and fixing G.I. Union in G.I pipe including cutting and threading the pipe and making long screws etc. complete ( New work): 50 mm nominal bore (18.46.6)</v>
      </c>
      <c r="D275" s="31" t="str">
        <f t="shared" si="1"/>
        <v>Providing and fixing G.I. Union in G.I pipe including cutting and threading the pipe and making long screws etc. complete ( New work): 50 mm nominal bore (18.46.6) (Code: GWDDR273)</v>
      </c>
      <c r="E275" s="29" t="s">
        <v>43</v>
      </c>
      <c r="F275" s="32" t="s">
        <v>48</v>
      </c>
      <c r="G275" s="32" t="s">
        <v>49</v>
      </c>
      <c r="H275" s="32" t="s">
        <v>1449</v>
      </c>
      <c r="I275" s="29">
        <v>0.0</v>
      </c>
      <c r="J275" s="33">
        <f>'Other Fittings PRICE'!C26</f>
        <v>613.52</v>
      </c>
      <c r="K275" s="33">
        <f t="shared" si="2"/>
        <v>0</v>
      </c>
      <c r="L275" s="33">
        <f t="shared" si="3"/>
        <v>613.52</v>
      </c>
    </row>
    <row r="276">
      <c r="A276" s="29">
        <v>274.0</v>
      </c>
      <c r="B276" s="30" t="s">
        <v>1463</v>
      </c>
      <c r="C276" s="31" t="str">
        <f>'Other Fittings PRICE'!B27</f>
        <v>Providing and fixing G.I. Union in G.I pipe including cutting and threading the pipe and making long screws etc. complete ( New work): 65 mm nominal bore (18.46.7)</v>
      </c>
      <c r="D276" s="31" t="str">
        <f t="shared" si="1"/>
        <v>Providing and fixing G.I. Union in G.I pipe including cutting and threading the pipe and making long screws etc. complete ( New work): 65 mm nominal bore (18.46.7) (Code: GWDDR274)</v>
      </c>
      <c r="E276" s="29" t="s">
        <v>43</v>
      </c>
      <c r="F276" s="32" t="s">
        <v>48</v>
      </c>
      <c r="G276" s="32" t="s">
        <v>49</v>
      </c>
      <c r="H276" s="32" t="s">
        <v>1449</v>
      </c>
      <c r="I276" s="29">
        <v>0.0</v>
      </c>
      <c r="J276" s="33">
        <f>'Other Fittings PRICE'!C27</f>
        <v>863.24</v>
      </c>
      <c r="K276" s="33">
        <f t="shared" si="2"/>
        <v>0</v>
      </c>
      <c r="L276" s="33">
        <f t="shared" si="3"/>
        <v>863.24</v>
      </c>
    </row>
    <row r="277">
      <c r="A277" s="29">
        <v>275.0</v>
      </c>
      <c r="B277" s="30" t="s">
        <v>1465</v>
      </c>
      <c r="C277" s="31" t="str">
        <f>'Other Fittings PRICE'!B28</f>
        <v>Providing and fixing G.I. Union in G.I pipe including cutting and threading the pipe and making long screws etc. complete ( New work): 80 mm nominal bore (18.46.8)</v>
      </c>
      <c r="D277" s="31" t="str">
        <f t="shared" si="1"/>
        <v>Providing and fixing G.I. Union in G.I pipe including cutting and threading the pipe and making long screws etc. complete ( New work): 80 mm nominal bore (18.46.8) (Code: GWDDR275)</v>
      </c>
      <c r="E277" s="29" t="s">
        <v>43</v>
      </c>
      <c r="F277" s="32" t="s">
        <v>48</v>
      </c>
      <c r="G277" s="32" t="s">
        <v>49</v>
      </c>
      <c r="H277" s="32" t="s">
        <v>1449</v>
      </c>
      <c r="I277" s="29">
        <v>0.0</v>
      </c>
      <c r="J277" s="33">
        <f>'Other Fittings PRICE'!C28</f>
        <v>921.31</v>
      </c>
      <c r="K277" s="33">
        <f t="shared" si="2"/>
        <v>0</v>
      </c>
      <c r="L277" s="33">
        <f t="shared" si="3"/>
        <v>921.31</v>
      </c>
    </row>
    <row r="278">
      <c r="A278" s="29">
        <v>276.0</v>
      </c>
      <c r="B278" s="30" t="s">
        <v>1466</v>
      </c>
      <c r="C278" s="31" t="str">
        <f>'Other Fittings PRICE'!B29</f>
        <v>Providing and fixing G.I Union in existing G.I pipe line, cutting and threading the pipe and making long screws, including excavation, refilling the earth or cutting of wall and making good the same complete wherever required: 15 mm nominal bore (18.47.1)</v>
      </c>
      <c r="D278" s="31" t="str">
        <f t="shared" si="1"/>
        <v>Providing and fixing G.I Union in existing G.I pipe line, cutting and threading the pipe and making long screws, including excavation, refilling the earth or cutting of wall and making good the same complete wherever required: 15 mm nominal bore (18.47.1) (Code: GWDDR276)</v>
      </c>
      <c r="E278" s="29" t="s">
        <v>43</v>
      </c>
      <c r="F278" s="32" t="s">
        <v>48</v>
      </c>
      <c r="G278" s="32" t="s">
        <v>49</v>
      </c>
      <c r="H278" s="32" t="s">
        <v>1449</v>
      </c>
      <c r="I278" s="29">
        <v>0.0</v>
      </c>
      <c r="J278" s="96">
        <f>'Other Fittings PRICE'!C29</f>
        <v>592.86</v>
      </c>
      <c r="K278" s="33">
        <f t="shared" si="2"/>
        <v>0</v>
      </c>
      <c r="L278" s="33">
        <f t="shared" si="3"/>
        <v>592.86</v>
      </c>
    </row>
    <row r="279">
      <c r="A279" s="29">
        <v>277.0</v>
      </c>
      <c r="B279" s="30" t="s">
        <v>1468</v>
      </c>
      <c r="C279" s="31" t="str">
        <f>'Other Fittings PRICE'!B30</f>
        <v>Providing and fixing G.I Union in existing G.I pipe line, cutting and threading the pipe and making long screws, including excavation, refilling the earth or cutting of wall and making good the same complete wherever required: 20 mm nominal bore (18.47.2)</v>
      </c>
      <c r="D279" s="31" t="str">
        <f t="shared" si="1"/>
        <v>Providing and fixing G.I Union in existing G.I pipe line, cutting and threading the pipe and making long screws, including excavation, refilling the earth or cutting of wall and making good the same complete wherever required: 20 mm nominal bore (18.47.2) (Code: GWDDR277)</v>
      </c>
      <c r="E279" s="29" t="s">
        <v>43</v>
      </c>
      <c r="F279" s="32" t="s">
        <v>48</v>
      </c>
      <c r="G279" s="32" t="s">
        <v>49</v>
      </c>
      <c r="H279" s="32" t="s">
        <v>1449</v>
      </c>
      <c r="I279" s="29">
        <v>0.0</v>
      </c>
      <c r="J279" s="96">
        <f>'Other Fittings PRICE'!C30</f>
        <v>616.09</v>
      </c>
      <c r="K279" s="33">
        <f t="shared" si="2"/>
        <v>0</v>
      </c>
      <c r="L279" s="33">
        <f t="shared" si="3"/>
        <v>616.09</v>
      </c>
    </row>
    <row r="280">
      <c r="A280" s="29">
        <v>278.0</v>
      </c>
      <c r="B280" s="30" t="s">
        <v>1470</v>
      </c>
      <c r="C280" s="31" t="str">
        <f>'Other Fittings PRICE'!B31</f>
        <v>Providing and fixing G.I Union in existing G.I pipe line, cutting and threading the pipe and making long screws, including excavation, refilling the earth or cutting of wall and making good the same complete wherever required: 25 mm nominal bore (18.47.3)</v>
      </c>
      <c r="D280" s="31" t="str">
        <f t="shared" si="1"/>
        <v>Providing and fixing G.I Union in existing G.I pipe line, cutting and threading the pipe and making long screws, including excavation, refilling the earth or cutting of wall and making good the same complete wherever required: 25 mm nominal bore (18.47.3) (Code: GWDDR278)</v>
      </c>
      <c r="E280" s="29" t="s">
        <v>43</v>
      </c>
      <c r="F280" s="32" t="s">
        <v>48</v>
      </c>
      <c r="G280" s="32" t="s">
        <v>49</v>
      </c>
      <c r="H280" s="32" t="s">
        <v>1449</v>
      </c>
      <c r="I280" s="29">
        <v>0.0</v>
      </c>
      <c r="J280" s="96">
        <f>'Other Fittings PRICE'!C31</f>
        <v>685.78</v>
      </c>
      <c r="K280" s="33">
        <f t="shared" si="2"/>
        <v>0</v>
      </c>
      <c r="L280" s="33">
        <f t="shared" si="3"/>
        <v>685.78</v>
      </c>
    </row>
    <row r="281">
      <c r="A281" s="29">
        <v>279.0</v>
      </c>
      <c r="B281" s="30" t="s">
        <v>1472</v>
      </c>
      <c r="C281" s="31" t="str">
        <f>'Other Fittings PRICE'!B32</f>
        <v>Providing and fixing G.I Union in existing G.I pipe line, cutting and threading the pipe and making long screws, including excavation, refilling the earth or cutting of wall and making good the same complete wherever required: 32 mm nominal bore (18.47.4)</v>
      </c>
      <c r="D281" s="31" t="str">
        <f t="shared" si="1"/>
        <v>Providing and fixing G.I Union in existing G.I pipe line, cutting and threading the pipe and making long screws, including excavation, refilling the earth or cutting of wall and making good the same complete wherever required: 32 mm nominal bore (18.47.4) (Code: GWDDR279)</v>
      </c>
      <c r="E281" s="29" t="s">
        <v>43</v>
      </c>
      <c r="F281" s="32" t="s">
        <v>48</v>
      </c>
      <c r="G281" s="32" t="s">
        <v>49</v>
      </c>
      <c r="H281" s="32" t="s">
        <v>1449</v>
      </c>
      <c r="I281" s="29">
        <v>0.0</v>
      </c>
      <c r="J281" s="96">
        <f>'Other Fittings PRICE'!C32</f>
        <v>720.63</v>
      </c>
      <c r="K281" s="33">
        <f t="shared" si="2"/>
        <v>0</v>
      </c>
      <c r="L281" s="33">
        <f t="shared" si="3"/>
        <v>720.63</v>
      </c>
    </row>
    <row r="282">
      <c r="A282" s="29">
        <v>280.0</v>
      </c>
      <c r="B282" s="30" t="s">
        <v>1474</v>
      </c>
      <c r="C282" s="31" t="str">
        <f>'Other Fittings PRICE'!B33</f>
        <v>Providing and fixing G.I Union in existing G.I pipe line, cutting and threading the pipe and making long screws, including excavation, refilling the earth or cutting of wall and making good the same complete wherever required: 40 mm nominal bore (18.47.5)</v>
      </c>
      <c r="D282" s="31" t="str">
        <f t="shared" si="1"/>
        <v>Providing and fixing G.I Union in existing G.I pipe line, cutting and threading the pipe and making long screws, including excavation, refilling the earth or cutting of wall and making good the same complete wherever required: 40 mm nominal bore (18.47.5) (Code: GWDDR280)</v>
      </c>
      <c r="E282" s="29" t="s">
        <v>43</v>
      </c>
      <c r="F282" s="32" t="s">
        <v>48</v>
      </c>
      <c r="G282" s="32" t="s">
        <v>49</v>
      </c>
      <c r="H282" s="32" t="s">
        <v>1449</v>
      </c>
      <c r="I282" s="29">
        <v>0.0</v>
      </c>
      <c r="J282" s="96">
        <f>'Other Fittings PRICE'!C33</f>
        <v>819.36</v>
      </c>
      <c r="K282" s="33">
        <f t="shared" si="2"/>
        <v>0</v>
      </c>
      <c r="L282" s="33">
        <f t="shared" si="3"/>
        <v>819.36</v>
      </c>
    </row>
    <row r="283">
      <c r="A283" s="29">
        <v>281.0</v>
      </c>
      <c r="B283" s="30" t="s">
        <v>1478</v>
      </c>
      <c r="C283" s="31" t="str">
        <f>'Other Fittings PRICE'!B34</f>
        <v>Providing and fixing G.I Union in existing G.I pipe line, cutting and threading the pipe and making long screws, including excavation, refilling the earth or cutting of wall and making good the same complete wherever required: 50 mm nominal bore (18.47.6)</v>
      </c>
      <c r="D283" s="31" t="str">
        <f t="shared" si="1"/>
        <v>Providing and fixing G.I Union in existing G.I pipe line, cutting and threading the pipe and making long screws, including excavation, refilling the earth or cutting of wall and making good the same complete wherever required: 50 mm nominal bore (18.47.6) (Code: GWDDR281)</v>
      </c>
      <c r="E283" s="29" t="s">
        <v>43</v>
      </c>
      <c r="F283" s="32" t="s">
        <v>48</v>
      </c>
      <c r="G283" s="32" t="s">
        <v>49</v>
      </c>
      <c r="H283" s="32" t="s">
        <v>1449</v>
      </c>
      <c r="I283" s="29">
        <v>0.0</v>
      </c>
      <c r="J283" s="33">
        <f>'Other Fittings PRICE'!C34</f>
        <v>1111.45</v>
      </c>
      <c r="K283" s="33">
        <f t="shared" si="2"/>
        <v>0</v>
      </c>
      <c r="L283" s="33">
        <f t="shared" si="3"/>
        <v>1111.45</v>
      </c>
    </row>
    <row r="284">
      <c r="A284" s="29">
        <v>282.0</v>
      </c>
      <c r="B284" s="30" t="s">
        <v>1483</v>
      </c>
      <c r="C284" s="31" t="str">
        <f>'Other Fittings PRICE'!B35</f>
        <v>Providing and fixing G.I Union in existing G.I pipe line, cutting and threading the pipe and making long screws, including excavation, refilling the earth or cutting of wall and making good the same complete wherever required: 65 mm nominal bore (18.47.7)</v>
      </c>
      <c r="D284" s="31" t="str">
        <f t="shared" si="1"/>
        <v>Providing and fixing G.I Union in existing G.I pipe line, cutting and threading the pipe and making long screws, including excavation, refilling the earth or cutting of wall and making good the same complete wherever required: 65 mm nominal bore (18.47.7) (Code: GWDDR282)</v>
      </c>
      <c r="E284" s="29" t="s">
        <v>43</v>
      </c>
      <c r="F284" s="32" t="s">
        <v>48</v>
      </c>
      <c r="G284" s="32" t="s">
        <v>49</v>
      </c>
      <c r="H284" s="32" t="s">
        <v>1449</v>
      </c>
      <c r="I284" s="29">
        <v>0.0</v>
      </c>
      <c r="J284" s="33">
        <f>'Other Fittings PRICE'!C35</f>
        <v>1361.17</v>
      </c>
      <c r="K284" s="33">
        <f t="shared" si="2"/>
        <v>0</v>
      </c>
      <c r="L284" s="33">
        <f t="shared" si="3"/>
        <v>1361.17</v>
      </c>
    </row>
    <row r="285">
      <c r="A285" s="29">
        <v>283.0</v>
      </c>
      <c r="B285" s="30" t="s">
        <v>1488</v>
      </c>
      <c r="C285" s="31" t="str">
        <f>'Other Fittings PRICE'!B36</f>
        <v>Providing and fixing G.I Union in existing G.I pipe line, cutting and threading the pipe and making long screws, including excavation, refilling the earth or cutting of wall and making good the same complete wherever required: 80 mm nominal bore (18.47.8)</v>
      </c>
      <c r="D285" s="31" t="str">
        <f t="shared" si="1"/>
        <v>Providing and fixing G.I Union in existing G.I pipe line, cutting and threading the pipe and making long screws, including excavation, refilling the earth or cutting of wall and making good the same complete wherever required: 80 mm nominal bore (18.47.8) (Code: GWDDR283)</v>
      </c>
      <c r="E285" s="29" t="s">
        <v>43</v>
      </c>
      <c r="F285" s="32" t="s">
        <v>48</v>
      </c>
      <c r="G285" s="32" t="s">
        <v>49</v>
      </c>
      <c r="H285" s="32" t="s">
        <v>1449</v>
      </c>
      <c r="I285" s="29">
        <v>0.0</v>
      </c>
      <c r="J285" s="33">
        <f>'Other Fittings PRICE'!C36</f>
        <v>1419.25</v>
      </c>
      <c r="K285" s="33">
        <f t="shared" si="2"/>
        <v>0</v>
      </c>
      <c r="L285" s="33">
        <f t="shared" si="3"/>
        <v>1419.25</v>
      </c>
    </row>
    <row r="286">
      <c r="A286" s="29">
        <v>361.0</v>
      </c>
      <c r="B286" s="30" t="s">
        <v>1491</v>
      </c>
      <c r="C286" s="31" t="str">
        <f>'PVC With Trench'!B27</f>
        <v>Providing and fixing PVC pipes includes jointing of pipes with one step PVC solvent cement, trenching, refilling &amp; testing of joints complete as per direction of Engineer in Charge. 63 mm dia 10 KGF/cm2</v>
      </c>
      <c r="D286" s="31" t="str">
        <f t="shared" si="1"/>
        <v>Providing and fixing PVC pipes includes jointing of pipes with one step PVC solvent cement, trenching, refilling &amp; testing of joints complete as per direction of Engineer in Charge. 63 mm dia 10 KGF/cm2 (Code: GWDDR361)</v>
      </c>
      <c r="E286" s="29" t="s">
        <v>22</v>
      </c>
      <c r="F286" s="32" t="s">
        <v>48</v>
      </c>
      <c r="G286" s="32" t="s">
        <v>49</v>
      </c>
      <c r="H286" s="32" t="s">
        <v>475</v>
      </c>
      <c r="I286" s="407">
        <f>'PVC With Trench'!F38</f>
        <v>129.57</v>
      </c>
      <c r="J286" s="407">
        <f>'PVC With Trench'!F50</f>
        <v>171.1</v>
      </c>
      <c r="K286" s="33">
        <f t="shared" si="2"/>
        <v>0</v>
      </c>
      <c r="L286" s="33">
        <f t="shared" si="3"/>
        <v>300.67</v>
      </c>
    </row>
    <row r="287">
      <c r="A287" s="29">
        <v>362.0</v>
      </c>
      <c r="B287" s="30" t="s">
        <v>1494</v>
      </c>
      <c r="C287" s="31" t="str">
        <f>'PVC wo Trench'!B23</f>
        <v>Providing and fixing PVC pipes includes jointing of pipes with one step PVC solvent cement &amp; testing of joints complete as per direction of Engineer in Charge.63 mm dia 10 KGF/cm2</v>
      </c>
      <c r="D287" s="31" t="str">
        <f t="shared" si="1"/>
        <v>Providing and fixing PVC pipes includes jointing of pipes with one step PVC solvent cement &amp; testing of joints complete as per direction of Engineer in Charge.63 mm dia 10 KGF/cm2 (Code: GWDDR362)</v>
      </c>
      <c r="E287" s="74" t="s">
        <v>22</v>
      </c>
      <c r="F287" s="32" t="s">
        <v>48</v>
      </c>
      <c r="G287" s="409" t="s">
        <v>49</v>
      </c>
      <c r="H287" s="409" t="s">
        <v>337</v>
      </c>
      <c r="I287" s="407">
        <f>'PVC wo Trench'!F34</f>
        <v>129.57</v>
      </c>
      <c r="J287" s="407">
        <f>'PVC wo Trench'!F43</f>
        <v>72.21</v>
      </c>
      <c r="K287" s="33">
        <f t="shared" si="2"/>
        <v>0</v>
      </c>
      <c r="L287" s="33">
        <f t="shared" si="3"/>
        <v>201.78</v>
      </c>
    </row>
    <row r="288">
      <c r="A288" s="29">
        <v>363.0</v>
      </c>
      <c r="B288" s="30" t="s">
        <v>1496</v>
      </c>
      <c r="C288" s="31" t="str">
        <f>'Panel Board'!B2</f>
        <v>Installation of Single Phase Panel board where new electricity connection is required (Excluding Motor Starter)</v>
      </c>
      <c r="D288" s="31" t="str">
        <f t="shared" si="1"/>
        <v>Installation of Single Phase Panel board where new electricity connection is required (Excluding Motor Starter) (Code: GWDDR363)</v>
      </c>
      <c r="E288" s="74" t="s">
        <v>43</v>
      </c>
      <c r="F288" s="32" t="s">
        <v>48</v>
      </c>
      <c r="G288" s="409" t="s">
        <v>49</v>
      </c>
      <c r="H288" s="59" t="s">
        <v>1464</v>
      </c>
      <c r="I288" s="407">
        <f>'Panel Board'!H29</f>
        <v>8149.084</v>
      </c>
      <c r="J288" s="407">
        <f>'Panel Board'!I29</f>
        <v>4245.0732</v>
      </c>
      <c r="K288" s="33">
        <f t="shared" si="2"/>
        <v>0</v>
      </c>
      <c r="L288" s="33">
        <f t="shared" si="3"/>
        <v>12394.1572</v>
      </c>
    </row>
    <row r="289">
      <c r="A289" s="29">
        <v>364.0</v>
      </c>
      <c r="B289" s="30" t="s">
        <v>1498</v>
      </c>
      <c r="C289" s="31" t="str">
        <f>'Panel Board'!B30</f>
        <v>Installation of Three Phase Panel board where new electricity connection is required (Excluding Motor Starter)</v>
      </c>
      <c r="D289" s="31" t="str">
        <f t="shared" si="1"/>
        <v>Installation of Three Phase Panel board where new electricity connection is required (Excluding Motor Starter) (Code: GWDDR364)</v>
      </c>
      <c r="E289" s="74" t="s">
        <v>43</v>
      </c>
      <c r="F289" s="32" t="s">
        <v>48</v>
      </c>
      <c r="G289" s="409" t="s">
        <v>49</v>
      </c>
      <c r="H289" s="59" t="s">
        <v>1464</v>
      </c>
      <c r="I289" s="407">
        <f>'Panel Board'!H57</f>
        <v>8392.999</v>
      </c>
      <c r="J289" s="407">
        <f>'Panel Board'!I57</f>
        <v>6994.3667</v>
      </c>
      <c r="K289" s="33">
        <f t="shared" si="2"/>
        <v>0</v>
      </c>
      <c r="L289" s="33">
        <f t="shared" si="3"/>
        <v>15387.3657</v>
      </c>
    </row>
    <row r="290">
      <c r="A290" s="29">
        <v>365.0</v>
      </c>
      <c r="B290" s="30" t="s">
        <v>1504</v>
      </c>
      <c r="C290" s="31" t="str">
        <f>Services!B16</f>
        <v>Water Quality Testing Including Bacteriology (Domestic)</v>
      </c>
      <c r="D290" s="31" t="str">
        <f t="shared" si="1"/>
        <v>Water Quality Testing Including Bacteriology (Domestic) (Code: GWDDR365)</v>
      </c>
      <c r="E290" s="74" t="s">
        <v>1505</v>
      </c>
      <c r="F290" s="32" t="s">
        <v>48</v>
      </c>
      <c r="G290" s="59" t="s">
        <v>818</v>
      </c>
      <c r="H290" s="59" t="s">
        <v>818</v>
      </c>
      <c r="I290" s="29">
        <f>Services!D16</f>
        <v>670</v>
      </c>
      <c r="J290" s="29">
        <v>0.0</v>
      </c>
      <c r="K290" s="33">
        <f t="shared" si="2"/>
        <v>0</v>
      </c>
      <c r="L290" s="33">
        <f t="shared" si="3"/>
        <v>670</v>
      </c>
    </row>
    <row r="291">
      <c r="A291" s="29">
        <v>366.0</v>
      </c>
      <c r="B291" s="30" t="s">
        <v>1508</v>
      </c>
      <c r="C291" s="31" t="str">
        <f>Services!B17</f>
        <v>Water Quality Testing Including Bacteriology (Industrial)</v>
      </c>
      <c r="D291" s="31" t="str">
        <f t="shared" si="1"/>
        <v>Water Quality Testing Including Bacteriology (Industrial) (Code: GWDDR366)</v>
      </c>
      <c r="E291" s="74" t="s">
        <v>1505</v>
      </c>
      <c r="F291" s="32" t="s">
        <v>48</v>
      </c>
      <c r="G291" s="59" t="s">
        <v>818</v>
      </c>
      <c r="H291" s="59" t="s">
        <v>818</v>
      </c>
      <c r="I291" s="29">
        <f>Services!D17</f>
        <v>1330</v>
      </c>
      <c r="J291" s="29">
        <v>0.0</v>
      </c>
      <c r="K291" s="33">
        <f t="shared" si="2"/>
        <v>0</v>
      </c>
      <c r="L291" s="33">
        <f t="shared" si="3"/>
        <v>1330</v>
      </c>
    </row>
    <row r="292">
      <c r="A292" s="29">
        <v>367.0</v>
      </c>
      <c r="B292" s="30" t="s">
        <v>1518</v>
      </c>
      <c r="C292" s="31" t="str">
        <f>Services!B18</f>
        <v>110mm (4.5") Borewell Drilling with Subsidy</v>
      </c>
      <c r="D292" s="31" t="str">
        <f t="shared" si="1"/>
        <v>110mm (4.5") Borewell Drilling with Subsidy (Code: GWDDR367)</v>
      </c>
      <c r="E292" s="74" t="s">
        <v>22</v>
      </c>
      <c r="F292" s="32" t="s">
        <v>48</v>
      </c>
      <c r="G292" s="59" t="s">
        <v>1520</v>
      </c>
      <c r="H292" s="59" t="s">
        <v>786</v>
      </c>
      <c r="I292" s="29">
        <f>Services!D18</f>
        <v>195</v>
      </c>
      <c r="J292" s="29">
        <v>0.0</v>
      </c>
      <c r="K292" s="33">
        <f t="shared" si="2"/>
        <v>0</v>
      </c>
      <c r="L292" s="33">
        <f t="shared" si="3"/>
        <v>195</v>
      </c>
    </row>
    <row r="293">
      <c r="A293" s="29">
        <v>368.0</v>
      </c>
      <c r="B293" s="30" t="s">
        <v>1522</v>
      </c>
      <c r="C293" s="31" t="str">
        <f>'Motor Starter GWD'!A158</f>
        <v>S &amp; F Single phase starters suitable for Compressor pump upto 2HP</v>
      </c>
      <c r="D293" s="31" t="str">
        <f t="shared" si="1"/>
        <v>S &amp; F Single phase starters suitable for Compressor pump upto 2HP (Code: GWDDR368)</v>
      </c>
      <c r="E293" s="74" t="s">
        <v>43</v>
      </c>
      <c r="F293" s="32" t="s">
        <v>48</v>
      </c>
      <c r="G293" s="59" t="s">
        <v>49</v>
      </c>
      <c r="H293" s="59" t="s">
        <v>696</v>
      </c>
      <c r="I293" s="407">
        <f>'Motor Starter GWD'!H186</f>
        <v>2984.435438</v>
      </c>
      <c r="J293" s="407">
        <f>'Motor Starter GWD'!I186</f>
        <v>16.887819</v>
      </c>
      <c r="K293" s="33">
        <f t="shared" si="2"/>
        <v>0</v>
      </c>
      <c r="L293" s="33">
        <f t="shared" si="3"/>
        <v>3001.323257</v>
      </c>
    </row>
    <row r="294">
      <c r="A294" s="29">
        <v>369.0</v>
      </c>
      <c r="B294" s="30" t="s">
        <v>1524</v>
      </c>
      <c r="C294" s="31" t="str">
        <f>'Motor Starter GWD'!A189</f>
        <v>S &amp; F Single phase starters suitable for 3HP Compressor pump</v>
      </c>
      <c r="D294" s="31" t="str">
        <f t="shared" si="1"/>
        <v>S &amp; F Single phase starters suitable for 3HP Compressor pump (Code: GWDDR369)</v>
      </c>
      <c r="E294" s="74" t="s">
        <v>43</v>
      </c>
      <c r="F294" s="32" t="s">
        <v>48</v>
      </c>
      <c r="G294" s="59" t="s">
        <v>49</v>
      </c>
      <c r="H294" s="59" t="s">
        <v>696</v>
      </c>
      <c r="I294" s="407">
        <f>'Motor Starter GWD'!H217</f>
        <v>3042.800813</v>
      </c>
      <c r="J294" s="407">
        <f>'Motor Starter GWD'!I217</f>
        <v>16.887819</v>
      </c>
      <c r="K294" s="33">
        <f t="shared" si="2"/>
        <v>0</v>
      </c>
      <c r="L294" s="33">
        <f t="shared" si="3"/>
        <v>3059.688632</v>
      </c>
    </row>
    <row r="295">
      <c r="A295" s="29">
        <v>370.0</v>
      </c>
      <c r="B295" s="30" t="s">
        <v>1531</v>
      </c>
      <c r="C295" s="31" t="str">
        <f>'ARS Filter Media'!B2</f>
        <v>Supply and filling of 40mm metal as filter medium</v>
      </c>
      <c r="D295" s="31" t="str">
        <f t="shared" si="1"/>
        <v>Supply and filling of 40mm metal as filter medium (Code: GWDDR370)</v>
      </c>
      <c r="E295" s="74" t="s">
        <v>824</v>
      </c>
      <c r="F295" s="32" t="s">
        <v>48</v>
      </c>
      <c r="G295" s="59" t="s">
        <v>68</v>
      </c>
      <c r="H295" s="59" t="s">
        <v>1532</v>
      </c>
      <c r="I295" s="29">
        <v>0.0</v>
      </c>
      <c r="J295" s="32">
        <f>'ARS Filter Media'!F16</f>
        <v>2016.6</v>
      </c>
      <c r="K295" s="33">
        <f t="shared" si="2"/>
        <v>0</v>
      </c>
      <c r="L295" s="33">
        <f t="shared" si="3"/>
        <v>2016.6</v>
      </c>
    </row>
    <row r="296">
      <c r="A296" s="29">
        <v>371.0</v>
      </c>
      <c r="B296" s="30" t="s">
        <v>1534</v>
      </c>
      <c r="C296" s="31" t="str">
        <f>'ARS Filter Media'!B18</f>
        <v>Supply and filling of 25mm metal as filter medium</v>
      </c>
      <c r="D296" s="31" t="str">
        <f t="shared" si="1"/>
        <v>Supply and filling of 25mm metal as filter medium (Code: GWDDR371)</v>
      </c>
      <c r="E296" s="74" t="s">
        <v>824</v>
      </c>
      <c r="F296" s="32" t="s">
        <v>48</v>
      </c>
      <c r="G296" s="59" t="s">
        <v>68</v>
      </c>
      <c r="H296" s="59" t="s">
        <v>1532</v>
      </c>
      <c r="I296" s="29">
        <v>0.0</v>
      </c>
      <c r="J296" s="32">
        <f>'ARS Filter Media'!F32</f>
        <v>2058.1</v>
      </c>
      <c r="K296" s="33">
        <f t="shared" si="2"/>
        <v>0</v>
      </c>
      <c r="L296" s="33">
        <f t="shared" si="3"/>
        <v>2058.1</v>
      </c>
    </row>
    <row r="297">
      <c r="A297" s="29">
        <v>372.0</v>
      </c>
      <c r="B297" s="30" t="s">
        <v>1536</v>
      </c>
      <c r="C297" s="31" t="str">
        <f>'ARS Filter Media'!B34</f>
        <v>Supply and filling of 20mm/6mm metal as filter medium</v>
      </c>
      <c r="D297" s="31" t="str">
        <f t="shared" si="1"/>
        <v>Supply and filling of 20mm/6mm metal as filter medium (Code: GWDDR372)</v>
      </c>
      <c r="E297" s="74" t="s">
        <v>824</v>
      </c>
      <c r="F297" s="32" t="s">
        <v>48</v>
      </c>
      <c r="G297" s="59" t="s">
        <v>68</v>
      </c>
      <c r="H297" s="59" t="s">
        <v>1532</v>
      </c>
      <c r="I297" s="29">
        <v>0.0</v>
      </c>
      <c r="J297" s="32">
        <f>'ARS Filter Media'!F48</f>
        <v>2116.15</v>
      </c>
      <c r="K297" s="33">
        <f t="shared" si="2"/>
        <v>0</v>
      </c>
      <c r="L297" s="33">
        <f t="shared" si="3"/>
        <v>2116.15</v>
      </c>
    </row>
    <row r="298">
      <c r="A298" s="29">
        <v>373.0</v>
      </c>
      <c r="B298" s="30" t="s">
        <v>1538</v>
      </c>
      <c r="C298" s="31" t="str">
        <f>'ARS Filter Media'!B50</f>
        <v>Supply and filling of Coarse Sand as filter medium</v>
      </c>
      <c r="D298" s="31" t="str">
        <f t="shared" si="1"/>
        <v>Supply and filling of Coarse Sand as filter medium (Code: GWDDR373)</v>
      </c>
      <c r="E298" s="74" t="s">
        <v>824</v>
      </c>
      <c r="F298" s="32" t="s">
        <v>48</v>
      </c>
      <c r="G298" s="59" t="s">
        <v>68</v>
      </c>
      <c r="H298" s="59" t="s">
        <v>1532</v>
      </c>
      <c r="I298" s="29">
        <v>0.0</v>
      </c>
      <c r="J298" s="32">
        <f>'ARS Filter Media'!F64</f>
        <v>2382.15</v>
      </c>
      <c r="K298" s="33">
        <f t="shared" si="2"/>
        <v>0</v>
      </c>
      <c r="L298" s="33">
        <f t="shared" si="3"/>
        <v>2382.15</v>
      </c>
    </row>
    <row r="299">
      <c r="A299" s="29">
        <v>374.0</v>
      </c>
      <c r="B299" s="30" t="s">
        <v>1540</v>
      </c>
      <c r="C299" s="31" t="str">
        <f>'ARS Filter Media'!B66</f>
        <v>Supply and filling of Charcoal as filter medium</v>
      </c>
      <c r="D299" s="31" t="str">
        <f t="shared" si="1"/>
        <v>Supply and filling of Charcoal as filter medium (Code: GWDDR374)</v>
      </c>
      <c r="E299" s="74" t="s">
        <v>824</v>
      </c>
      <c r="F299" s="32" t="s">
        <v>48</v>
      </c>
      <c r="G299" s="59" t="s">
        <v>68</v>
      </c>
      <c r="H299" s="59" t="s">
        <v>1532</v>
      </c>
      <c r="I299" s="29">
        <v>0.0</v>
      </c>
      <c r="J299" s="32">
        <f>'ARS Filter Media'!F82</f>
        <v>2510.45</v>
      </c>
      <c r="K299" s="33">
        <f t="shared" si="2"/>
        <v>0</v>
      </c>
      <c r="L299" s="33">
        <f t="shared" si="3"/>
        <v>2510.45</v>
      </c>
    </row>
    <row r="300">
      <c r="A300" s="29">
        <v>375.0</v>
      </c>
      <c r="B300" s="30" t="s">
        <v>1542</v>
      </c>
      <c r="C300" s="31" t="str">
        <f>Services!B19</f>
        <v>Rotary cum DTH OB Drilling</v>
      </c>
      <c r="D300" s="31" t="str">
        <f t="shared" si="1"/>
        <v>Rotary cum DTH OB Drilling (Code: GWDDR375)</v>
      </c>
      <c r="E300" s="74" t="s">
        <v>22</v>
      </c>
      <c r="F300" s="32" t="s">
        <v>48</v>
      </c>
      <c r="G300" s="59" t="s">
        <v>1520</v>
      </c>
      <c r="H300" s="59" t="s">
        <v>786</v>
      </c>
      <c r="I300" s="29">
        <f>Services!D19</f>
        <v>1985</v>
      </c>
      <c r="J300" s="29">
        <v>0.0</v>
      </c>
      <c r="K300" s="33">
        <f t="shared" si="2"/>
        <v>0</v>
      </c>
      <c r="L300" s="33">
        <f t="shared" si="3"/>
        <v>1985</v>
      </c>
    </row>
    <row r="301">
      <c r="A301" s="29">
        <v>376.0</v>
      </c>
      <c r="B301" s="30" t="s">
        <v>1544</v>
      </c>
      <c r="C301" s="31" t="str">
        <f>Services!B20</f>
        <v>Pumping Test</v>
      </c>
      <c r="D301" s="31" t="str">
        <f t="shared" si="1"/>
        <v>Pumping Test (Code: GWDDR376)</v>
      </c>
      <c r="E301" s="74" t="s">
        <v>1545</v>
      </c>
      <c r="F301" s="32" t="s">
        <v>48</v>
      </c>
      <c r="G301" s="59" t="s">
        <v>1546</v>
      </c>
      <c r="H301" s="59" t="s">
        <v>1546</v>
      </c>
      <c r="I301" s="29">
        <f>Services!D20</f>
        <v>7490</v>
      </c>
      <c r="J301" s="29">
        <v>0.0</v>
      </c>
      <c r="K301" s="33">
        <f t="shared" si="2"/>
        <v>0</v>
      </c>
      <c r="L301" s="33">
        <f t="shared" si="3"/>
        <v>7490</v>
      </c>
    </row>
    <row r="302">
      <c r="A302" s="29">
        <v>377.0</v>
      </c>
      <c r="B302" s="30" t="s">
        <v>1547</v>
      </c>
      <c r="C302" s="31" t="str">
        <f>'GI wo Trench'!B122</f>
        <v>Providing and fixing G.I. pipes complete with G.I fittings: 15 mm dia nominal bore</v>
      </c>
      <c r="D302" s="31" t="str">
        <f t="shared" si="1"/>
        <v>Providing and fixing G.I. pipes complete with G.I fittings: 15 mm dia nominal bore (Code: GWDDR377)</v>
      </c>
      <c r="E302" s="74" t="s">
        <v>22</v>
      </c>
      <c r="F302" s="32" t="s">
        <v>48</v>
      </c>
      <c r="G302" s="59" t="s">
        <v>49</v>
      </c>
      <c r="H302" s="59" t="s">
        <v>318</v>
      </c>
      <c r="I302" s="29">
        <v>0.0</v>
      </c>
      <c r="J302" s="32">
        <f>'GI wo Trench'!F141</f>
        <v>189.25</v>
      </c>
      <c r="K302" s="33">
        <f t="shared" si="2"/>
        <v>0</v>
      </c>
      <c r="L302" s="33">
        <f t="shared" si="3"/>
        <v>189.25</v>
      </c>
    </row>
    <row r="303">
      <c r="A303" s="29">
        <v>378.0</v>
      </c>
      <c r="B303" s="30" t="s">
        <v>1549</v>
      </c>
      <c r="C303" s="31" t="str">
        <f>'GI wo Trench'!B142</f>
        <v>Providing and fixing G.I. pipes complete with G.I fittings: 20 mm dia nominal bore</v>
      </c>
      <c r="D303" s="31" t="str">
        <f t="shared" si="1"/>
        <v>Providing and fixing G.I. pipes complete with G.I fittings: 20 mm dia nominal bore (Code: GWDDR378)</v>
      </c>
      <c r="E303" s="74" t="s">
        <v>22</v>
      </c>
      <c r="F303" s="32" t="s">
        <v>48</v>
      </c>
      <c r="G303" s="59" t="s">
        <v>49</v>
      </c>
      <c r="H303" s="59" t="s">
        <v>318</v>
      </c>
      <c r="I303" s="29">
        <v>0.0</v>
      </c>
      <c r="J303" s="32">
        <f>'GI wo Trench'!F161</f>
        <v>231.05</v>
      </c>
      <c r="K303" s="33">
        <f t="shared" si="2"/>
        <v>0</v>
      </c>
      <c r="L303" s="33">
        <f t="shared" si="3"/>
        <v>231.05</v>
      </c>
    </row>
    <row r="304">
      <c r="A304" s="29">
        <v>379.0</v>
      </c>
      <c r="B304" s="30" t="s">
        <v>1552</v>
      </c>
      <c r="C304" s="31" t="str">
        <f>'PVC on Wall (Concealed) PRICE'!A3</f>
        <v>Providing and fixing PVC pipes, fittings including fixing the pipe with clamps at 1.00 m spacing. This includes jointing of pipes &amp; fittings with one step PVC solvent cement and testing of joints complete as per direction of Engineer- in- Charge. Concealed work, including cutting chases and making good the wall etc. 15 mm pipe 12 Kgf/ cm2 (50.18.8.1.1)</v>
      </c>
      <c r="D304" s="31" t="str">
        <f t="shared" si="1"/>
        <v>Providing and fixing PVC pipes, fittings including fixing the pipe with clamps at 1.00 m spacing. This includes jointing of pipes &amp; fittings with one step PVC solvent cement and testing of joints complete as per direction of Engineer- in- Charge. Concealed work, including cutting chases and making good the wall etc. 15 mm pipe 12 Kgf/ cm2 (50.18.8.1.1) (Code: GWDDR379)</v>
      </c>
      <c r="E304" s="74" t="s">
        <v>22</v>
      </c>
      <c r="F304" s="32" t="s">
        <v>48</v>
      </c>
      <c r="G304" s="59" t="s">
        <v>49</v>
      </c>
      <c r="H304" s="59" t="s">
        <v>1553</v>
      </c>
      <c r="I304" s="407">
        <f>'PVC on Wall (Concealed) PRICE'!H31</f>
        <v>57.3781</v>
      </c>
      <c r="J304" s="407">
        <f>'PVC on Wall (Concealed) PRICE'!I31</f>
        <v>283.354894</v>
      </c>
      <c r="K304" s="33">
        <f t="shared" si="2"/>
        <v>0</v>
      </c>
      <c r="L304" s="33">
        <f t="shared" si="3"/>
        <v>340.732994</v>
      </c>
    </row>
    <row r="305">
      <c r="A305" s="29">
        <v>380.0</v>
      </c>
      <c r="B305" s="30" t="s">
        <v>1554</v>
      </c>
      <c r="C305" s="31" t="str">
        <f>'PVC on Wall (Concealed) PRICE'!A34</f>
        <v>Providing and fixing PVC pipes, fittings including fixing the pipe with clamps at 1.00 spacing. This includes jointing of pipes &amp; fittings with one step PVC solvent cement and testing of joints complete as per direction of Engineer-in-Charge Concealed work, including cutting chases and making good the wall etc. 15 mm pipe 10kgf/cm2 (50.18.8.1.2)</v>
      </c>
      <c r="D305" s="31" t="str">
        <f t="shared" si="1"/>
        <v>Providing and fixing PVC pipes, fittings including fixing the pipe with clamps at 1.00 spacing. This includes jointing of pipes &amp; fittings with one step PVC solvent cement and testing of joints complete as per direction of Engineer-in-Charge Concealed work, including cutting chases and making good the wall etc. 15 mm pipe 10kgf/cm2 (50.18.8.1.2) (Code: GWDDR380)</v>
      </c>
      <c r="E305" s="74" t="s">
        <v>22</v>
      </c>
      <c r="F305" s="32" t="s">
        <v>48</v>
      </c>
      <c r="G305" s="59" t="s">
        <v>49</v>
      </c>
      <c r="H305" s="59" t="s">
        <v>1553</v>
      </c>
      <c r="I305" s="407">
        <f>'PVC on Wall (Concealed) PRICE'!H62</f>
        <v>40.76865</v>
      </c>
      <c r="J305" s="407">
        <f>'PVC on Wall (Concealed) PRICE'!I62</f>
        <v>283.354894</v>
      </c>
      <c r="K305" s="33">
        <f t="shared" si="2"/>
        <v>0</v>
      </c>
      <c r="L305" s="33">
        <f t="shared" si="3"/>
        <v>324.123544</v>
      </c>
    </row>
    <row r="306">
      <c r="A306" s="29">
        <v>381.0</v>
      </c>
      <c r="B306" s="30" t="s">
        <v>1555</v>
      </c>
      <c r="C306" s="31" t="str">
        <f>'PVC on Wall (Concealed) PRICE'!A65</f>
        <v>Providing and fixing PVC pipes, fittings including fixing the pipe with clamps at 1.00 m spacing. This includes jointing of pipes &amp; fittings with one step PVC solvent cement and testing of joints complete as per direction of Engineer-in-Charge. Concealed work,including cutting chased and making good the wall etc. 20 mm pipe 12 Kgf/cm2 (50.18.8.2.1)</v>
      </c>
      <c r="D306" s="31" t="str">
        <f t="shared" si="1"/>
        <v>Providing and fixing PVC pipes, fittings including fixing the pipe with clamps at 1.00 m spacing. This includes jointing of pipes &amp; fittings with one step PVC solvent cement and testing of joints complete as per direction of Engineer-in-Charge. Concealed work,including cutting chased and making good the wall etc. 20 mm pipe 12 Kgf/cm2 (50.18.8.2.1) (Code: GWDDR381)</v>
      </c>
      <c r="E306" s="74" t="s">
        <v>22</v>
      </c>
      <c r="F306" s="32" t="s">
        <v>48</v>
      </c>
      <c r="G306" s="59" t="s">
        <v>49</v>
      </c>
      <c r="H306" s="59" t="s">
        <v>1553</v>
      </c>
      <c r="I306" s="407">
        <f>'PVC on Wall (Concealed) PRICE'!H93</f>
        <v>61.152975</v>
      </c>
      <c r="J306" s="407">
        <f>'PVC on Wall (Concealed) PRICE'!I93</f>
        <v>283.354894</v>
      </c>
      <c r="K306" s="33">
        <f t="shared" si="2"/>
        <v>0</v>
      </c>
      <c r="L306" s="33">
        <f t="shared" si="3"/>
        <v>344.507869</v>
      </c>
    </row>
    <row r="307">
      <c r="A307" s="29">
        <v>382.0</v>
      </c>
      <c r="B307" s="30" t="s">
        <v>1559</v>
      </c>
      <c r="C307" s="31" t="str">
        <f>'PVC on Wall (Concealed) PRICE'!A96</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20 mm pipe 10 Kgf/ cm2 (50.18.8.2.2)</v>
      </c>
      <c r="D307" s="31" t="str">
        <f t="shared" si="1"/>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20 mm pipe 10 Kgf/ cm2 (50.18.8.2.2) (Code: GWDDR382)</v>
      </c>
      <c r="E307" s="74" t="s">
        <v>22</v>
      </c>
      <c r="F307" s="32" t="s">
        <v>48</v>
      </c>
      <c r="G307" s="59" t="s">
        <v>49</v>
      </c>
      <c r="H307" s="59" t="s">
        <v>1553</v>
      </c>
      <c r="I307" s="407">
        <f>'PVC on Wall (Concealed) PRICE'!H124</f>
        <v>45.2985</v>
      </c>
      <c r="J307" s="407">
        <f>'PVC on Wall (Concealed) PRICE'!I124</f>
        <v>283.354894</v>
      </c>
      <c r="K307" s="33">
        <f t="shared" si="2"/>
        <v>0</v>
      </c>
      <c r="L307" s="33">
        <f t="shared" si="3"/>
        <v>328.653394</v>
      </c>
    </row>
    <row r="308">
      <c r="A308" s="29">
        <v>383.0</v>
      </c>
      <c r="B308" s="30" t="s">
        <v>1562</v>
      </c>
      <c r="C308" s="31" t="str">
        <f>'PVC on Wall (Concealed) PRICE'!A127</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12 kgf/cm2 (50.18.8.3.1)</v>
      </c>
      <c r="D308" s="31" t="str">
        <f t="shared" si="1"/>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12 kgf/cm2 (50.18.8.3.1) (Code: GWDDR383)</v>
      </c>
      <c r="E308" s="74" t="s">
        <v>22</v>
      </c>
      <c r="F308" s="32" t="s">
        <v>48</v>
      </c>
      <c r="G308" s="59" t="s">
        <v>49</v>
      </c>
      <c r="H308" s="59" t="s">
        <v>1553</v>
      </c>
      <c r="I308" s="407">
        <f>'PVC on Wall (Concealed) PRICE'!H155</f>
        <v>92.10695</v>
      </c>
      <c r="J308" s="407">
        <f>'PVC on Wall (Concealed) PRICE'!I155</f>
        <v>283.354894</v>
      </c>
      <c r="K308" s="33">
        <f t="shared" si="2"/>
        <v>0</v>
      </c>
      <c r="L308" s="33">
        <f t="shared" si="3"/>
        <v>375.461844</v>
      </c>
    </row>
    <row r="309">
      <c r="A309" s="29">
        <v>384.0</v>
      </c>
      <c r="B309" s="30" t="s">
        <v>1563</v>
      </c>
      <c r="C309" s="31" t="str">
        <f>'PVC on Wall (Concealed) PRICE'!A158</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10kgf /cm2 (50.18.8.3.2)</v>
      </c>
      <c r="D309" s="31" t="str">
        <f t="shared" si="1"/>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25 mm pipe 10kgf /cm2 (50.18.8.3.2) (Code: GWDDR384)</v>
      </c>
      <c r="E309" s="74" t="s">
        <v>22</v>
      </c>
      <c r="F309" s="32" t="s">
        <v>48</v>
      </c>
      <c r="G309" s="59" t="s">
        <v>49</v>
      </c>
      <c r="H309" s="59" t="s">
        <v>1553</v>
      </c>
      <c r="I309" s="407">
        <f>'PVC on Wall (Concealed) PRICE'!H186</f>
        <v>72.4776</v>
      </c>
      <c r="J309" s="407">
        <f>'PVC on Wall (Concealed) PRICE'!I186</f>
        <v>283.354894</v>
      </c>
      <c r="K309" s="33">
        <f t="shared" si="2"/>
        <v>0</v>
      </c>
      <c r="L309" s="33">
        <f t="shared" si="3"/>
        <v>355.832494</v>
      </c>
    </row>
    <row r="310">
      <c r="A310" s="29">
        <v>385.0</v>
      </c>
      <c r="B310" s="30" t="s">
        <v>1564</v>
      </c>
      <c r="C310" s="31" t="str">
        <f>'PVC on Wall (Concealed) PRICE'!A189</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10Kgf/cm2 (50.18.8.4.1)</v>
      </c>
      <c r="D310" s="31" t="str">
        <f t="shared" si="1"/>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10Kgf/cm2 (50.18.8.4.1) (Code: GWDDR385)</v>
      </c>
      <c r="E310" s="74" t="s">
        <v>22</v>
      </c>
      <c r="F310" s="32" t="s">
        <v>48</v>
      </c>
      <c r="G310" s="59" t="s">
        <v>49</v>
      </c>
      <c r="H310" s="59" t="s">
        <v>1553</v>
      </c>
      <c r="I310" s="407">
        <f>'PVC on Wall (Concealed) PRICE'!H217</f>
        <v>98.14675</v>
      </c>
      <c r="J310" s="407">
        <f>'PVC on Wall (Concealed) PRICE'!I217</f>
        <v>283.354894</v>
      </c>
      <c r="K310" s="33">
        <f t="shared" si="2"/>
        <v>0</v>
      </c>
      <c r="L310" s="33">
        <f t="shared" si="3"/>
        <v>381.501644</v>
      </c>
    </row>
    <row r="311">
      <c r="A311" s="29">
        <v>386.0</v>
      </c>
      <c r="B311" s="30" t="s">
        <v>1566</v>
      </c>
      <c r="C311" s="31" t="str">
        <f>'PVC on Wall (Concealed) PRICE'!A220</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6Kgf/cm2 (50.18.8.4.2)</v>
      </c>
      <c r="D311" s="31" t="str">
        <f t="shared" si="1"/>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32 mm pipe 6Kgf/cm2 (50.18.8.4.2) (Code: GWDDR386)</v>
      </c>
      <c r="E311" s="74" t="s">
        <v>22</v>
      </c>
      <c r="F311" s="32" t="s">
        <v>48</v>
      </c>
      <c r="G311" s="59" t="s">
        <v>49</v>
      </c>
      <c r="H311" s="59" t="s">
        <v>1553</v>
      </c>
      <c r="I311" s="407">
        <f>'PVC on Wall (Concealed) PRICE'!H248</f>
        <v>78.5174</v>
      </c>
      <c r="J311" s="407">
        <f>'PVC on Wall (Concealed) PRICE'!I248</f>
        <v>283.354894</v>
      </c>
      <c r="K311" s="33">
        <f t="shared" si="2"/>
        <v>0</v>
      </c>
      <c r="L311" s="33">
        <f t="shared" si="3"/>
        <v>361.872294</v>
      </c>
    </row>
    <row r="312">
      <c r="A312" s="29">
        <v>387.0</v>
      </c>
      <c r="B312" s="30" t="s">
        <v>1568</v>
      </c>
      <c r="C312" s="31" t="str">
        <f>'PVC on Wall (Concealed) PRICE'!A251</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10 kgf/ cm2 (50.18.8.5.1)</v>
      </c>
      <c r="D312" s="31" t="str">
        <f t="shared" si="1"/>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10 kgf/ cm2 (50.18.8.5.1) (Code: GWDDR387)</v>
      </c>
      <c r="E312" s="74" t="s">
        <v>22</v>
      </c>
      <c r="F312" s="32" t="s">
        <v>48</v>
      </c>
      <c r="G312" s="59" t="s">
        <v>49</v>
      </c>
      <c r="H312" s="59" t="s">
        <v>1553</v>
      </c>
      <c r="I312" s="407">
        <f>'PVC on Wall (Concealed) PRICE'!H279</f>
        <v>126.8358</v>
      </c>
      <c r="J312" s="407">
        <f>'PVC on Wall (Concealed) PRICE'!I279</f>
        <v>283.354894</v>
      </c>
      <c r="K312" s="33">
        <f t="shared" si="2"/>
        <v>0</v>
      </c>
      <c r="L312" s="33">
        <f t="shared" si="3"/>
        <v>410.190694</v>
      </c>
    </row>
    <row r="313">
      <c r="A313" s="29">
        <v>388.0</v>
      </c>
      <c r="B313" s="30" t="s">
        <v>1571</v>
      </c>
      <c r="C313" s="31" t="str">
        <f>'PVC on Wall (Concealed) PRICE'!A282</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6Kgf/cm2 (50.18.8.5.2)</v>
      </c>
      <c r="D313" s="31" t="str">
        <f t="shared" si="1"/>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40 mm pipe 6Kgf/cm2 (50.18.8.5.2) (Code: GWDDR388)</v>
      </c>
      <c r="E313" s="74" t="s">
        <v>22</v>
      </c>
      <c r="F313" s="32" t="s">
        <v>48</v>
      </c>
      <c r="G313" s="59" t="s">
        <v>49</v>
      </c>
      <c r="H313" s="59" t="s">
        <v>1553</v>
      </c>
      <c r="I313" s="407">
        <f>'PVC on Wall (Concealed) PRICE'!H310</f>
        <v>80.02735</v>
      </c>
      <c r="J313" s="407">
        <f>'PVC on Wall (Concealed) PRICE'!I310</f>
        <v>283.354894</v>
      </c>
      <c r="K313" s="33">
        <f t="shared" si="2"/>
        <v>0</v>
      </c>
      <c r="L313" s="33">
        <f t="shared" si="3"/>
        <v>363.382244</v>
      </c>
    </row>
    <row r="314">
      <c r="A314" s="29">
        <v>389.0</v>
      </c>
      <c r="B314" s="30" t="s">
        <v>1572</v>
      </c>
      <c r="C314" s="31" t="str">
        <f>'PVC on Wall (Concealed) PRICE'!A313</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10 kgf/cm2 (50.18.8.6.1)</v>
      </c>
      <c r="D314" s="31" t="str">
        <f t="shared" si="1"/>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10 kgf/cm2 (50.18.8.6.1) (Code: GWDDR389)</v>
      </c>
      <c r="E314" s="74" t="s">
        <v>22</v>
      </c>
      <c r="F314" s="32" t="s">
        <v>48</v>
      </c>
      <c r="G314" s="59" t="s">
        <v>49</v>
      </c>
      <c r="H314" s="59" t="s">
        <v>1553</v>
      </c>
      <c r="I314" s="407">
        <f>'PVC on Wall (Concealed) PRICE'!H341</f>
        <v>135.8955</v>
      </c>
      <c r="J314" s="407">
        <f>'PVC on Wall (Concealed) PRICE'!I341</f>
        <v>283.354894</v>
      </c>
      <c r="K314" s="33">
        <f t="shared" si="2"/>
        <v>0</v>
      </c>
      <c r="L314" s="33">
        <f t="shared" si="3"/>
        <v>419.250394</v>
      </c>
    </row>
    <row r="315">
      <c r="A315" s="29">
        <v>390.0</v>
      </c>
      <c r="B315" s="30" t="s">
        <v>1573</v>
      </c>
      <c r="C315" s="31" t="str">
        <f>'PVC on Wall (Concealed) PRICE'!A344</f>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6 kgf/cm2 (50.18.8.6.2)</v>
      </c>
      <c r="D315" s="31" t="str">
        <f t="shared" si="1"/>
        <v>Providing and fixing PVC pipes, fittings including fixing the pipe with clamps at 1.00 m spacing. This includes jointing of pipes &amp; fittings with one step PVC solvent cement and testing of joints complete as per direction of Engineer-in-Charge. Concealed work, including cutting chases and making good the wall etc. 50 mm pipe 6 kgf/cm2 (50.18.8.6.2) (Code: GWDDR390)</v>
      </c>
      <c r="E315" s="74" t="s">
        <v>22</v>
      </c>
      <c r="F315" s="32" t="s">
        <v>48</v>
      </c>
      <c r="G315" s="59" t="s">
        <v>49</v>
      </c>
      <c r="H315" s="59" t="s">
        <v>1553</v>
      </c>
      <c r="I315" s="407">
        <f>'PVC on Wall (Concealed) PRICE'!H372</f>
        <v>90.597</v>
      </c>
      <c r="J315" s="407">
        <f>'PVC on Wall (Concealed) PRICE'!I372</f>
        <v>283.354894</v>
      </c>
      <c r="K315" s="33">
        <f t="shared" si="2"/>
        <v>0</v>
      </c>
      <c r="L315" s="33">
        <f t="shared" si="3"/>
        <v>373.951894</v>
      </c>
    </row>
    <row r="316">
      <c r="A316" s="29">
        <v>391.0</v>
      </c>
      <c r="B316" s="30" t="s">
        <v>1574</v>
      </c>
      <c r="C316" s="31" t="str">
        <f>'PVC on Wall (Concealed) PRICE'!A375</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6 Kgf/cm2 (50.18.8.7.1)</v>
      </c>
      <c r="D316" s="31" t="str">
        <f t="shared" si="1"/>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6 Kgf/cm2 (50.18.8.7.1) (Code: GWDDR391)</v>
      </c>
      <c r="E316" s="74" t="s">
        <v>22</v>
      </c>
      <c r="F316" s="32" t="s">
        <v>48</v>
      </c>
      <c r="G316" s="59" t="s">
        <v>49</v>
      </c>
      <c r="H316" s="59" t="s">
        <v>1553</v>
      </c>
      <c r="I316" s="407">
        <f>'PVC on Wall (Concealed) PRICE'!H403</f>
        <v>143.90985</v>
      </c>
      <c r="J316" s="407">
        <f>'PVC on Wall (Concealed) PRICE'!I403</f>
        <v>378.179754</v>
      </c>
      <c r="K316" s="33">
        <f t="shared" si="2"/>
        <v>0</v>
      </c>
      <c r="L316" s="33">
        <f t="shared" si="3"/>
        <v>522.089604</v>
      </c>
    </row>
    <row r="317">
      <c r="A317" s="29">
        <v>392.0</v>
      </c>
      <c r="B317" s="30" t="s">
        <v>1576</v>
      </c>
      <c r="C317" s="31" t="str">
        <f>'PVC on Wall (Concealed) PRICE'!A406</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4 Kgf/cm2 (50.18.8.7.2)</v>
      </c>
      <c r="D317" s="31" t="str">
        <f t="shared" si="1"/>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63 mm pipe 4 Kgf/cm2 (50.18.8.7.2) (Code: GWDDR392)</v>
      </c>
      <c r="E317" s="74" t="s">
        <v>22</v>
      </c>
      <c r="F317" s="32" t="s">
        <v>48</v>
      </c>
      <c r="G317" s="59" t="s">
        <v>49</v>
      </c>
      <c r="H317" s="59" t="s">
        <v>1553</v>
      </c>
      <c r="I317" s="407">
        <f>'PVC on Wall (Concealed) PRICE'!H434</f>
        <v>101.224725</v>
      </c>
      <c r="J317" s="407">
        <f>'PVC on Wall (Concealed) PRICE'!I434</f>
        <v>378.179754</v>
      </c>
      <c r="K317" s="33">
        <f t="shared" si="2"/>
        <v>0</v>
      </c>
      <c r="L317" s="33">
        <f t="shared" si="3"/>
        <v>479.404479</v>
      </c>
    </row>
    <row r="318">
      <c r="A318" s="29">
        <v>393.0</v>
      </c>
      <c r="B318" s="30" t="s">
        <v>1578</v>
      </c>
      <c r="C318" s="31" t="str">
        <f>'PVC on Wall (Concealed) PRICE'!A437</f>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6 Kgf/cm2 (50.18.8.8.1)</v>
      </c>
      <c r="D318" s="31" t="str">
        <f t="shared" si="1"/>
        <v>Providing and fixing PVC pipes, fittings including fixing the pipe with clamps at 1.00 m spacing. This includes jointing of pipes with one step PVC solvent cement and testing of joints complete as per direction of Engineer-in-Charge. Concealed work including cutting chases and making good the wall etc. 75 mm pipe 6 Kgf/cm2 (50.18.8.8.1) (Code: GWDDR393)</v>
      </c>
      <c r="E318" s="74" t="s">
        <v>22</v>
      </c>
      <c r="F318" s="32" t="s">
        <v>48</v>
      </c>
      <c r="G318" s="59" t="s">
        <v>49</v>
      </c>
      <c r="H318" s="59" t="s">
        <v>1553</v>
      </c>
      <c r="I318" s="407">
        <f>'PVC on Wall (Concealed) PRICE'!H465</f>
        <v>157.325175</v>
      </c>
      <c r="J318" s="407">
        <f>'PVC on Wall (Concealed) PRICE'!I465</f>
        <v>378.179754</v>
      </c>
      <c r="K318" s="33">
        <f t="shared" si="2"/>
        <v>0</v>
      </c>
      <c r="L318" s="33">
        <f t="shared" si="3"/>
        <v>535.504929</v>
      </c>
    </row>
    <row r="319">
      <c r="A319" s="29">
        <v>394.0</v>
      </c>
      <c r="B319" s="30" t="s">
        <v>1580</v>
      </c>
      <c r="C319" s="31" t="str">
        <f>'Electrical Essentials'!B2</f>
        <v>Supplying and fixing 5 amps to 32 amps rating, 240/415 volts, "C" curve, miniature circuit breaker suitable for inductive load of following poles in the existing MCB DB complete with connections, testing and commissioning etc. as required. Single pole (2.10.1)</v>
      </c>
      <c r="D319" s="31" t="str">
        <f t="shared" si="1"/>
        <v>Supplying and fixing 5 amps to 32 amps rating, 240/415 volts, "C" curve, miniature circuit breaker suitable for inductive load of following poles in the existing MCB DB complete with connections, testing and commissioning etc. as required. Single pole (2.10.1) (Code: GWDDR394)</v>
      </c>
      <c r="E319" s="74" t="str">
        <f>'Electrical Essentials'!D2</f>
        <v>each</v>
      </c>
      <c r="F319" s="32" t="s">
        <v>48</v>
      </c>
      <c r="G319" s="59" t="s">
        <v>49</v>
      </c>
      <c r="H319" s="59" t="s">
        <v>1581</v>
      </c>
      <c r="I319" s="29">
        <v>0.0</v>
      </c>
      <c r="J319" s="29">
        <f>'Electrical Essentials'!C2</f>
        <v>193.76</v>
      </c>
      <c r="K319" s="33">
        <f t="shared" si="2"/>
        <v>0</v>
      </c>
      <c r="L319" s="33">
        <f t="shared" si="3"/>
        <v>193.76</v>
      </c>
    </row>
    <row r="320">
      <c r="A320" s="29">
        <v>395.0</v>
      </c>
      <c r="B320" s="30" t="s">
        <v>1582</v>
      </c>
      <c r="C320" s="31" t="str">
        <f>'Electrical Essentials'!B3</f>
        <v>Supplying and fixing 5 amps to 32 amps rating, 240/415 volts, "C" curve, miniature circuit breaker suitable for inductive load of following poles in the existing MCB DB complete with connections, testing and commissioning etc. as required. Single pole and netural (2.10.2)</v>
      </c>
      <c r="D320" s="31" t="str">
        <f t="shared" si="1"/>
        <v>Supplying and fixing 5 amps to 32 amps rating, 240/415 volts, "C" curve, miniature circuit breaker suitable for inductive load of following poles in the existing MCB DB complete with connections, testing and commissioning etc. as required. Single pole and netural (2.10.2) (Code: GWDDR395)</v>
      </c>
      <c r="E320" s="74" t="str">
        <f>'Electrical Essentials'!D3</f>
        <v>each</v>
      </c>
      <c r="F320" s="32" t="s">
        <v>48</v>
      </c>
      <c r="G320" s="59" t="s">
        <v>49</v>
      </c>
      <c r="H320" s="59" t="s">
        <v>1581</v>
      </c>
      <c r="I320" s="29">
        <v>0.0</v>
      </c>
      <c r="J320" s="29">
        <f>'Electrical Essentials'!C3</f>
        <v>452.76</v>
      </c>
      <c r="K320" s="33">
        <f t="shared" si="2"/>
        <v>0</v>
      </c>
      <c r="L320" s="33">
        <f t="shared" si="3"/>
        <v>452.76</v>
      </c>
    </row>
    <row r="321">
      <c r="A321" s="29">
        <v>396.0</v>
      </c>
      <c r="B321" s="30" t="s">
        <v>1584</v>
      </c>
      <c r="C321" s="31" t="str">
        <f>'Electrical Essentials'!B4</f>
        <v>Supplying and fixing 5 amps to 32 amps rating, 240/415 volts, "C" curve, miniature circuit breaker suitable for inductive load of following poles in the existing MCB DB complete with connections, testing and commissioning etc. as required. Double pole (2.10.3)</v>
      </c>
      <c r="D321" s="31" t="str">
        <f t="shared" si="1"/>
        <v>Supplying and fixing 5 amps to 32 amps rating, 240/415 volts, "C" curve, miniature circuit breaker suitable for inductive load of following poles in the existing MCB DB complete with connections, testing and commissioning etc. as required. Double pole (2.10.3) (Code: GWDDR396)</v>
      </c>
      <c r="E321" s="74" t="str">
        <f>'Electrical Essentials'!D4</f>
        <v>each</v>
      </c>
      <c r="F321" s="32" t="s">
        <v>48</v>
      </c>
      <c r="G321" s="59" t="s">
        <v>49</v>
      </c>
      <c r="H321" s="59" t="s">
        <v>1581</v>
      </c>
      <c r="I321" s="29">
        <v>0.0</v>
      </c>
      <c r="J321" s="29">
        <f>'Electrical Essentials'!C4</f>
        <v>495.76</v>
      </c>
      <c r="K321" s="33">
        <f t="shared" si="2"/>
        <v>0</v>
      </c>
      <c r="L321" s="33">
        <f t="shared" si="3"/>
        <v>495.76</v>
      </c>
    </row>
    <row r="322">
      <c r="A322" s="29">
        <v>397.0</v>
      </c>
      <c r="B322" s="30" t="s">
        <v>1587</v>
      </c>
      <c r="C322" s="31" t="str">
        <f>'Electrical Essentials'!B5</f>
        <v>Supplying and fixing 5 amps to 32 amps rating, 240/415 volts, "C" curve, miniature circuit breaker suitable for inductive load of following poles in the existing MCB DB complete with connections, testing and commissioning etc. as required. Triple pole (2.10.4)</v>
      </c>
      <c r="D322" s="31" t="str">
        <f t="shared" si="1"/>
        <v>Supplying and fixing 5 amps to 32 amps rating, 240/415 volts, "C" curve, miniature circuit breaker suitable for inductive load of following poles in the existing MCB DB complete with connections, testing and commissioning etc. as required. Triple pole (2.10.4) (Code: GWDDR397)</v>
      </c>
      <c r="E322" s="74" t="str">
        <f>'Electrical Essentials'!D5</f>
        <v>each</v>
      </c>
      <c r="F322" s="32" t="s">
        <v>48</v>
      </c>
      <c r="G322" s="59" t="s">
        <v>49</v>
      </c>
      <c r="H322" s="59" t="s">
        <v>1581</v>
      </c>
      <c r="I322" s="29">
        <v>0.0</v>
      </c>
      <c r="J322" s="29">
        <f>'Electrical Essentials'!C5</f>
        <v>760.76</v>
      </c>
      <c r="K322" s="33">
        <f t="shared" si="2"/>
        <v>0</v>
      </c>
      <c r="L322" s="33">
        <f t="shared" si="3"/>
        <v>760.76</v>
      </c>
    </row>
    <row r="323">
      <c r="A323" s="29">
        <v>398.0</v>
      </c>
      <c r="B323" s="30" t="s">
        <v>1588</v>
      </c>
      <c r="C323" s="31" t="str">
        <f>'Electrical Essentials'!B6</f>
        <v>Supplying and fixing 5 amps to 32 amps rating, 240/415 volts, "C" curve, miniature circuit breaker suitable for inductive load of following poles in the existing MCB DB complete with connections, testing and commissioning etc. as required. Triple pole and neutral (2.10.5)</v>
      </c>
      <c r="D323" s="31" t="str">
        <f t="shared" si="1"/>
        <v>Supplying and fixing 5 amps to 32 amps rating, 240/415 volts, "C" curve, miniature circuit breaker suitable for inductive load of following poles in the existing MCB DB complete with connections, testing and commissioning etc. as required. Triple pole and neutral (2.10.5) (Code: GWDDR398)</v>
      </c>
      <c r="E323" s="74" t="str">
        <f>'Electrical Essentials'!D6</f>
        <v>each</v>
      </c>
      <c r="F323" s="32" t="s">
        <v>48</v>
      </c>
      <c r="G323" s="59" t="s">
        <v>49</v>
      </c>
      <c r="H323" s="59" t="s">
        <v>1581</v>
      </c>
      <c r="I323" s="29">
        <v>0.0</v>
      </c>
      <c r="J323" s="29">
        <f>'Electrical Essentials'!C6</f>
        <v>927.76</v>
      </c>
      <c r="K323" s="33">
        <f t="shared" si="2"/>
        <v>0</v>
      </c>
      <c r="L323" s="33">
        <f t="shared" si="3"/>
        <v>927.76</v>
      </c>
    </row>
    <row r="324">
      <c r="A324" s="29">
        <v>399.0</v>
      </c>
      <c r="B324" s="30" t="s">
        <v>1589</v>
      </c>
      <c r="C324" s="31" t="str">
        <f>'Electrical Essentials'!B7</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6 way, Double door (2.3.1)</v>
      </c>
      <c r="D324" s="31" t="str">
        <f t="shared" si="1"/>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6 way, Double door (2.3.1) (Code: GWDDR399)</v>
      </c>
      <c r="E324" s="74" t="str">
        <f>'Electrical Essentials'!D7</f>
        <v>each</v>
      </c>
      <c r="F324" s="32" t="s">
        <v>48</v>
      </c>
      <c r="G324" s="59" t="s">
        <v>49</v>
      </c>
      <c r="H324" s="59" t="s">
        <v>1581</v>
      </c>
      <c r="I324" s="29">
        <v>0.0</v>
      </c>
      <c r="J324" s="29">
        <f>'Electrical Essentials'!C7</f>
        <v>1668.16</v>
      </c>
      <c r="K324" s="33">
        <f t="shared" si="2"/>
        <v>0</v>
      </c>
      <c r="L324" s="33">
        <f t="shared" si="3"/>
        <v>1668.16</v>
      </c>
    </row>
    <row r="325">
      <c r="A325" s="29">
        <v>400.0</v>
      </c>
      <c r="B325" s="30" t="s">
        <v>1591</v>
      </c>
      <c r="C325" s="31" t="str">
        <f>'Electrical Essentials'!B8</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8 way, Double door (2.3.2)</v>
      </c>
      <c r="D325" s="31" t="str">
        <f t="shared" si="1"/>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8 way, Double door (2.3.2) (Code: GWDDR400)</v>
      </c>
      <c r="E325" s="74" t="str">
        <f>'Electrical Essentials'!D8</f>
        <v>each</v>
      </c>
      <c r="F325" s="32" t="s">
        <v>48</v>
      </c>
      <c r="G325" s="59" t="s">
        <v>49</v>
      </c>
      <c r="H325" s="59" t="s">
        <v>1581</v>
      </c>
      <c r="I325" s="29">
        <v>0.0</v>
      </c>
      <c r="J325" s="29">
        <f>'Electrical Essentials'!C8</f>
        <v>1945.16</v>
      </c>
      <c r="K325" s="33">
        <f t="shared" si="2"/>
        <v>0</v>
      </c>
      <c r="L325" s="33">
        <f t="shared" si="3"/>
        <v>1945.16</v>
      </c>
    </row>
    <row r="326">
      <c r="A326" s="29">
        <v>401.0</v>
      </c>
      <c r="B326" s="30" t="s">
        <v>1592</v>
      </c>
      <c r="C326" s="31" t="str">
        <f>'Electrical Essentials'!B9</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12 way, Double door (2.3.3)</v>
      </c>
      <c r="D326" s="31" t="str">
        <f t="shared" si="1"/>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12 way, Double door (2.3.3) (Code: GWDDR401)</v>
      </c>
      <c r="E326" s="74" t="str">
        <f>'Electrical Essentials'!D9</f>
        <v>each</v>
      </c>
      <c r="F326" s="32" t="s">
        <v>48</v>
      </c>
      <c r="G326" s="59" t="s">
        <v>49</v>
      </c>
      <c r="H326" s="59" t="s">
        <v>1581</v>
      </c>
      <c r="I326" s="29">
        <v>0.0</v>
      </c>
      <c r="J326" s="29">
        <f>'Electrical Essentials'!C9</f>
        <v>1750.16</v>
      </c>
      <c r="K326" s="33">
        <f t="shared" si="2"/>
        <v>0</v>
      </c>
      <c r="L326" s="33">
        <f t="shared" si="3"/>
        <v>1750.16</v>
      </c>
    </row>
    <row r="327">
      <c r="A327" s="29">
        <v>402.0</v>
      </c>
      <c r="B327" s="30" t="s">
        <v>1593</v>
      </c>
      <c r="C327" s="31" t="str">
        <f>'Electrical Essentials'!B10</f>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16 way, Double door (2.3.4)</v>
      </c>
      <c r="D327" s="31" t="str">
        <f t="shared" si="1"/>
        <v>Supplying and fixing following way, single pole and neutral, sheet steel, MCB distribution board, 240 V, on surface/ recess, complete with tinned copper bus bar, neutral bus bar, earth bar, din bar, interconnections, powder painted including earthing etc. as required. (But without MCBIRCCB/Isolator 16 way, Double door (2.3.4) (Code: GWDDR402)</v>
      </c>
      <c r="E327" s="74" t="str">
        <f>'Electrical Essentials'!D10</f>
        <v>each</v>
      </c>
      <c r="F327" s="32" t="s">
        <v>48</v>
      </c>
      <c r="G327" s="59" t="s">
        <v>49</v>
      </c>
      <c r="H327" s="59" t="s">
        <v>1581</v>
      </c>
      <c r="I327" s="29">
        <v>0.0</v>
      </c>
      <c r="J327" s="29">
        <f>'Electrical Essentials'!C10</f>
        <v>2374.16</v>
      </c>
      <c r="K327" s="33">
        <f t="shared" si="2"/>
        <v>0</v>
      </c>
      <c r="L327" s="33">
        <f t="shared" si="3"/>
        <v>2374.16</v>
      </c>
    </row>
    <row r="328">
      <c r="A328" s="29">
        <v>403.0</v>
      </c>
      <c r="B328" s="30" t="s">
        <v>1594</v>
      </c>
      <c r="C328" s="31" t="str">
        <f>'Electrical Essentials'!B11</f>
        <v>Supplying and fixing following rating, double pole, (single phase and neutral), 240 volts, residual current circuit breaker (RCCB), having a sensitivity current upto 300 milliamperes in the existing MCB DB complete with connections, testing and commissioning etc. as required. 25 amps (2.14.1)</v>
      </c>
      <c r="D328" s="31" t="str">
        <f t="shared" si="1"/>
        <v>Supplying and fixing following rating, double pole, (single phase and neutral), 240 volts, residual current circuit breaker (RCCB), having a sensitivity current upto 300 milliamperes in the existing MCB DB complete with connections, testing and commissioning etc. as required. 25 amps (2.14.1) (Code: GWDDR403)</v>
      </c>
      <c r="E328" s="74" t="str">
        <f>'Electrical Essentials'!D11</f>
        <v>each</v>
      </c>
      <c r="F328" s="32" t="s">
        <v>48</v>
      </c>
      <c r="G328" s="59" t="s">
        <v>49</v>
      </c>
      <c r="H328" s="59" t="s">
        <v>1581</v>
      </c>
      <c r="I328" s="29">
        <v>0.0</v>
      </c>
      <c r="J328" s="29">
        <f>'Electrical Essentials'!C11</f>
        <v>1531.45</v>
      </c>
      <c r="K328" s="33">
        <f t="shared" si="2"/>
        <v>0</v>
      </c>
      <c r="L328" s="33">
        <f t="shared" si="3"/>
        <v>1531.45</v>
      </c>
    </row>
    <row r="329">
      <c r="A329" s="29">
        <v>404.0</v>
      </c>
      <c r="B329" s="30" t="s">
        <v>1595</v>
      </c>
      <c r="C329" s="31" t="str">
        <f>'Electrical Essentials'!B12</f>
        <v>Supplying and fixing following rating, double pole, (single phase and neutral), 240 volts, residual current circuit breaker (RCCB), having a sensitivity current upto 300 milliamperes in the existing MCB DB complete with connections, testing and commissioning etc. as required. 40 amps (2.14.2)</v>
      </c>
      <c r="D329" s="31" t="str">
        <f t="shared" si="1"/>
        <v>Supplying and fixing following rating, double pole, (single phase and neutral), 240 volts, residual current circuit breaker (RCCB), having a sensitivity current upto 300 milliamperes in the existing MCB DB complete with connections, testing and commissioning etc. as required. 40 amps (2.14.2) (Code: GWDDR404)</v>
      </c>
      <c r="E329" s="74" t="str">
        <f>'Electrical Essentials'!D12</f>
        <v>each</v>
      </c>
      <c r="F329" s="32" t="s">
        <v>48</v>
      </c>
      <c r="G329" s="59" t="s">
        <v>49</v>
      </c>
      <c r="H329" s="59" t="s">
        <v>1581</v>
      </c>
      <c r="I329" s="29">
        <v>0.0</v>
      </c>
      <c r="J329" s="29">
        <f>'Electrical Essentials'!C12</f>
        <v>1995.45</v>
      </c>
      <c r="K329" s="33">
        <f t="shared" si="2"/>
        <v>0</v>
      </c>
      <c r="L329" s="33">
        <f t="shared" si="3"/>
        <v>1995.45</v>
      </c>
    </row>
    <row r="330">
      <c r="A330" s="29">
        <v>405.0</v>
      </c>
      <c r="B330" s="30" t="s">
        <v>1598</v>
      </c>
      <c r="C330" s="31" t="str">
        <f>'Electrical Essentials'!B13</f>
        <v>Supplying and fixing following rating, double pole, (single phase and neutral), 240 volts, residual current circuit breaker (RCCB), having a sensitivity current upto 300 milliamperes in the existing MCB DB complete with connections, testing and commissioning etc. as required. 63 amps (2.14.3)</v>
      </c>
      <c r="D330" s="31" t="str">
        <f t="shared" si="1"/>
        <v>Supplying and fixing following rating, double pole, (single phase and neutral), 240 volts, residual current circuit breaker (RCCB), having a sensitivity current upto 300 milliamperes in the existing MCB DB complete with connections, testing and commissioning etc. as required. 63 amps (2.14.3) (Code: GWDDR405)</v>
      </c>
      <c r="E330" s="74" t="str">
        <f>'Electrical Essentials'!D13</f>
        <v>each</v>
      </c>
      <c r="F330" s="32" t="s">
        <v>48</v>
      </c>
      <c r="G330" s="59" t="s">
        <v>49</v>
      </c>
      <c r="H330" s="59" t="s">
        <v>1581</v>
      </c>
      <c r="I330" s="29">
        <v>0.0</v>
      </c>
      <c r="J330" s="29">
        <f>'Electrical Essentials'!C13</f>
        <v>2055.45</v>
      </c>
      <c r="K330" s="33">
        <f t="shared" si="2"/>
        <v>0</v>
      </c>
      <c r="L330" s="33">
        <f t="shared" si="3"/>
        <v>2055.45</v>
      </c>
    </row>
    <row r="331">
      <c r="A331" s="29">
        <v>406.0</v>
      </c>
      <c r="B331" s="30" t="s">
        <v>1599</v>
      </c>
      <c r="C331" s="31" t="str">
        <f>'Electrical Essentials'!B14</f>
        <v>Supplying and fixing following rating, four pole, (three phase and neutral), 415 volts, residual current circuit breaker (RCCB), having a sensitivity current upto 300 milliamperes in the existing MCB DB complete with connections, testing and commissioning etc. as required. 25 amps (2.15.1)</v>
      </c>
      <c r="D331" s="31" t="str">
        <f t="shared" si="1"/>
        <v>Supplying and fixing following rating, four pole, (three phase and neutral), 415 volts, residual current circuit breaker (RCCB), having a sensitivity current upto 300 milliamperes in the existing MCB DB complete with connections, testing and commissioning etc. as required. 25 amps (2.15.1) (Code: GWDDR406)</v>
      </c>
      <c r="E331" s="74" t="str">
        <f>'Electrical Essentials'!D14</f>
        <v>each</v>
      </c>
      <c r="F331" s="32" t="s">
        <v>48</v>
      </c>
      <c r="G331" s="59" t="s">
        <v>49</v>
      </c>
      <c r="H331" s="59" t="s">
        <v>1581</v>
      </c>
      <c r="I331" s="29">
        <v>0.0</v>
      </c>
      <c r="J331" s="29">
        <f>'Electrical Essentials'!C14</f>
        <v>1953.52</v>
      </c>
      <c r="K331" s="33">
        <f t="shared" si="2"/>
        <v>0</v>
      </c>
      <c r="L331" s="33">
        <f t="shared" si="3"/>
        <v>1953.52</v>
      </c>
    </row>
    <row r="332">
      <c r="A332" s="29">
        <v>407.0</v>
      </c>
      <c r="B332" s="30" t="s">
        <v>1600</v>
      </c>
      <c r="C332" s="31" t="str">
        <f>'Electrical Essentials'!B15</f>
        <v>Supplying and fixing following rating, four pole, (three phase and neutral), 415 volts, residual current circuit breaker (RCCB), having a sensitivity current upto 300 milliamperes in the existing MCB DB complete with connections, testing and commissioning etc. as required. 40 amps (2.15.2)</v>
      </c>
      <c r="D332" s="31" t="str">
        <f t="shared" si="1"/>
        <v>Supplying and fixing following rating, four pole, (three phase and neutral), 415 volts, residual current circuit breaker (RCCB), having a sensitivity current upto 300 milliamperes in the existing MCB DB complete with connections, testing and commissioning etc. as required. 40 amps (2.15.2) (Code: GWDDR407)</v>
      </c>
      <c r="E332" s="74" t="str">
        <f>'Electrical Essentials'!D15</f>
        <v>each</v>
      </c>
      <c r="F332" s="32" t="s">
        <v>48</v>
      </c>
      <c r="G332" s="59" t="s">
        <v>49</v>
      </c>
      <c r="H332" s="59" t="s">
        <v>1581</v>
      </c>
      <c r="I332" s="29">
        <v>0.0</v>
      </c>
      <c r="J332" s="29">
        <f>'Electrical Essentials'!C15</f>
        <v>2407.52</v>
      </c>
      <c r="K332" s="33">
        <f t="shared" si="2"/>
        <v>0</v>
      </c>
      <c r="L332" s="33">
        <f t="shared" si="3"/>
        <v>2407.52</v>
      </c>
    </row>
    <row r="333">
      <c r="A333" s="29">
        <v>408.0</v>
      </c>
      <c r="B333" s="30" t="s">
        <v>1601</v>
      </c>
      <c r="C333" s="31" t="str">
        <f>'Electrical Essentials'!B16</f>
        <v>Supplying and fixing following rating, four pole, (three phase and neutral), 415 volts, residual current circuit breaker (RCCB), having a sensitivity current upto 300 milliamperes in the existing MCB DB complete with connections, testing and commissioning etc. as required. 63 amps (2.15.3)</v>
      </c>
      <c r="D333" s="31" t="str">
        <f t="shared" si="1"/>
        <v>Supplying and fixing following rating, four pole, (three phase and neutral), 415 volts, residual current circuit breaker (RCCB), having a sensitivity current upto 300 milliamperes in the existing MCB DB complete with connections, testing and commissioning etc. as required. 63 amps (2.15.3) (Code: GWDDR408)</v>
      </c>
      <c r="E333" s="74" t="str">
        <f>'Electrical Essentials'!D16</f>
        <v>each</v>
      </c>
      <c r="F333" s="32" t="s">
        <v>48</v>
      </c>
      <c r="G333" s="59" t="s">
        <v>49</v>
      </c>
      <c r="H333" s="59" t="s">
        <v>1581</v>
      </c>
      <c r="I333" s="29">
        <v>0.0</v>
      </c>
      <c r="J333" s="29">
        <f>'Electrical Essentials'!C16</f>
        <v>2169.52</v>
      </c>
      <c r="K333" s="33">
        <f t="shared" si="2"/>
        <v>0</v>
      </c>
      <c r="L333" s="33">
        <f t="shared" si="3"/>
        <v>2169.52</v>
      </c>
    </row>
    <row r="334">
      <c r="A334" s="29">
        <v>409.0</v>
      </c>
      <c r="B334" s="30" t="s">
        <v>1602</v>
      </c>
      <c r="C334" s="31" t="str">
        <f>'Electrical Essentials'!B17</f>
        <v>Supplying and drawing following sizes of FRLS PVC insulated copper conductor, single core cable in the existing surface / recessed steel/ PVC conduit as required.1 x 1.5 sq. mm(1.17.1)</v>
      </c>
      <c r="D334" s="31" t="str">
        <f t="shared" si="1"/>
        <v>Supplying and drawing following sizes of FRLS PVC insulated copper conductor, single core cable in the existing surface / recessed steel/ PVC conduit as required.1 x 1.5 sq. mm(1.17.1) (Code: GWDDR409)</v>
      </c>
      <c r="E334" s="74" t="str">
        <f>'Electrical Essentials'!D17</f>
        <v>metre</v>
      </c>
      <c r="F334" s="32" t="s">
        <v>48</v>
      </c>
      <c r="G334" s="59" t="s">
        <v>49</v>
      </c>
      <c r="H334" s="59" t="s">
        <v>1581</v>
      </c>
      <c r="I334" s="29">
        <v>0.0</v>
      </c>
      <c r="J334" s="29">
        <f>'Electrical Essentials'!C17</f>
        <v>33.78</v>
      </c>
      <c r="K334" s="33">
        <f t="shared" si="2"/>
        <v>0</v>
      </c>
      <c r="L334" s="33">
        <f t="shared" si="3"/>
        <v>33.78</v>
      </c>
    </row>
    <row r="335">
      <c r="A335" s="29">
        <v>410.0</v>
      </c>
      <c r="B335" s="30" t="s">
        <v>1603</v>
      </c>
      <c r="C335" s="31" t="str">
        <f>'Electrical Essentials'!B18</f>
        <v>Supplying and drawing following sizes of FRLS PVC insulated copper conductor, single core cable in the existing surface / recessed steel/ PVC conduit as required.2 x 1.5 sq. mm(1.17.2)</v>
      </c>
      <c r="D335" s="31" t="str">
        <f t="shared" si="1"/>
        <v>Supplying and drawing following sizes of FRLS PVC insulated copper conductor, single core cable in the existing surface / recessed steel/ PVC conduit as required.2 x 1.5 sq. mm(1.17.2) (Code: GWDDR410)</v>
      </c>
      <c r="E335" s="74" t="str">
        <f>'Electrical Essentials'!D18</f>
        <v>metre</v>
      </c>
      <c r="F335" s="32" t="s">
        <v>48</v>
      </c>
      <c r="G335" s="59" t="s">
        <v>49</v>
      </c>
      <c r="H335" s="59" t="s">
        <v>1581</v>
      </c>
      <c r="I335" s="29">
        <v>0.0</v>
      </c>
      <c r="J335" s="29">
        <f>'Electrical Essentials'!C18</f>
        <v>52.87</v>
      </c>
      <c r="K335" s="33">
        <f t="shared" si="2"/>
        <v>0</v>
      </c>
      <c r="L335" s="33">
        <f t="shared" si="3"/>
        <v>52.87</v>
      </c>
    </row>
    <row r="336">
      <c r="A336" s="29">
        <v>411.0</v>
      </c>
      <c r="B336" s="30" t="s">
        <v>1605</v>
      </c>
      <c r="C336" s="31" t="str">
        <f>'Electrical Essentials'!B19</f>
        <v>Supplying and drawing following sizes of FRLS PVC insulated copper conductor, single core cable in the existing surface / recessed steel/ PVC conduit as required.3 X 1.5 sq.mm(1.17.3)</v>
      </c>
      <c r="D336" s="31" t="str">
        <f t="shared" si="1"/>
        <v>Supplying and drawing following sizes of FRLS PVC insulated copper conductor, single core cable in the existing surface / recessed steel/ PVC conduit as required.3 X 1.5 sq.mm(1.17.3) (Code: GWDDR411)</v>
      </c>
      <c r="E336" s="74" t="str">
        <f>'Electrical Essentials'!D19</f>
        <v>metre</v>
      </c>
      <c r="F336" s="32" t="s">
        <v>48</v>
      </c>
      <c r="G336" s="59" t="s">
        <v>49</v>
      </c>
      <c r="H336" s="59" t="s">
        <v>1581</v>
      </c>
      <c r="I336" s="29">
        <v>0.0</v>
      </c>
      <c r="J336" s="29">
        <f>'Electrical Essentials'!C19</f>
        <v>71.96</v>
      </c>
      <c r="K336" s="33">
        <f t="shared" si="2"/>
        <v>0</v>
      </c>
      <c r="L336" s="33">
        <f t="shared" si="3"/>
        <v>71.96</v>
      </c>
    </row>
    <row r="337">
      <c r="A337" s="29">
        <v>412.0</v>
      </c>
      <c r="B337" s="30" t="s">
        <v>1608</v>
      </c>
      <c r="C337" s="31" t="str">
        <f>'Electrical Essentials'!B20</f>
        <v>Supplying and drawing following sizes of FRLS PVC insulated copper conductor, single core cable in the existing surface / recessed steel/ PVC conduit as required.4 x 1.5 sq. mm(1.17.4)</v>
      </c>
      <c r="D337" s="31" t="str">
        <f t="shared" si="1"/>
        <v>Supplying and drawing following sizes of FRLS PVC insulated copper conductor, single core cable in the existing surface / recessed steel/ PVC conduit as required.4 x 1.5 sq. mm(1.17.4) (Code: GWDDR412)</v>
      </c>
      <c r="E337" s="74" t="str">
        <f>'Electrical Essentials'!D20</f>
        <v>metre</v>
      </c>
      <c r="F337" s="32" t="s">
        <v>48</v>
      </c>
      <c r="G337" s="59" t="s">
        <v>49</v>
      </c>
      <c r="H337" s="59" t="s">
        <v>1581</v>
      </c>
      <c r="I337" s="29">
        <v>0.0</v>
      </c>
      <c r="J337" s="29">
        <f>'Electrical Essentials'!C20</f>
        <v>91.05</v>
      </c>
      <c r="K337" s="33">
        <f t="shared" si="2"/>
        <v>0</v>
      </c>
      <c r="L337" s="33">
        <f t="shared" si="3"/>
        <v>91.05</v>
      </c>
    </row>
    <row r="338">
      <c r="A338" s="29">
        <v>413.0</v>
      </c>
      <c r="B338" s="30" t="s">
        <v>1609</v>
      </c>
      <c r="C338" s="31" t="str">
        <f>'Electrical Essentials'!B21</f>
        <v>Supplying and drawing following sizes of FRLS PVC insulated copper conductor, single core cable in the existing surface / recessed steel/ PVC conduit as required.5 X 1.5 Sq. mm(1.17.5)</v>
      </c>
      <c r="D338" s="31" t="str">
        <f t="shared" si="1"/>
        <v>Supplying and drawing following sizes of FRLS PVC insulated copper conductor, single core cable in the existing surface / recessed steel/ PVC conduit as required.5 X 1.5 Sq. mm(1.17.5) (Code: GWDDR413)</v>
      </c>
      <c r="E338" s="74" t="str">
        <f>'Electrical Essentials'!D21</f>
        <v>metre</v>
      </c>
      <c r="F338" s="32" t="s">
        <v>48</v>
      </c>
      <c r="G338" s="59" t="s">
        <v>49</v>
      </c>
      <c r="H338" s="59" t="s">
        <v>1581</v>
      </c>
      <c r="I338" s="29">
        <v>0.0</v>
      </c>
      <c r="J338" s="29">
        <f>'Electrical Essentials'!C21</f>
        <v>117.48</v>
      </c>
      <c r="K338" s="33">
        <f t="shared" si="2"/>
        <v>0</v>
      </c>
      <c r="L338" s="33">
        <f t="shared" si="3"/>
        <v>117.48</v>
      </c>
    </row>
    <row r="339">
      <c r="A339" s="29">
        <v>414.0</v>
      </c>
      <c r="B339" s="30" t="s">
        <v>1610</v>
      </c>
      <c r="C339" s="31" t="str">
        <f>'Electrical Essentials'!B22</f>
        <v>Supplying and drawing following sizes of FRLS PVC insulated copper conductor, single core cable in the existing surface / recessed steel/ PVC conduit as required.6 x 1.5 sq. mm(1.17.6)</v>
      </c>
      <c r="D339" s="31" t="str">
        <f t="shared" si="1"/>
        <v>Supplying and drawing following sizes of FRLS PVC insulated copper conductor, single core cable in the existing surface / recessed steel/ PVC conduit as required.6 x 1.5 sq. mm(1.17.6) (Code: GWDDR414)</v>
      </c>
      <c r="E339" s="74" t="str">
        <f>'Electrical Essentials'!D22</f>
        <v>metre</v>
      </c>
      <c r="F339" s="32" t="s">
        <v>48</v>
      </c>
      <c r="G339" s="59" t="s">
        <v>49</v>
      </c>
      <c r="H339" s="59" t="s">
        <v>1581</v>
      </c>
      <c r="I339" s="29">
        <v>0.0</v>
      </c>
      <c r="J339" s="29">
        <f>'Electrical Essentials'!C22</f>
        <v>136.57</v>
      </c>
      <c r="K339" s="33">
        <f t="shared" si="2"/>
        <v>0</v>
      </c>
      <c r="L339" s="33">
        <f t="shared" si="3"/>
        <v>136.57</v>
      </c>
    </row>
    <row r="340">
      <c r="A340" s="29">
        <v>415.0</v>
      </c>
      <c r="B340" s="30" t="s">
        <v>1611</v>
      </c>
      <c r="C340" s="31" t="str">
        <f>'Electrical Essentials'!B23</f>
        <v>Supplying and drawing following sizes of FRLS PVC insulated copper conductor, single core cable in the existing surface / recessed steel/ PVC conduit as required.7 x 1.5 sq. mm(1.17.7)</v>
      </c>
      <c r="D340" s="31" t="str">
        <f t="shared" si="1"/>
        <v>Supplying and drawing following sizes of FRLS PVC insulated copper conductor, single core cable in the existing surface / recessed steel/ PVC conduit as required.7 x 1.5 sq. mm(1.17.7) (Code: GWDDR415)</v>
      </c>
      <c r="E340" s="74" t="str">
        <f>'Electrical Essentials'!D23</f>
        <v>metre</v>
      </c>
      <c r="F340" s="32" t="s">
        <v>48</v>
      </c>
      <c r="G340" s="59" t="s">
        <v>49</v>
      </c>
      <c r="H340" s="59" t="s">
        <v>1581</v>
      </c>
      <c r="I340" s="29">
        <v>0.0</v>
      </c>
      <c r="J340" s="29">
        <f>'Electrical Essentials'!C23</f>
        <v>163</v>
      </c>
      <c r="K340" s="33">
        <f t="shared" si="2"/>
        <v>0</v>
      </c>
      <c r="L340" s="33">
        <f t="shared" si="3"/>
        <v>163</v>
      </c>
    </row>
    <row r="341">
      <c r="A341" s="29">
        <v>416.0</v>
      </c>
      <c r="B341" s="30" t="s">
        <v>1612</v>
      </c>
      <c r="C341" s="31" t="str">
        <f>'Electrical Essentials'!B24</f>
        <v>Supplying and drawing following sizes of FRLS PVC insulated copper conductor, single core cable in the existing surface / recessed steel/ PVC conduit as required.8 x 1.5 sq. mm(1.17.8)</v>
      </c>
      <c r="D341" s="31" t="str">
        <f t="shared" si="1"/>
        <v>Supplying and drawing following sizes of FRLS PVC insulated copper conductor, single core cable in the existing surface / recessed steel/ PVC conduit as required.8 x 1.5 sq. mm(1.17.8) (Code: GWDDR416)</v>
      </c>
      <c r="E341" s="74" t="str">
        <f>'Electrical Essentials'!D24</f>
        <v>metre</v>
      </c>
      <c r="F341" s="32" t="s">
        <v>48</v>
      </c>
      <c r="G341" s="59" t="s">
        <v>49</v>
      </c>
      <c r="H341" s="59" t="s">
        <v>1581</v>
      </c>
      <c r="I341" s="29">
        <v>0.0</v>
      </c>
      <c r="J341" s="29">
        <f>'Electrical Essentials'!C24</f>
        <v>182.09</v>
      </c>
      <c r="K341" s="33">
        <f t="shared" si="2"/>
        <v>0</v>
      </c>
      <c r="L341" s="33">
        <f t="shared" si="3"/>
        <v>182.09</v>
      </c>
    </row>
    <row r="342">
      <c r="A342" s="29">
        <v>417.0</v>
      </c>
      <c r="B342" s="30" t="s">
        <v>1614</v>
      </c>
      <c r="C342" s="31" t="str">
        <f>'Electrical Essentials'!B25</f>
        <v>Supplying and drawing following sizes of FRLS PVC insulated copper conductor, single core cable in the existing surface / recessed steel/ PVC conduit as required.9 x 1.5 sq. mm(1.17.9)</v>
      </c>
      <c r="D342" s="31" t="str">
        <f t="shared" si="1"/>
        <v>Supplying and drawing following sizes of FRLS PVC insulated copper conductor, single core cable in the existing surface / recessed steel/ PVC conduit as required.9 x 1.5 sq. mm(1.17.9) (Code: GWDDR417)</v>
      </c>
      <c r="E342" s="74" t="str">
        <f>'Electrical Essentials'!D25</f>
        <v>metre</v>
      </c>
      <c r="F342" s="32" t="s">
        <v>48</v>
      </c>
      <c r="G342" s="59" t="s">
        <v>49</v>
      </c>
      <c r="H342" s="59" t="s">
        <v>1581</v>
      </c>
      <c r="I342" s="29">
        <v>0.0</v>
      </c>
      <c r="J342" s="29">
        <f>'Electrical Essentials'!C25</f>
        <v>215.87</v>
      </c>
      <c r="K342" s="33">
        <f t="shared" si="2"/>
        <v>0</v>
      </c>
      <c r="L342" s="33">
        <f t="shared" si="3"/>
        <v>215.87</v>
      </c>
    </row>
    <row r="343">
      <c r="A343" s="29">
        <v>418.0</v>
      </c>
      <c r="B343" s="30" t="s">
        <v>1616</v>
      </c>
      <c r="C343" s="31" t="str">
        <f>'Electrical Essentials'!B26</f>
        <v>Supplying and drawing following sizes of FRLS PVC insulated copper conductor, single core cable in the existing surface / recessed steel/ PVC conduit as required.10 x 1.5 sq. mm(1.17.10)</v>
      </c>
      <c r="D343" s="31" t="str">
        <f t="shared" si="1"/>
        <v>Supplying and drawing following sizes of FRLS PVC insulated copper conductor, single core cable in the existing surface / recessed steel/ PVC conduit as required.10 x 1.5 sq. mm(1.17.10) (Code: GWDDR418)</v>
      </c>
      <c r="E343" s="74" t="str">
        <f>'Electrical Essentials'!D26</f>
        <v>metre</v>
      </c>
      <c r="F343" s="32" t="s">
        <v>48</v>
      </c>
      <c r="G343" s="59" t="s">
        <v>49</v>
      </c>
      <c r="H343" s="59" t="s">
        <v>1581</v>
      </c>
      <c r="I343" s="29">
        <v>0.0</v>
      </c>
      <c r="J343" s="29">
        <f>'Electrical Essentials'!C26</f>
        <v>234.96</v>
      </c>
      <c r="K343" s="33">
        <f t="shared" si="2"/>
        <v>0</v>
      </c>
      <c r="L343" s="33">
        <f t="shared" si="3"/>
        <v>234.96</v>
      </c>
    </row>
    <row r="344">
      <c r="A344" s="29">
        <v>419.0</v>
      </c>
      <c r="B344" s="30" t="s">
        <v>1618</v>
      </c>
      <c r="C344" s="31" t="str">
        <f>'Electrical Essentials'!B27</f>
        <v>Supplying and drawing following sizes of FRLS PVC insulated copper conductor, single core cable in the existing surface / recessed steel/ PVC conduit as required.2 x 2.5 sq. mm(1.17.11)</v>
      </c>
      <c r="D344" s="31" t="str">
        <f t="shared" si="1"/>
        <v>Supplying and drawing following sizes of FRLS PVC insulated copper conductor, single core cable in the existing surface / recessed steel/ PVC conduit as required.2 x 2.5 sq. mm(1.17.11) (Code: GWDDR419)</v>
      </c>
      <c r="E344" s="74" t="str">
        <f>'Electrical Essentials'!D27</f>
        <v>metre</v>
      </c>
      <c r="F344" s="32" t="s">
        <v>48</v>
      </c>
      <c r="G344" s="59" t="s">
        <v>49</v>
      </c>
      <c r="H344" s="59" t="s">
        <v>1581</v>
      </c>
      <c r="I344" s="29">
        <v>0.0</v>
      </c>
      <c r="J344" s="29">
        <f>'Electrical Essentials'!C27</f>
        <v>74.08</v>
      </c>
      <c r="K344" s="33">
        <f t="shared" si="2"/>
        <v>0</v>
      </c>
      <c r="L344" s="33">
        <f t="shared" si="3"/>
        <v>74.08</v>
      </c>
    </row>
    <row r="345">
      <c r="A345" s="29">
        <v>420.0</v>
      </c>
      <c r="B345" s="30" t="s">
        <v>1621</v>
      </c>
      <c r="C345" s="31" t="str">
        <f>'Electrical Essentials'!B28</f>
        <v>Supplying and drawing following sizes of FRLS PVC insulated copper conductor, single core cable in the existing surface / recessed steel/ PVC conduit as required.3 x 2.5 sq. mm(1.17.12)</v>
      </c>
      <c r="D345" s="31" t="str">
        <f t="shared" si="1"/>
        <v>Supplying and drawing following sizes of FRLS PVC insulated copper conductor, single core cable in the existing surface / recessed steel/ PVC conduit as required.3 x 2.5 sq. mm(1.17.12) (Code: GWDDR420)</v>
      </c>
      <c r="E345" s="74" t="str">
        <f>'Electrical Essentials'!D28</f>
        <v>metre</v>
      </c>
      <c r="F345" s="32" t="s">
        <v>48</v>
      </c>
      <c r="G345" s="59" t="s">
        <v>49</v>
      </c>
      <c r="H345" s="59" t="s">
        <v>1581</v>
      </c>
      <c r="I345" s="29">
        <v>0.0</v>
      </c>
      <c r="J345" s="29">
        <f>'Electrical Essentials'!C28</f>
        <v>103.77</v>
      </c>
      <c r="K345" s="33">
        <f t="shared" si="2"/>
        <v>0</v>
      </c>
      <c r="L345" s="33">
        <f t="shared" si="3"/>
        <v>103.77</v>
      </c>
    </row>
    <row r="346">
      <c r="A346" s="29">
        <v>421.0</v>
      </c>
      <c r="B346" s="30" t="s">
        <v>1622</v>
      </c>
      <c r="C346" s="31" t="str">
        <f>'Electrical Essentials'!B29</f>
        <v>Supplying and drawing following sizes of FRLS PVC insulated copper conductor, single core cable in the existing surface / recessed steel/ PVC conduit as required.4 x 2.5 sq. mm(1.17.13)</v>
      </c>
      <c r="D346" s="31" t="str">
        <f t="shared" si="1"/>
        <v>Supplying and drawing following sizes of FRLS PVC insulated copper conductor, single core cable in the existing surface / recessed steel/ PVC conduit as required.4 x 2.5 sq. mm(1.17.13) (Code: GWDDR421)</v>
      </c>
      <c r="E346" s="74" t="str">
        <f>'Electrical Essentials'!D29</f>
        <v>metre</v>
      </c>
      <c r="F346" s="32" t="s">
        <v>48</v>
      </c>
      <c r="G346" s="59" t="s">
        <v>49</v>
      </c>
      <c r="H346" s="59" t="s">
        <v>1581</v>
      </c>
      <c r="I346" s="29">
        <v>0.0</v>
      </c>
      <c r="J346" s="29">
        <f>'Electrical Essentials'!C29</f>
        <v>133.47</v>
      </c>
      <c r="K346" s="33">
        <f t="shared" si="2"/>
        <v>0</v>
      </c>
      <c r="L346" s="33">
        <f t="shared" si="3"/>
        <v>133.47</v>
      </c>
    </row>
    <row r="347">
      <c r="A347" s="29">
        <v>422.0</v>
      </c>
      <c r="B347" s="30" t="s">
        <v>1623</v>
      </c>
      <c r="C347" s="31" t="str">
        <f>'Electrical Essentials'!B30</f>
        <v>Supplying and drawing following sizes of FRLS PVC insulated copper conductor, single core cable in the existing surface / recessed steel/ PVC conduit as required.5 x 2.5 sq. mm(1.17.14)</v>
      </c>
      <c r="D347" s="31" t="str">
        <f t="shared" si="1"/>
        <v>Supplying and drawing following sizes of FRLS PVC insulated copper conductor, single core cable in the existing surface / recessed steel/ PVC conduit as required.5 x 2.5 sq. mm(1.17.14) (Code: GWDDR422)</v>
      </c>
      <c r="E347" s="74" t="str">
        <f>'Electrical Essentials'!D30</f>
        <v>metre</v>
      </c>
      <c r="F347" s="32" t="s">
        <v>48</v>
      </c>
      <c r="G347" s="59" t="s">
        <v>49</v>
      </c>
      <c r="H347" s="59" t="s">
        <v>1581</v>
      </c>
      <c r="I347" s="29">
        <v>0.0</v>
      </c>
      <c r="J347" s="29">
        <f>'Electrical Essentials'!C30</f>
        <v>170.51</v>
      </c>
      <c r="K347" s="33">
        <f t="shared" si="2"/>
        <v>0</v>
      </c>
      <c r="L347" s="33">
        <f t="shared" si="3"/>
        <v>170.51</v>
      </c>
    </row>
    <row r="348">
      <c r="A348" s="29">
        <v>423.0</v>
      </c>
      <c r="B348" s="30" t="s">
        <v>1624</v>
      </c>
      <c r="C348" s="31" t="str">
        <f>'Electrical Essentials'!B31</f>
        <v>Supplying and drawing following sizes of FRLS PVC insulated copper conductor, single core cable in the existing surface / recessed steel/ PVC conduit as required.6 x 2.5 sq. mm(1.17.15)</v>
      </c>
      <c r="D348" s="31" t="str">
        <f t="shared" si="1"/>
        <v>Supplying and drawing following sizes of FRLS PVC insulated copper conductor, single core cable in the existing surface / recessed steel/ PVC conduit as required.6 x 2.5 sq. mm(1.17.15) (Code: GWDDR423)</v>
      </c>
      <c r="E348" s="74" t="str">
        <f>'Electrical Essentials'!D31</f>
        <v>metre</v>
      </c>
      <c r="F348" s="32" t="s">
        <v>48</v>
      </c>
      <c r="G348" s="59" t="s">
        <v>49</v>
      </c>
      <c r="H348" s="59" t="s">
        <v>1581</v>
      </c>
      <c r="I348" s="29">
        <v>0.0</v>
      </c>
      <c r="J348" s="29">
        <f>'Electrical Essentials'!C31</f>
        <v>200.2</v>
      </c>
      <c r="K348" s="33">
        <f t="shared" si="2"/>
        <v>0</v>
      </c>
      <c r="L348" s="33">
        <f t="shared" si="3"/>
        <v>200.2</v>
      </c>
    </row>
    <row r="349">
      <c r="A349" s="29">
        <v>424.0</v>
      </c>
      <c r="B349" s="30" t="s">
        <v>1625</v>
      </c>
      <c r="C349" s="31" t="str">
        <f>'Electrical Essentials'!B32</f>
        <v>Supplying and drawing following sizes of FRLS PVC insulated copper conductor, single core cable in the existing surface / recessed steel/ PVC conduit as required.7 x 2.5 sq. mm(1.17.16)</v>
      </c>
      <c r="D349" s="31" t="str">
        <f t="shared" si="1"/>
        <v>Supplying and drawing following sizes of FRLS PVC insulated copper conductor, single core cable in the existing surface / recessed steel/ PVC conduit as required.7 x 2.5 sq. mm(1.17.16) (Code: GWDDR424)</v>
      </c>
      <c r="E349" s="74" t="str">
        <f>'Electrical Essentials'!D32</f>
        <v>metre</v>
      </c>
      <c r="F349" s="32" t="s">
        <v>48</v>
      </c>
      <c r="G349" s="59" t="s">
        <v>49</v>
      </c>
      <c r="H349" s="59" t="s">
        <v>1581</v>
      </c>
      <c r="I349" s="29">
        <v>0.0</v>
      </c>
      <c r="J349" s="29">
        <f>'Electrical Essentials'!C32</f>
        <v>237.24</v>
      </c>
      <c r="K349" s="33">
        <f t="shared" si="2"/>
        <v>0</v>
      </c>
      <c r="L349" s="33">
        <f t="shared" si="3"/>
        <v>237.24</v>
      </c>
    </row>
    <row r="350">
      <c r="A350" s="29">
        <v>425.0</v>
      </c>
      <c r="B350" s="30" t="s">
        <v>1628</v>
      </c>
      <c r="C350" s="31" t="str">
        <f>'Electrical Essentials'!B33</f>
        <v>Supplying and drawing following sizes of FRLS PVC insulated copper conductor, single core cable in the existing surface / recessed steel/ PVC conduit as required.8 x 2.5 sq. mm(1.17.17)</v>
      </c>
      <c r="D350" s="31" t="str">
        <f t="shared" si="1"/>
        <v>Supplying and drawing following sizes of FRLS PVC insulated copper conductor, single core cable in the existing surface / recessed steel/ PVC conduit as required.8 x 2.5 sq. mm(1.17.17) (Code: GWDDR425)</v>
      </c>
      <c r="E350" s="74" t="str">
        <f>'Electrical Essentials'!D33</f>
        <v>metre</v>
      </c>
      <c r="F350" s="32" t="s">
        <v>48</v>
      </c>
      <c r="G350" s="59" t="s">
        <v>49</v>
      </c>
      <c r="H350" s="59" t="s">
        <v>1581</v>
      </c>
      <c r="I350" s="29">
        <v>0.0</v>
      </c>
      <c r="J350" s="29">
        <f>'Electrical Essentials'!C33</f>
        <v>266.93</v>
      </c>
      <c r="K350" s="33">
        <f t="shared" si="2"/>
        <v>0</v>
      </c>
      <c r="L350" s="33">
        <f t="shared" si="3"/>
        <v>266.93</v>
      </c>
    </row>
    <row r="351">
      <c r="A351" s="29">
        <v>426.0</v>
      </c>
      <c r="B351" s="30" t="s">
        <v>1634</v>
      </c>
      <c r="C351" s="31" t="str">
        <f>'Electrical Essentials'!B34</f>
        <v>Supplying and drawing following sizes of FRLS PVC insulated copper conductor, single core cable in the existing surface / recessed steel/ PVC conduit as required.9 x 2.5 sq. mm(1.17.18)</v>
      </c>
      <c r="D351" s="31" t="str">
        <f t="shared" si="1"/>
        <v>Supplying and drawing following sizes of FRLS PVC insulated copper conductor, single core cable in the existing surface / recessed steel/ PVC conduit as required.9 x 2.5 sq. mm(1.17.18) (Code: GWDDR426)</v>
      </c>
      <c r="E351" s="74" t="str">
        <f>'Electrical Essentials'!D34</f>
        <v>metre</v>
      </c>
      <c r="F351" s="32" t="s">
        <v>48</v>
      </c>
      <c r="G351" s="59" t="s">
        <v>49</v>
      </c>
      <c r="H351" s="59" t="s">
        <v>1581</v>
      </c>
      <c r="I351" s="29">
        <v>0.0</v>
      </c>
      <c r="J351" s="29">
        <f>'Electrical Essentials'!C34</f>
        <v>311.32</v>
      </c>
      <c r="K351" s="33">
        <f t="shared" si="2"/>
        <v>0</v>
      </c>
      <c r="L351" s="33">
        <f t="shared" si="3"/>
        <v>311.32</v>
      </c>
    </row>
    <row r="352">
      <c r="A352" s="29">
        <v>427.0</v>
      </c>
      <c r="B352" s="30" t="s">
        <v>1635</v>
      </c>
      <c r="C352" s="31" t="str">
        <f>'Electrical Essentials'!B35</f>
        <v>Supplying and drawing following sizes of FRLS PVC insulated copper conductor, single core cable in the existing surface / recessed steel/ PVC conduit as required.10 x 2.5 sq. mm(1.17.19)</v>
      </c>
      <c r="D352" s="31" t="str">
        <f t="shared" si="1"/>
        <v>Supplying and drawing following sizes of FRLS PVC insulated copper conductor, single core cable in the existing surface / recessed steel/ PVC conduit as required.10 x 2.5 sq. mm(1.17.19) (Code: GWDDR427)</v>
      </c>
      <c r="E352" s="74" t="str">
        <f>'Electrical Essentials'!D35</f>
        <v>metre</v>
      </c>
      <c r="F352" s="32" t="s">
        <v>48</v>
      </c>
      <c r="G352" s="59" t="s">
        <v>49</v>
      </c>
      <c r="H352" s="59" t="s">
        <v>1581</v>
      </c>
      <c r="I352" s="29">
        <v>0.0</v>
      </c>
      <c r="J352" s="29">
        <f>'Electrical Essentials'!C35</f>
        <v>341.01</v>
      </c>
      <c r="K352" s="33">
        <f t="shared" si="2"/>
        <v>0</v>
      </c>
      <c r="L352" s="33">
        <f t="shared" si="3"/>
        <v>341.01</v>
      </c>
    </row>
    <row r="353">
      <c r="A353" s="29">
        <v>428.0</v>
      </c>
      <c r="B353" s="30" t="s">
        <v>1636</v>
      </c>
      <c r="C353" s="31" t="str">
        <f>'Electrical Essentials'!B36</f>
        <v>Supplying and drawing following sizes of FRLS PVC insulated copper conductor, single core cable in the existing surface / recessed steel/ PVC conduit as required.2 x 4 sq. mm(1.17.20)</v>
      </c>
      <c r="D353" s="31" t="str">
        <f t="shared" si="1"/>
        <v>Supplying and drawing following sizes of FRLS PVC insulated copper conductor, single core cable in the existing surface / recessed steel/ PVC conduit as required.2 x 4 sq. mm(1.17.20) (Code: GWDDR428)</v>
      </c>
      <c r="E353" s="74" t="str">
        <f>'Electrical Essentials'!D36</f>
        <v>metre</v>
      </c>
      <c r="F353" s="32" t="s">
        <v>48</v>
      </c>
      <c r="G353" s="59" t="s">
        <v>49</v>
      </c>
      <c r="H353" s="59" t="s">
        <v>1581</v>
      </c>
      <c r="I353" s="29">
        <v>0.0</v>
      </c>
      <c r="J353" s="29">
        <f>'Electrical Essentials'!C36</f>
        <v>111.12</v>
      </c>
      <c r="K353" s="33">
        <f t="shared" si="2"/>
        <v>0</v>
      </c>
      <c r="L353" s="33">
        <f t="shared" si="3"/>
        <v>111.12</v>
      </c>
    </row>
    <row r="354">
      <c r="A354" s="29">
        <v>429.0</v>
      </c>
      <c r="B354" s="30" t="s">
        <v>1637</v>
      </c>
      <c r="C354" s="31" t="str">
        <f>'Electrical Essentials'!B37</f>
        <v>Supplying and drawing following sizes of FRLS PVC insulated copper conductor, single core cable in the existing surface / recessed steel/ PVC conduit as required.3 x 4 sq. mm(1.17.21)</v>
      </c>
      <c r="D354" s="31" t="str">
        <f t="shared" si="1"/>
        <v>Supplying and drawing following sizes of FRLS PVC insulated copper conductor, single core cable in the existing surface / recessed steel/ PVC conduit as required.3 x 4 sq. mm(1.17.21) (Code: GWDDR429)</v>
      </c>
      <c r="E354" s="74" t="str">
        <f>'Electrical Essentials'!D37</f>
        <v>metre</v>
      </c>
      <c r="F354" s="32" t="s">
        <v>48</v>
      </c>
      <c r="G354" s="59" t="s">
        <v>49</v>
      </c>
      <c r="H354" s="59" t="s">
        <v>1581</v>
      </c>
      <c r="I354" s="29">
        <v>0.0</v>
      </c>
      <c r="J354" s="29">
        <f>'Electrical Essentials'!C37</f>
        <v>155.66</v>
      </c>
      <c r="K354" s="33">
        <f t="shared" si="2"/>
        <v>0</v>
      </c>
      <c r="L354" s="33">
        <f t="shared" si="3"/>
        <v>155.66</v>
      </c>
    </row>
    <row r="355">
      <c r="A355" s="29">
        <v>430.0</v>
      </c>
      <c r="B355" s="30" t="s">
        <v>1638</v>
      </c>
      <c r="C355" s="31" t="str">
        <f>'Electrical Essentials'!B38</f>
        <v>Supplying and drawing following sizes of FRLS PVC insulated copper conductor, single core cable in the existing surface / recessed steel/ PVC conduit as required.4 x 4 sq. mm(1.17.22)</v>
      </c>
      <c r="D355" s="31" t="str">
        <f t="shared" si="1"/>
        <v>Supplying and drawing following sizes of FRLS PVC insulated copper conductor, single core cable in the existing surface / recessed steel/ PVC conduit as required.4 x 4 sq. mm(1.17.22) (Code: GWDDR430)</v>
      </c>
      <c r="E355" s="74" t="str">
        <f>'Electrical Essentials'!D38</f>
        <v>metre</v>
      </c>
      <c r="F355" s="32" t="s">
        <v>48</v>
      </c>
      <c r="G355" s="59" t="s">
        <v>49</v>
      </c>
      <c r="H355" s="59" t="s">
        <v>1581</v>
      </c>
      <c r="I355" s="29">
        <v>0.0</v>
      </c>
      <c r="J355" s="29">
        <f>'Electrical Essentials'!C38</f>
        <v>207.54</v>
      </c>
      <c r="K355" s="33">
        <f t="shared" si="2"/>
        <v>0</v>
      </c>
      <c r="L355" s="33">
        <f t="shared" si="3"/>
        <v>207.54</v>
      </c>
    </row>
    <row r="356">
      <c r="A356" s="29">
        <v>431.0</v>
      </c>
      <c r="B356" s="30" t="s">
        <v>1639</v>
      </c>
      <c r="C356" s="31" t="str">
        <f>'Electrical Essentials'!B39</f>
        <v>Supplying and drawing following sizes of FRLS PVC insulated copper conductor, single core cable in the existing surface / recessed steel/ PVC conduit as required.5 x 4 sq. mm(1.17.23)</v>
      </c>
      <c r="D356" s="31" t="str">
        <f t="shared" si="1"/>
        <v>Supplying and drawing following sizes of FRLS PVC insulated copper conductor, single core cable in the existing surface / recessed steel/ PVC conduit as required.5 x 4 sq. mm(1.17.23) (Code: GWDDR431)</v>
      </c>
      <c r="E356" s="74" t="str">
        <f>'Electrical Essentials'!D39</f>
        <v>metre</v>
      </c>
      <c r="F356" s="32" t="s">
        <v>48</v>
      </c>
      <c r="G356" s="59" t="s">
        <v>49</v>
      </c>
      <c r="H356" s="59" t="s">
        <v>1581</v>
      </c>
      <c r="I356" s="29">
        <v>0.0</v>
      </c>
      <c r="J356" s="29">
        <f>'Electrical Essentials'!C39</f>
        <v>255.03</v>
      </c>
      <c r="K356" s="33">
        <f t="shared" si="2"/>
        <v>0</v>
      </c>
      <c r="L356" s="33">
        <f t="shared" si="3"/>
        <v>255.03</v>
      </c>
    </row>
    <row r="357">
      <c r="A357" s="29">
        <v>432.0</v>
      </c>
      <c r="B357" s="30" t="s">
        <v>1642</v>
      </c>
      <c r="C357" s="31" t="str">
        <f>'Electrical Essentials'!B40</f>
        <v>Supplying and drawing following sizes of FRLS PVC insulated copper conductor, single core cable in the existing surface / recessed steel/ PVC conduit as required.6 x 4 sq. mm(1.17.24)</v>
      </c>
      <c r="D357" s="31" t="str">
        <f t="shared" si="1"/>
        <v>Supplying and drawing following sizes of FRLS PVC insulated copper conductor, single core cable in the existing surface / recessed steel/ PVC conduit as required.6 x 4 sq. mm(1.17.24) (Code: GWDDR432)</v>
      </c>
      <c r="E357" s="74" t="str">
        <f>'Electrical Essentials'!D40</f>
        <v>metre</v>
      </c>
      <c r="F357" s="32" t="s">
        <v>48</v>
      </c>
      <c r="G357" s="59" t="s">
        <v>49</v>
      </c>
      <c r="H357" s="59" t="s">
        <v>1581</v>
      </c>
      <c r="I357" s="29">
        <v>0.0</v>
      </c>
      <c r="J357" s="29">
        <f>'Electrical Essentials'!C40</f>
        <v>299.56</v>
      </c>
      <c r="K357" s="33">
        <f t="shared" si="2"/>
        <v>0</v>
      </c>
      <c r="L357" s="33">
        <f t="shared" si="3"/>
        <v>299.56</v>
      </c>
    </row>
    <row r="358">
      <c r="A358" s="29">
        <v>433.0</v>
      </c>
      <c r="B358" s="30" t="s">
        <v>1644</v>
      </c>
      <c r="C358" s="31" t="str">
        <f>'Electrical Essentials'!B41</f>
        <v>Supplying and drawing following sizes of FRLS PVC insulated copper conductor, single core cable in the existing surface / recessed steel/ PVC conduit as required.7 x 4 sq. mm(1.17.25)</v>
      </c>
      <c r="D358" s="31" t="str">
        <f t="shared" si="1"/>
        <v>Supplying and drawing following sizes of FRLS PVC insulated copper conductor, single core cable in the existing surface / recessed steel/ PVC conduit as required.7 x 4 sq. mm(1.17.25) (Code: GWDDR433)</v>
      </c>
      <c r="E358" s="74" t="str">
        <f>'Electrical Essentials'!D41</f>
        <v>metre</v>
      </c>
      <c r="F358" s="32" t="s">
        <v>48</v>
      </c>
      <c r="G358" s="59" t="s">
        <v>49</v>
      </c>
      <c r="H358" s="59" t="s">
        <v>1581</v>
      </c>
      <c r="I358" s="29">
        <v>0.0</v>
      </c>
      <c r="J358" s="29">
        <f>'Electrical Essentials'!C41</f>
        <v>345.58</v>
      </c>
      <c r="K358" s="33">
        <f t="shared" si="2"/>
        <v>0</v>
      </c>
      <c r="L358" s="33">
        <f t="shared" si="3"/>
        <v>345.58</v>
      </c>
    </row>
    <row r="359">
      <c r="A359" s="29">
        <v>434.0</v>
      </c>
      <c r="B359" s="30" t="s">
        <v>1646</v>
      </c>
      <c r="C359" s="31" t="str">
        <f>'Electrical Essentials'!B42</f>
        <v>Supplying and drawing following sizes of FRLS PVC insulated copper conductor, single core cable in the existing surface / recessed steel/ PVC conduit as required.8 x 4 sq. mm(1.17.26)</v>
      </c>
      <c r="D359" s="31" t="str">
        <f t="shared" si="1"/>
        <v>Supplying and drawing following sizes of FRLS PVC insulated copper conductor, single core cable in the existing surface / recessed steel/ PVC conduit as required.8 x 4 sq. mm(1.17.26) (Code: GWDDR434)</v>
      </c>
      <c r="E359" s="74" t="str">
        <f>'Electrical Essentials'!D42</f>
        <v>metre</v>
      </c>
      <c r="F359" s="32" t="s">
        <v>48</v>
      </c>
      <c r="G359" s="59" t="s">
        <v>49</v>
      </c>
      <c r="H359" s="59" t="s">
        <v>1581</v>
      </c>
      <c r="I359" s="29">
        <v>0.0</v>
      </c>
      <c r="J359" s="29">
        <f>'Electrical Essentials'!C42</f>
        <v>390.12</v>
      </c>
      <c r="K359" s="33">
        <f t="shared" si="2"/>
        <v>0</v>
      </c>
      <c r="L359" s="33">
        <f t="shared" si="3"/>
        <v>390.12</v>
      </c>
    </row>
    <row r="360">
      <c r="A360" s="29">
        <v>435.0</v>
      </c>
      <c r="B360" s="30" t="s">
        <v>1647</v>
      </c>
      <c r="C360" s="31" t="str">
        <f>'Electrical Essentials'!B43</f>
        <v>Supplying and drawing following sizes of FRLS PVC insulated copper conductor, single core cable in the existing surface / recessed steel/ PVC conduit as required.9 x 4 sq. mm(1.17.27)</v>
      </c>
      <c r="D360" s="31" t="str">
        <f t="shared" si="1"/>
        <v>Supplying and drawing following sizes of FRLS PVC insulated copper conductor, single core cable in the existing surface / recessed steel/ PVC conduit as required.9 x 4 sq. mm(1.17.27) (Code: GWDDR435)</v>
      </c>
      <c r="E360" s="74" t="str">
        <f>'Electrical Essentials'!D43</f>
        <v>metre</v>
      </c>
      <c r="F360" s="32" t="s">
        <v>48</v>
      </c>
      <c r="G360" s="59" t="s">
        <v>49</v>
      </c>
      <c r="H360" s="59" t="s">
        <v>1581</v>
      </c>
      <c r="I360" s="29">
        <v>0.0</v>
      </c>
      <c r="J360" s="29">
        <f>'Electrical Essentials'!C43</f>
        <v>437.6</v>
      </c>
      <c r="K360" s="33">
        <f t="shared" si="2"/>
        <v>0</v>
      </c>
      <c r="L360" s="33">
        <f t="shared" si="3"/>
        <v>437.6</v>
      </c>
    </row>
    <row r="361">
      <c r="A361" s="29">
        <v>436.0</v>
      </c>
      <c r="B361" s="30" t="s">
        <v>1648</v>
      </c>
      <c r="C361" s="31" t="str">
        <f>'Electrical Essentials'!B44</f>
        <v>Supplying and drawing following sizes of FRLS PVC insulated copper conductor, single core cable in the existing surface / recessed steel/ PVC conduit as required.10 x 4 sq. mm(1.17.28)</v>
      </c>
      <c r="D361" s="31" t="str">
        <f t="shared" si="1"/>
        <v>Supplying and drawing following sizes of FRLS PVC insulated copper conductor, single core cable in the existing surface / recessed steel/ PVC conduit as required.10 x 4 sq. mm(1.17.28) (Code: GWDDR436)</v>
      </c>
      <c r="E361" s="74" t="str">
        <f>'Electrical Essentials'!D44</f>
        <v>metre</v>
      </c>
      <c r="F361" s="32" t="s">
        <v>48</v>
      </c>
      <c r="G361" s="59" t="s">
        <v>49</v>
      </c>
      <c r="H361" s="59" t="s">
        <v>1581</v>
      </c>
      <c r="I361" s="29">
        <v>0.0</v>
      </c>
      <c r="J361" s="29">
        <f>'Electrical Essentials'!C44</f>
        <v>489.48</v>
      </c>
      <c r="K361" s="33">
        <f t="shared" si="2"/>
        <v>0</v>
      </c>
      <c r="L361" s="33">
        <f t="shared" si="3"/>
        <v>489.48</v>
      </c>
    </row>
    <row r="362">
      <c r="A362" s="29">
        <v>437.0</v>
      </c>
      <c r="B362" s="30" t="s">
        <v>1649</v>
      </c>
      <c r="C362" s="31" t="str">
        <f>'Electrical Essentials'!B45</f>
        <v>Supplying and drawing following sizes of FRLS PVC insulated copper conductor, single core cable in the existing surface / recessed steel/ PVC conduit as required.2 x 6 sq. mm(1.17.29)</v>
      </c>
      <c r="D362" s="31" t="str">
        <f t="shared" si="1"/>
        <v>Supplying and drawing following sizes of FRLS PVC insulated copper conductor, single core cable in the existing surface / recessed steel/ PVC conduit as required.2 x 6 sq. mm(1.17.29) (Code: GWDDR437)</v>
      </c>
      <c r="E362" s="74" t="str">
        <f>'Electrical Essentials'!D45</f>
        <v>metre</v>
      </c>
      <c r="F362" s="32" t="s">
        <v>48</v>
      </c>
      <c r="G362" s="59" t="s">
        <v>49</v>
      </c>
      <c r="H362" s="59" t="s">
        <v>1581</v>
      </c>
      <c r="I362" s="29">
        <v>0.0</v>
      </c>
      <c r="J362" s="29">
        <f>'Electrical Essentials'!C45</f>
        <v>163</v>
      </c>
      <c r="K362" s="33">
        <f t="shared" si="2"/>
        <v>0</v>
      </c>
      <c r="L362" s="33">
        <f t="shared" si="3"/>
        <v>163</v>
      </c>
    </row>
    <row r="363">
      <c r="A363" s="29">
        <v>438.0</v>
      </c>
      <c r="B363" s="30" t="s">
        <v>1650</v>
      </c>
      <c r="C363" s="31" t="str">
        <f>'Electrical Essentials'!B46</f>
        <v>Supplying and drawing following sizes of FRLS PVC insulated copper conductor, single core cable in the existing surface / recessed steel/ PVC conduit as required.3 x 6 sq. mm(1.17.30)</v>
      </c>
      <c r="D363" s="31" t="str">
        <f t="shared" si="1"/>
        <v>Supplying and drawing following sizes of FRLS PVC insulated copper conductor, single core cable in the existing surface / recessed steel/ PVC conduit as required.3 x 6 sq. mm(1.17.30) (Code: GWDDR438)</v>
      </c>
      <c r="E363" s="74" t="str">
        <f>'Electrical Essentials'!D46</f>
        <v>metre</v>
      </c>
      <c r="F363" s="32" t="s">
        <v>48</v>
      </c>
      <c r="G363" s="59" t="s">
        <v>49</v>
      </c>
      <c r="H363" s="59" t="s">
        <v>1581</v>
      </c>
      <c r="I363" s="29">
        <v>0.0</v>
      </c>
      <c r="J363" s="29">
        <f>'Electrical Essentials'!C46</f>
        <v>229.82</v>
      </c>
      <c r="K363" s="33">
        <f t="shared" si="2"/>
        <v>0</v>
      </c>
      <c r="L363" s="33">
        <f t="shared" si="3"/>
        <v>229.82</v>
      </c>
    </row>
    <row r="364">
      <c r="A364" s="29">
        <v>439.0</v>
      </c>
      <c r="B364" s="30" t="s">
        <v>1652</v>
      </c>
      <c r="C364" s="31" t="str">
        <f>'Electrical Essentials'!B47</f>
        <v>Supplying and drawing following sizes of FRLS PVC insulated copper conductor, single core cable in the existing surface / recessed steel/ PVC conduit as required.4 x 6 sq. mm(1.17.31)</v>
      </c>
      <c r="D364" s="31" t="str">
        <f t="shared" si="1"/>
        <v>Supplying and drawing following sizes of FRLS PVC insulated copper conductor, single core cable in the existing surface / recessed steel/ PVC conduit as required.4 x 6 sq. mm(1.17.31) (Code: GWDDR439)</v>
      </c>
      <c r="E364" s="74" t="str">
        <f>'Electrical Essentials'!D47</f>
        <v>metre</v>
      </c>
      <c r="F364" s="32" t="s">
        <v>48</v>
      </c>
      <c r="G364" s="59" t="s">
        <v>49</v>
      </c>
      <c r="H364" s="59" t="s">
        <v>1581</v>
      </c>
      <c r="I364" s="29">
        <v>0.0</v>
      </c>
      <c r="J364" s="29">
        <f>'Electrical Essentials'!C47</f>
        <v>303.97</v>
      </c>
      <c r="K364" s="33">
        <f t="shared" si="2"/>
        <v>0</v>
      </c>
      <c r="L364" s="33">
        <f t="shared" si="3"/>
        <v>303.97</v>
      </c>
    </row>
    <row r="365">
      <c r="A365" s="29">
        <v>440.0</v>
      </c>
      <c r="B365" s="30" t="s">
        <v>1653</v>
      </c>
      <c r="C365" s="31" t="str">
        <f>'Electrical Essentials'!B48</f>
        <v>Supplying and drawing following sizes of FRLS PVC insulated copper conductor, single core cable in the existing surface / recessed steel/ PVC conduit as required.5 x 6 sq. mm(1.17.32)</v>
      </c>
      <c r="D365" s="31" t="str">
        <f t="shared" si="1"/>
        <v>Supplying and drawing following sizes of FRLS PVC insulated copper conductor, single core cable in the existing surface / recessed steel/ PVC conduit as required.5 x 6 sq. mm(1.17.32) (Code: GWDDR440)</v>
      </c>
      <c r="E365" s="74" t="str">
        <f>'Electrical Essentials'!D48</f>
        <v>metre</v>
      </c>
      <c r="F365" s="32" t="s">
        <v>48</v>
      </c>
      <c r="G365" s="59" t="s">
        <v>49</v>
      </c>
      <c r="H365" s="59" t="s">
        <v>1581</v>
      </c>
      <c r="I365" s="29">
        <v>0.0</v>
      </c>
      <c r="J365" s="29">
        <f>'Electrical Essentials'!C48</f>
        <v>370.79</v>
      </c>
      <c r="K365" s="33">
        <f t="shared" si="2"/>
        <v>0</v>
      </c>
      <c r="L365" s="33">
        <f t="shared" si="3"/>
        <v>370.79</v>
      </c>
    </row>
    <row r="366">
      <c r="A366" s="29">
        <v>441.0</v>
      </c>
      <c r="B366" s="30" t="s">
        <v>1654</v>
      </c>
      <c r="C366" s="31" t="str">
        <f>'Electrical Essentials'!B49</f>
        <v>Supplying and drawing following sizes of FRLS PVC insulated copper conductor, single core cable in the existing surface / recessed steel/ PVC conduit as required.6 x 6 sq. mm(1.17.33)</v>
      </c>
      <c r="D366" s="31" t="str">
        <f t="shared" si="1"/>
        <v>Supplying and drawing following sizes of FRLS PVC insulated copper conductor, single core cable in the existing surface / recessed steel/ PVC conduit as required.6 x 6 sq. mm(1.17.33) (Code: GWDDR441)</v>
      </c>
      <c r="E366" s="74" t="str">
        <f>'Electrical Essentials'!D49</f>
        <v>metre</v>
      </c>
      <c r="F366" s="32" t="s">
        <v>48</v>
      </c>
      <c r="G366" s="59" t="s">
        <v>49</v>
      </c>
      <c r="H366" s="59" t="s">
        <v>1581</v>
      </c>
      <c r="I366" s="29">
        <v>0.0</v>
      </c>
      <c r="J366" s="29">
        <f>'Electrical Essentials'!C49</f>
        <v>452.28</v>
      </c>
      <c r="K366" s="33">
        <f t="shared" si="2"/>
        <v>0</v>
      </c>
      <c r="L366" s="33">
        <f t="shared" si="3"/>
        <v>452.28</v>
      </c>
    </row>
    <row r="367">
      <c r="A367" s="29">
        <v>442.0</v>
      </c>
      <c r="B367" s="30" t="s">
        <v>1655</v>
      </c>
      <c r="C367" s="31" t="str">
        <f>'Electrical Essentials'!B50</f>
        <v>Supplying and drawing following sizes of FRLS PVC insulated copper conductor, single core cable in the existing surface / recessed steel/ PVC conduit as required.7 x 6 sq. mm(1.17.34)</v>
      </c>
      <c r="D367" s="31" t="str">
        <f t="shared" si="1"/>
        <v>Supplying and drawing following sizes of FRLS PVC insulated copper conductor, single core cable in the existing surface / recessed steel/ PVC conduit as required.7 x 6 sq. mm(1.17.34) (Code: GWDDR442)</v>
      </c>
      <c r="E367" s="74" t="str">
        <f>'Electrical Essentials'!D50</f>
        <v>metre</v>
      </c>
      <c r="F367" s="32" t="s">
        <v>48</v>
      </c>
      <c r="G367" s="59" t="s">
        <v>49</v>
      </c>
      <c r="H367" s="59" t="s">
        <v>1581</v>
      </c>
      <c r="I367" s="29">
        <v>0.0</v>
      </c>
      <c r="J367" s="29">
        <f>'Electrical Essentials'!C50</f>
        <v>519.1</v>
      </c>
      <c r="K367" s="33">
        <f t="shared" si="2"/>
        <v>0</v>
      </c>
      <c r="L367" s="33">
        <f t="shared" si="3"/>
        <v>519.1</v>
      </c>
    </row>
    <row r="368">
      <c r="A368" s="29">
        <v>443.0</v>
      </c>
      <c r="B368" s="30" t="s">
        <v>1656</v>
      </c>
      <c r="C368" s="31" t="str">
        <f>'Electrical Essentials'!B51</f>
        <v>Supplying and drawing following sizes of FRLS PVC insulated copper conductor, single core cable in the existing surface / recessed steel/ PVC conduit as required.8 x 6 sq. mm(1.17.35)</v>
      </c>
      <c r="D368" s="31" t="str">
        <f t="shared" si="1"/>
        <v>Supplying and drawing following sizes of FRLS PVC insulated copper conductor, single core cable in the existing surface / recessed steel/ PVC conduit as required.8 x 6 sq. mm(1.17.35) (Code: GWDDR443)</v>
      </c>
      <c r="E368" s="74" t="str">
        <f>'Electrical Essentials'!D51</f>
        <v>metre</v>
      </c>
      <c r="F368" s="32" t="s">
        <v>48</v>
      </c>
      <c r="G368" s="59" t="s">
        <v>49</v>
      </c>
      <c r="H368" s="59" t="s">
        <v>1581</v>
      </c>
      <c r="I368" s="29">
        <v>0.0</v>
      </c>
      <c r="J368" s="29">
        <f>'Electrical Essentials'!C51</f>
        <v>593.25</v>
      </c>
      <c r="K368" s="33">
        <f t="shared" si="2"/>
        <v>0</v>
      </c>
      <c r="L368" s="33">
        <f t="shared" si="3"/>
        <v>593.25</v>
      </c>
    </row>
    <row r="369">
      <c r="A369" s="29">
        <v>444.0</v>
      </c>
      <c r="B369" s="30" t="s">
        <v>1657</v>
      </c>
      <c r="C369" s="31" t="str">
        <f>'Electrical Essentials'!B52</f>
        <v>Supplying and drawing following sizes of FRLS PVC insulated copper conductor, single core cable in the existing surface / recessed steel/ PVC conduit as required.9 x 6 sq. mm(1.17.36)</v>
      </c>
      <c r="D369" s="31" t="str">
        <f t="shared" si="1"/>
        <v>Supplying and drawing following sizes of FRLS PVC insulated copper conductor, single core cable in the existing surface / recessed steel/ PVC conduit as required.9 x 6 sq. mm(1.17.36) (Code: GWDDR444)</v>
      </c>
      <c r="E369" s="74" t="str">
        <f>'Electrical Essentials'!D52</f>
        <v>metre</v>
      </c>
      <c r="F369" s="32" t="s">
        <v>48</v>
      </c>
      <c r="G369" s="59" t="s">
        <v>49</v>
      </c>
      <c r="H369" s="59" t="s">
        <v>1581</v>
      </c>
      <c r="I369" s="29">
        <v>0.0</v>
      </c>
      <c r="J369" s="29">
        <f>'Electrical Essentials'!C52</f>
        <v>660.07</v>
      </c>
      <c r="K369" s="33">
        <f t="shared" si="2"/>
        <v>0</v>
      </c>
      <c r="L369" s="33">
        <f t="shared" si="3"/>
        <v>660.07</v>
      </c>
    </row>
    <row r="370">
      <c r="A370" s="29">
        <v>445.0</v>
      </c>
      <c r="B370" s="30" t="s">
        <v>1658</v>
      </c>
      <c r="C370" s="31" t="str">
        <f>'Electrical Essentials'!B53</f>
        <v>Supplying and drawing following sizes of FRLS PVC insulated copper conductor, single core cable in the existing surface / recessed steel/ PVC conduit as required.10 x 6 sq. mm(1.17.37)</v>
      </c>
      <c r="D370" s="31" t="str">
        <f t="shared" si="1"/>
        <v>Supplying and drawing following sizes of FRLS PVC insulated copper conductor, single core cable in the existing surface / recessed steel/ PVC conduit as required.10 x 6 sq. mm(1.17.37) (Code: GWDDR445)</v>
      </c>
      <c r="E370" s="74" t="str">
        <f>'Electrical Essentials'!D53</f>
        <v>metre</v>
      </c>
      <c r="F370" s="32" t="s">
        <v>48</v>
      </c>
      <c r="G370" s="59" t="s">
        <v>49</v>
      </c>
      <c r="H370" s="59" t="s">
        <v>1581</v>
      </c>
      <c r="I370" s="29">
        <v>0.0</v>
      </c>
      <c r="J370" s="29">
        <f>'Electrical Essentials'!C53</f>
        <v>730.69</v>
      </c>
      <c r="K370" s="33">
        <f t="shared" si="2"/>
        <v>0</v>
      </c>
      <c r="L370" s="33">
        <f t="shared" si="3"/>
        <v>730.69</v>
      </c>
    </row>
    <row r="371">
      <c r="A371" s="29">
        <v>446.0</v>
      </c>
      <c r="B371" s="30" t="s">
        <v>1660</v>
      </c>
      <c r="C371" s="31" t="str">
        <f>'PVC wo Trench PRICE'!B2</f>
        <v>Providing and fixing PVC pipes includes jointing of pipes with one step PVC solvent cement &amp; testing of joints complete as per direction of Engineer in Charge. 20 mm dia 10KGF/cm2</v>
      </c>
      <c r="D371" s="31" t="str">
        <f t="shared" si="1"/>
        <v>Providing and fixing PVC pipes includes jointing of pipes with one step PVC solvent cement &amp; testing of joints complete as per direction of Engineer in Charge. 20 mm dia 10KGF/cm2 (Code: GWDDR446)</v>
      </c>
      <c r="E371" s="464" t="s">
        <v>22</v>
      </c>
      <c r="F371" s="33" t="s">
        <v>48</v>
      </c>
      <c r="G371" s="409" t="s">
        <v>49</v>
      </c>
      <c r="H371" s="59" t="s">
        <v>337</v>
      </c>
      <c r="I371" s="407">
        <f>'PVC wo Trench PRICE'!F13</f>
        <v>40.07</v>
      </c>
      <c r="J371" s="407">
        <f>'PVC wo Trench PRICE'!F22</f>
        <v>19.27</v>
      </c>
      <c r="K371" s="33">
        <f t="shared" si="2"/>
        <v>0</v>
      </c>
      <c r="L371" s="33">
        <f t="shared" si="3"/>
        <v>59.34</v>
      </c>
    </row>
    <row r="372">
      <c r="A372" s="29">
        <v>447.0</v>
      </c>
      <c r="B372" s="30" t="s">
        <v>1663</v>
      </c>
      <c r="C372" s="31" t="str">
        <f>Lock!A1</f>
        <v>Locking Arrangements - Supplying and Fixing lock and locking arrangements with suitable chain hooks,and padlock of 65mm size. (60.4)</v>
      </c>
      <c r="D372" s="31" t="str">
        <f t="shared" si="1"/>
        <v>Locking Arrangements - Supplying and Fixing lock and locking arrangements with suitable chain hooks,and padlock of 65mm size. (60.4) (Code: GWDDR447)</v>
      </c>
      <c r="E372" s="74" t="s">
        <v>43</v>
      </c>
      <c r="F372" s="33" t="s">
        <v>48</v>
      </c>
      <c r="G372" s="59" t="s">
        <v>49</v>
      </c>
      <c r="H372" s="59" t="s">
        <v>1664</v>
      </c>
      <c r="I372" s="29">
        <f>Lock!G26</f>
        <v>641.15</v>
      </c>
      <c r="J372" s="29">
        <f>Lock!H26</f>
        <v>207.32775</v>
      </c>
      <c r="K372" s="33">
        <f t="shared" si="2"/>
        <v>0</v>
      </c>
      <c r="L372" s="33">
        <f t="shared" si="3"/>
        <v>848.47775</v>
      </c>
    </row>
    <row r="373">
      <c r="A373" s="29">
        <v>448.0</v>
      </c>
      <c r="B373" s="30" t="s">
        <v>1665</v>
      </c>
      <c r="C373" s="31" t="str">
        <f>'Pump Cover'!A1</f>
        <v>Metallic Pump Cover of size 1 x 1 x 0.7 m</v>
      </c>
      <c r="D373" s="31" t="str">
        <f t="shared" si="1"/>
        <v>Metallic Pump Cover of size 1 x 1 x 0.7 m (Code: GWDDR448)</v>
      </c>
      <c r="E373" s="74" t="s">
        <v>43</v>
      </c>
      <c r="F373" s="33" t="s">
        <v>48</v>
      </c>
      <c r="G373" s="59" t="s">
        <v>49</v>
      </c>
      <c r="H373" s="59" t="s">
        <v>1664</v>
      </c>
      <c r="I373" s="407">
        <f>'Pump Cover'!K39</f>
        <v>641.15</v>
      </c>
      <c r="J373" s="407">
        <f>'Pump Cover'!L39</f>
        <v>6112.33437</v>
      </c>
      <c r="K373" s="33">
        <f t="shared" si="2"/>
        <v>0</v>
      </c>
      <c r="L373" s="33">
        <f t="shared" si="3"/>
        <v>6753.48437</v>
      </c>
    </row>
    <row r="374">
      <c r="A374" s="29">
        <v>449.0</v>
      </c>
      <c r="B374" s="30" t="s">
        <v>1666</v>
      </c>
      <c r="C374" s="31" t="str">
        <f>Services!B21</f>
        <v>Rotary cum DTH OB Drilling with Subsidy</v>
      </c>
      <c r="D374" s="31" t="str">
        <f t="shared" si="1"/>
        <v>Rotary cum DTH OB Drilling with Subsidy (Code: GWDDR449)</v>
      </c>
      <c r="E374" s="74" t="s">
        <v>22</v>
      </c>
      <c r="F374" s="33" t="s">
        <v>48</v>
      </c>
      <c r="G374" s="59" t="s">
        <v>1520</v>
      </c>
      <c r="H374" s="59" t="s">
        <v>786</v>
      </c>
      <c r="I374" s="29">
        <f>Services!D21</f>
        <v>992.5</v>
      </c>
      <c r="J374" s="29">
        <v>0.0</v>
      </c>
      <c r="K374" s="33">
        <f t="shared" si="2"/>
        <v>0</v>
      </c>
      <c r="L374" s="33">
        <f t="shared" si="3"/>
        <v>992.5</v>
      </c>
    </row>
    <row r="375">
      <c r="A375" s="29">
        <v>450.0</v>
      </c>
      <c r="B375" s="30" t="s">
        <v>1667</v>
      </c>
      <c r="C375" s="31" t="str">
        <f>'HP Erection and Pullout'!B35</f>
        <v>Hand pump pullout (extra deep well)</v>
      </c>
      <c r="D375" s="31" t="str">
        <f t="shared" si="1"/>
        <v>Hand pump pullout (extra deep well) (Code: GWDDR450)</v>
      </c>
      <c r="E375" s="74" t="s">
        <v>43</v>
      </c>
      <c r="F375" s="32" t="s">
        <v>48</v>
      </c>
      <c r="G375" s="32" t="s">
        <v>323</v>
      </c>
      <c r="H375" s="59" t="s">
        <v>507</v>
      </c>
      <c r="I375" s="29">
        <v>0.0</v>
      </c>
      <c r="J375" s="407">
        <f>'HP Erection and Pullout'!F44</f>
        <v>2785</v>
      </c>
      <c r="K375" s="33">
        <f t="shared" si="2"/>
        <v>0</v>
      </c>
      <c r="L375" s="33">
        <f t="shared" si="3"/>
        <v>2785</v>
      </c>
    </row>
    <row r="376">
      <c r="A376" s="29">
        <v>451.0</v>
      </c>
      <c r="B376" s="30" t="s">
        <v>1668</v>
      </c>
      <c r="C376" s="31" t="str">
        <f>'PVC Fittings'!A211</f>
        <v>Providing and fixing PVC moulded fittings / accessories for Rigid PVC pipes, including jointing with PVC solvent cement - 140 mm dia Elbow</v>
      </c>
      <c r="D376" s="31" t="str">
        <f t="shared" si="1"/>
        <v>Providing and fixing PVC moulded fittings / accessories for Rigid PVC pipes, including jointing with PVC solvent cement - 140 mm dia Elbow (Code: GWDDR451)</v>
      </c>
      <c r="E376" s="74" t="s">
        <v>43</v>
      </c>
      <c r="F376" s="32" t="s">
        <v>48</v>
      </c>
      <c r="G376" s="32" t="s">
        <v>45</v>
      </c>
      <c r="H376" s="59" t="s">
        <v>147</v>
      </c>
      <c r="I376" s="407">
        <f>'PVC Fittings'!H234</f>
        <v>72.013</v>
      </c>
      <c r="J376" s="407">
        <f>'PVC Fittings'!I234</f>
        <v>33.2913776</v>
      </c>
      <c r="K376" s="33">
        <f t="shared" si="2"/>
        <v>0</v>
      </c>
      <c r="L376" s="33">
        <f t="shared" si="3"/>
        <v>105.3043776</v>
      </c>
    </row>
    <row r="377">
      <c r="A377" s="29">
        <v>452.0</v>
      </c>
      <c r="B377" s="30" t="s">
        <v>1669</v>
      </c>
      <c r="C377" s="31" t="str">
        <f>'HP Erection and Pullout'!B46</f>
        <v>Hand pump pullout and re-erection (deep well)</v>
      </c>
      <c r="D377" s="31" t="str">
        <f t="shared" si="1"/>
        <v>Hand pump pullout and re-erection (deep well) (Code: GWDDR452)</v>
      </c>
      <c r="E377" s="74" t="s">
        <v>43</v>
      </c>
      <c r="F377" s="32" t="s">
        <v>48</v>
      </c>
      <c r="G377" s="32" t="s">
        <v>323</v>
      </c>
      <c r="H377" s="59" t="s">
        <v>1670</v>
      </c>
      <c r="I377" s="29">
        <v>0.0</v>
      </c>
      <c r="J377" s="407">
        <f>'HP Erection and Pullout'!F55</f>
        <v>4792</v>
      </c>
      <c r="K377" s="33">
        <f t="shared" si="2"/>
        <v>0</v>
      </c>
      <c r="L377" s="33">
        <f t="shared" si="3"/>
        <v>4792</v>
      </c>
    </row>
    <row r="378">
      <c r="A378" s="29">
        <v>453.0</v>
      </c>
      <c r="B378" s="30" t="s">
        <v>1671</v>
      </c>
      <c r="C378" s="31" t="str">
        <f>'HP Erection and Pullout'!B57</f>
        <v>Hand pump pullout and re-erection (extra deep well)</v>
      </c>
      <c r="D378" s="31" t="str">
        <f t="shared" si="1"/>
        <v>Hand pump pullout and re-erection (extra deep well) (Code: GWDDR453)</v>
      </c>
      <c r="E378" s="74" t="s">
        <v>43</v>
      </c>
      <c r="F378" s="32" t="s">
        <v>48</v>
      </c>
      <c r="G378" s="32" t="s">
        <v>323</v>
      </c>
      <c r="H378" s="59" t="s">
        <v>1670</v>
      </c>
      <c r="I378" s="29">
        <v>0.0</v>
      </c>
      <c r="J378" s="407">
        <f>'HP Erection and Pullout'!F66</f>
        <v>5970</v>
      </c>
      <c r="K378" s="33">
        <f t="shared" si="2"/>
        <v>0</v>
      </c>
      <c r="L378" s="33">
        <f t="shared" si="3"/>
        <v>5970</v>
      </c>
    </row>
    <row r="379">
      <c r="A379" s="29">
        <v>454.0</v>
      </c>
      <c r="B379" s="30" t="s">
        <v>1672</v>
      </c>
      <c r="C379" s="31" t="str">
        <f>'PVC wo Trench'!B45</f>
        <v>Providing and fixing PVC pipes includes jointing of pipes with one step PVC solvent cement &amp; testing of joints complete as per direction of Engineer in Charge.90 mm dia 10 KGF/cm2</v>
      </c>
      <c r="D379" s="31" t="str">
        <f t="shared" si="1"/>
        <v>Providing and fixing PVC pipes includes jointing of pipes with one step PVC solvent cement &amp; testing of joints complete as per direction of Engineer in Charge.90 mm dia 10 KGF/cm2 (Code: GWDDR454)</v>
      </c>
      <c r="E379" s="74" t="s">
        <v>22</v>
      </c>
      <c r="F379" s="32" t="s">
        <v>48</v>
      </c>
      <c r="G379" s="32" t="s">
        <v>49</v>
      </c>
      <c r="H379" s="59" t="s">
        <v>337</v>
      </c>
      <c r="I379" s="407">
        <f>'PVC wo Trench'!F56</f>
        <v>260.47</v>
      </c>
      <c r="J379" s="407">
        <f>'PVC wo Trench'!F65</f>
        <v>93.63</v>
      </c>
      <c r="K379" s="33">
        <f t="shared" si="2"/>
        <v>0</v>
      </c>
      <c r="L379" s="33">
        <f t="shared" si="3"/>
        <v>354.1</v>
      </c>
    </row>
    <row r="380">
      <c r="A380" s="29">
        <v>455.0</v>
      </c>
      <c r="B380" s="30" t="s">
        <v>1674</v>
      </c>
      <c r="C380" s="31" t="str">
        <f>'PVC wo Trench'!B67</f>
        <v>Providing and fixing PVC pipes includes jointing of pipes with one step PVC solvent cement &amp; testing of joints complete as per direction of Engineer in Charge.90 mm dia 6 KGF/cm2</v>
      </c>
      <c r="D380" s="31" t="str">
        <f t="shared" si="1"/>
        <v>Providing and fixing PVC pipes includes jointing of pipes with one step PVC solvent cement &amp; testing of joints complete as per direction of Engineer in Charge.90 mm dia 6 KGF/cm2 (Code: GWDDR455)</v>
      </c>
      <c r="E380" s="74" t="s">
        <v>22</v>
      </c>
      <c r="F380" s="32" t="s">
        <v>48</v>
      </c>
      <c r="G380" s="32" t="s">
        <v>49</v>
      </c>
      <c r="H380" s="59" t="s">
        <v>337</v>
      </c>
      <c r="I380" s="407">
        <f>'PVC wo Trench'!F78</f>
        <v>170.97</v>
      </c>
      <c r="J380" s="407">
        <f>'PVC wo Trench'!F87</f>
        <v>93.63</v>
      </c>
      <c r="K380" s="33">
        <f t="shared" si="2"/>
        <v>0</v>
      </c>
      <c r="L380" s="33">
        <f t="shared" si="3"/>
        <v>264.6</v>
      </c>
    </row>
    <row r="381">
      <c r="A381" s="29">
        <v>456.0</v>
      </c>
      <c r="B381" s="30" t="s">
        <v>1679</v>
      </c>
      <c r="C381" s="31" t="str">
        <f>'PVC With Trench'!B52</f>
        <v>Providing and fixing PVC pipes includes jointing of pipes with one step PVC solvent cement, trenching, refilling &amp; testing of joints complete as per direction of Engineer in Charge. 90 mm dia 10 KGF/cm2</v>
      </c>
      <c r="D381" s="31" t="str">
        <f t="shared" si="1"/>
        <v>Providing and fixing PVC pipes includes jointing of pipes with one step PVC solvent cement, trenching, refilling &amp; testing of joints complete as per direction of Engineer in Charge. 90 mm dia 10 KGF/cm2 (Code: GWDDR456)</v>
      </c>
      <c r="E381" s="74" t="s">
        <v>22</v>
      </c>
      <c r="F381" s="32" t="s">
        <v>48</v>
      </c>
      <c r="G381" s="32" t="s">
        <v>49</v>
      </c>
      <c r="H381" s="59" t="s">
        <v>475</v>
      </c>
      <c r="I381" s="407">
        <f>'PVC With Trench'!F63</f>
        <v>260.47</v>
      </c>
      <c r="J381" s="407">
        <f>'PVC With Trench'!F75</f>
        <v>226.23</v>
      </c>
      <c r="K381" s="33">
        <f t="shared" si="2"/>
        <v>0</v>
      </c>
      <c r="L381" s="33">
        <f t="shared" si="3"/>
        <v>486.7</v>
      </c>
    </row>
    <row r="382">
      <c r="A382" s="29">
        <v>457.0</v>
      </c>
      <c r="B382" s="30" t="s">
        <v>1682</v>
      </c>
      <c r="C382" s="31" t="str">
        <f>'PVC With Trench'!B77</f>
        <v>Providing and fixing PVC pipes includes jointing of pipes with one step PVC solvent cement, trenching, refilling &amp; testing of joints complete as per direction of Engineer in Charge. 90 mm dia 6 KGF/cm2</v>
      </c>
      <c r="D382" s="31" t="str">
        <f t="shared" si="1"/>
        <v>Providing and fixing PVC pipes includes jointing of pipes with one step PVC solvent cement, trenching, refilling &amp; testing of joints complete as per direction of Engineer in Charge. 90 mm dia 6 KGF/cm2 (Code: GWDDR457)</v>
      </c>
      <c r="E382" s="74" t="s">
        <v>22</v>
      </c>
      <c r="F382" s="32" t="s">
        <v>48</v>
      </c>
      <c r="G382" s="32" t="s">
        <v>49</v>
      </c>
      <c r="H382" s="59" t="s">
        <v>475</v>
      </c>
      <c r="I382" s="407">
        <f>'PVC With Trench'!F88</f>
        <v>170.97</v>
      </c>
      <c r="J382" s="407">
        <f>'PVC With Trench'!F100</f>
        <v>226.23</v>
      </c>
      <c r="K382" s="33">
        <f t="shared" si="2"/>
        <v>0</v>
      </c>
      <c r="L382" s="33">
        <f t="shared" si="3"/>
        <v>397.2</v>
      </c>
    </row>
    <row r="383">
      <c r="A383" s="29">
        <v>458.0</v>
      </c>
      <c r="B383" s="30" t="s">
        <v>1683</v>
      </c>
      <c r="C383" s="31" t="str">
        <f>Services!B22</f>
        <v>150mm (6") Borewell Drilling with Subsidy</v>
      </c>
      <c r="D383" s="31" t="str">
        <f t="shared" si="1"/>
        <v>150mm (6") Borewell Drilling with Subsidy (Code: GWDDR458)</v>
      </c>
      <c r="E383" s="74" t="s">
        <v>22</v>
      </c>
      <c r="F383" s="32" t="s">
        <v>48</v>
      </c>
      <c r="G383" s="59" t="s">
        <v>1520</v>
      </c>
      <c r="H383" s="59" t="s">
        <v>786</v>
      </c>
      <c r="I383" s="29">
        <f>Services!D22</f>
        <v>332.5</v>
      </c>
      <c r="J383" s="29">
        <v>0.0</v>
      </c>
      <c r="K383" s="33">
        <f t="shared" si="2"/>
        <v>0</v>
      </c>
      <c r="L383" s="33">
        <f t="shared" si="3"/>
        <v>332.5</v>
      </c>
    </row>
    <row r="384">
      <c r="A384" s="29">
        <v>459.0</v>
      </c>
      <c r="B384" s="30" t="s">
        <v>1684</v>
      </c>
      <c r="C384" s="31" t="str">
        <f>Services!B23</f>
        <v>150mm (6") Tubewell Drilling with Subsidy</v>
      </c>
      <c r="D384" s="31" t="str">
        <f t="shared" si="1"/>
        <v>150mm (6") Tubewell Drilling with Subsidy (Code: GWDDR459)</v>
      </c>
      <c r="E384" s="74" t="s">
        <v>22</v>
      </c>
      <c r="F384" s="32" t="s">
        <v>48</v>
      </c>
      <c r="G384" s="32" t="s">
        <v>235</v>
      </c>
      <c r="H384" s="59" t="s">
        <v>798</v>
      </c>
      <c r="I384" s="29">
        <f>Services!D23</f>
        <v>1157.5</v>
      </c>
      <c r="J384" s="29">
        <v>0.0</v>
      </c>
      <c r="K384" s="33">
        <f t="shared" si="2"/>
        <v>0</v>
      </c>
      <c r="L384" s="33">
        <f t="shared" si="3"/>
        <v>1157.5</v>
      </c>
    </row>
    <row r="385">
      <c r="A385" s="29">
        <v>460.0</v>
      </c>
      <c r="B385" s="30" t="s">
        <v>1686</v>
      </c>
      <c r="C385" s="31" t="str">
        <f>Services!B24</f>
        <v>Tubewell Drilling 200mm (8") with Subsidy</v>
      </c>
      <c r="D385" s="31" t="str">
        <f t="shared" si="1"/>
        <v>Tubewell Drilling 200mm (8") with Subsidy (Code: GWDDR460)</v>
      </c>
      <c r="E385" s="74" t="s">
        <v>22</v>
      </c>
      <c r="F385" s="32" t="s">
        <v>48</v>
      </c>
      <c r="G385" s="32" t="s">
        <v>235</v>
      </c>
      <c r="H385" s="59" t="s">
        <v>798</v>
      </c>
      <c r="I385" s="29">
        <f>Services!D24</f>
        <v>1490</v>
      </c>
      <c r="J385" s="29">
        <v>0.0</v>
      </c>
      <c r="K385" s="33">
        <f t="shared" si="2"/>
        <v>0</v>
      </c>
      <c r="L385" s="33">
        <f t="shared" si="3"/>
        <v>1490</v>
      </c>
    </row>
    <row r="386">
      <c r="A386" s="29">
        <v>461.0</v>
      </c>
      <c r="B386" s="30" t="s">
        <v>1687</v>
      </c>
      <c r="C386" s="31" t="str">
        <f>'PVC on Wall'!A3</f>
        <v>Providing and fixing PVC pipes including fixing the pipe with clamps/ clips/ at 1.00 m spacing . This includes jointing of pipes with one step PVC solvent cement and testing of joints complete as per direction of Engineer-in-Charge 140 mm dia 6 Kgf/cm2 - External work- Exposed on wall</v>
      </c>
      <c r="D386" s="31" t="str">
        <f t="shared" si="1"/>
        <v>Providing and fixing PVC pipes including fixing the pipe with clamps/ clips/ at 1.00 m spacing . This includes jointing of pipes with one step PVC solvent cement and testing of joints complete as per direction of Engineer-in-Charge 140 mm dia 6 Kgf/cm2 - External work- Exposed on wall (Code: GWDDR461)</v>
      </c>
      <c r="E386" s="74" t="s">
        <v>22</v>
      </c>
      <c r="F386" s="32" t="s">
        <v>48</v>
      </c>
      <c r="G386" s="32" t="s">
        <v>49</v>
      </c>
      <c r="H386" s="59" t="s">
        <v>924</v>
      </c>
      <c r="I386" s="407">
        <f>'PVC on Wall'!H35</f>
        <v>342.700575</v>
      </c>
      <c r="J386" s="407">
        <f>'PVC on Wall'!I35</f>
        <v>108.7121721</v>
      </c>
      <c r="K386" s="33">
        <f t="shared" si="2"/>
        <v>0</v>
      </c>
      <c r="L386" s="33">
        <f t="shared" si="3"/>
        <v>451.4127471</v>
      </c>
    </row>
    <row r="387">
      <c r="A387" s="29">
        <v>462.0</v>
      </c>
      <c r="B387" s="30" t="s">
        <v>1691</v>
      </c>
      <c r="C387" s="31" t="str">
        <f>Services!B25</f>
        <v>Water Quality Testing</v>
      </c>
      <c r="D387" s="31" t="str">
        <f t="shared" si="1"/>
        <v>Water Quality Testing (Code: GWDDR462)</v>
      </c>
      <c r="E387" s="74" t="s">
        <v>1505</v>
      </c>
      <c r="F387" s="32" t="s">
        <v>48</v>
      </c>
      <c r="G387" s="59" t="s">
        <v>818</v>
      </c>
      <c r="H387" s="59" t="s">
        <v>818</v>
      </c>
      <c r="I387" s="29">
        <f>Services!D25</f>
        <v>1105</v>
      </c>
      <c r="J387" s="29">
        <v>0.0</v>
      </c>
      <c r="K387" s="33">
        <f t="shared" si="2"/>
        <v>0</v>
      </c>
      <c r="L387" s="33">
        <f t="shared" si="3"/>
        <v>1105</v>
      </c>
    </row>
    <row r="388">
      <c r="A388" s="29">
        <v>463.0</v>
      </c>
      <c r="B388" s="30" t="s">
        <v>1692</v>
      </c>
      <c r="C388" s="31" t="str">
        <f>Services!B26</f>
        <v>Water Quality Testing Including Bacteriology</v>
      </c>
      <c r="D388" s="31" t="str">
        <f t="shared" si="1"/>
        <v>Water Quality Testing Including Bacteriology (Code: GWDDR463)</v>
      </c>
      <c r="E388" s="74" t="s">
        <v>1505</v>
      </c>
      <c r="F388" s="32" t="s">
        <v>48</v>
      </c>
      <c r="G388" s="59" t="s">
        <v>818</v>
      </c>
      <c r="H388" s="59" t="s">
        <v>818</v>
      </c>
      <c r="I388" s="29">
        <f>Services!D26</f>
        <v>1330</v>
      </c>
      <c r="J388" s="29">
        <v>0.0</v>
      </c>
      <c r="K388" s="33">
        <f t="shared" si="2"/>
        <v>0</v>
      </c>
      <c r="L388" s="33">
        <f t="shared" si="3"/>
        <v>1330</v>
      </c>
    </row>
    <row r="389">
      <c r="A389" s="29">
        <v>464.0</v>
      </c>
      <c r="B389" s="30" t="s">
        <v>1693</v>
      </c>
      <c r="C389" s="31" t="str">
        <f>'PVC on Wall'!A38</f>
        <v>Providing and fixing PVC pipes including fixing the pipe with clamps/ clips/ at 1.00 m spacing . This includes jointing of pipes with one step PVC solvent cement and testing of joints complete as per direction of Engineer-in-Charge 90 mm dia 6 Kgf/cm2 - External work- Exposed on wall</v>
      </c>
      <c r="D389" s="31" t="str">
        <f t="shared" si="1"/>
        <v>Providing and fixing PVC pipes including fixing the pipe with clamps/ clips/ at 1.00 m spacing . This includes jointing of pipes with one step PVC solvent cement and testing of joints complete as per direction of Engineer-in-Charge 90 mm dia 6 Kgf/cm2 - External work- Exposed on wall (Code: GWDDR464)</v>
      </c>
      <c r="E389" s="74" t="s">
        <v>22</v>
      </c>
      <c r="F389" s="32" t="s">
        <v>48</v>
      </c>
      <c r="G389" s="59" t="s">
        <v>49</v>
      </c>
      <c r="H389" s="59" t="s">
        <v>924</v>
      </c>
      <c r="I389" s="407">
        <f>'PVC on Wall'!H70</f>
        <v>156.1056</v>
      </c>
      <c r="J389" s="407">
        <f>'PVC on Wall'!I70</f>
        <v>102.0741996</v>
      </c>
      <c r="K389" s="33">
        <f t="shared" si="2"/>
        <v>0</v>
      </c>
      <c r="L389" s="33">
        <f t="shared" si="3"/>
        <v>258.1797996</v>
      </c>
    </row>
    <row r="390">
      <c r="A390" s="29">
        <v>465.0</v>
      </c>
      <c r="B390" s="30" t="s">
        <v>1695</v>
      </c>
      <c r="C390" s="31" t="str">
        <f>Services!B27</f>
        <v>Slotting charge for 3m pipe, net, rope, pipe fittings and sundries for Filter Point Well Construction</v>
      </c>
      <c r="D390" s="31" t="str">
        <f t="shared" si="1"/>
        <v>Slotting charge for 3m pipe, net, rope, pipe fittings and sundries for Filter Point Well Construction (Code: GWDDR465)</v>
      </c>
      <c r="E390" s="74" t="s">
        <v>43</v>
      </c>
      <c r="F390" s="32" t="s">
        <v>48</v>
      </c>
      <c r="G390" s="59" t="s">
        <v>803</v>
      </c>
      <c r="H390" s="59" t="s">
        <v>804</v>
      </c>
      <c r="I390" s="29">
        <f>Services!D27</f>
        <v>1500</v>
      </c>
      <c r="J390" s="29">
        <v>0.0</v>
      </c>
      <c r="K390" s="33">
        <f t="shared" si="2"/>
        <v>0</v>
      </c>
      <c r="L390" s="33">
        <f t="shared" si="3"/>
        <v>1500</v>
      </c>
    </row>
    <row r="391">
      <c r="A391" s="29">
        <v>466.0</v>
      </c>
      <c r="B391" s="30" t="s">
        <v>1698</v>
      </c>
      <c r="C391" s="31" t="str">
        <f>'UG Cable PRICE'!A251</f>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4 core 10 sq mm (90.12.37.33)</v>
      </c>
      <c r="D391" s="31" t="str">
        <f t="shared" si="1"/>
        <v>Supply &amp; laying of one number PVC insulated and PVC sheathed armoured copper power cable of 1.1KV grade of the following sizes in ground including excavation of trench of size 35 x 75 cm, refilling the trench etc. as required but excluding sand cushioning and protective covering (in ordinary soil). 4 core 10 sq mm (90.12.37.33) (Code: GWDDR466)</v>
      </c>
      <c r="E391" s="74" t="s">
        <v>22</v>
      </c>
      <c r="F391" s="32" t="s">
        <v>48</v>
      </c>
      <c r="G391" s="59" t="s">
        <v>49</v>
      </c>
      <c r="H391" s="32" t="s">
        <v>855</v>
      </c>
      <c r="I391" s="407">
        <f>'UG Cable PRICE'!I279</f>
        <v>633.7816625</v>
      </c>
      <c r="J391" s="407">
        <f>'UG Cable PRICE'!J279</f>
        <v>169.3771313</v>
      </c>
      <c r="K391" s="33">
        <f t="shared" si="2"/>
        <v>0</v>
      </c>
      <c r="L391" s="33">
        <f t="shared" si="3"/>
        <v>803.1587938</v>
      </c>
    </row>
    <row r="392">
      <c r="A392" s="29">
        <v>467.0</v>
      </c>
      <c r="B392" s="30" t="s">
        <v>1700</v>
      </c>
      <c r="C392" s="31" t="str">
        <f>'BW Casing Pipe Erection Charge'!B2</f>
        <v>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(Excluding Material)</v>
      </c>
      <c r="D392" s="31" t="str">
        <f t="shared" si="1"/>
        <v>Assembling, lowering and fixing in vertical position in Borewell, PVC 140 mm 6 Kg/cm2 well casing pipe of required dia, conforming to IS : 4985:2000, including required hire and labour charges, fittings &amp; accessories etc. all complete, for all depths, as per direction of Engineer- in- Charge. (Excluding Material) (Code: GWDDR467)</v>
      </c>
      <c r="E392" s="74" t="s">
        <v>22</v>
      </c>
      <c r="F392" s="32" t="s">
        <v>48</v>
      </c>
      <c r="G392" s="59" t="s">
        <v>118</v>
      </c>
      <c r="H392" s="32" t="s">
        <v>119</v>
      </c>
      <c r="I392" s="29">
        <v>0.0</v>
      </c>
      <c r="J392" s="32">
        <f>'BW Casing Pipe Erection Charge'!F17</f>
        <v>11.2</v>
      </c>
      <c r="K392" s="33">
        <f t="shared" si="2"/>
        <v>0</v>
      </c>
      <c r="L392" s="33">
        <f t="shared" si="3"/>
        <v>11.2</v>
      </c>
    </row>
    <row r="393">
      <c r="A393" s="29">
        <v>468.0</v>
      </c>
      <c r="B393" s="30" t="s">
        <v>1703</v>
      </c>
      <c r="C393" s="31" t="str">
        <f>Services!B28</f>
        <v>Water Quality Testing for Additional Parameters (Fluoride and Phosphate)</v>
      </c>
      <c r="D393" s="31" t="str">
        <f t="shared" si="1"/>
        <v>Water Quality Testing for Additional Parameters (Fluoride and Phosphate) (Code: GWDDR468)</v>
      </c>
      <c r="E393" s="74" t="s">
        <v>1505</v>
      </c>
      <c r="F393" s="32" t="s">
        <v>48</v>
      </c>
      <c r="G393" s="59" t="s">
        <v>818</v>
      </c>
      <c r="H393" s="59" t="s">
        <v>818</v>
      </c>
      <c r="I393" s="29">
        <v>0.0</v>
      </c>
      <c r="J393" s="29">
        <f>Services!D28</f>
        <v>225</v>
      </c>
      <c r="K393" s="33">
        <f t="shared" si="2"/>
        <v>0</v>
      </c>
      <c r="L393" s="33">
        <f t="shared" si="3"/>
        <v>225</v>
      </c>
    </row>
    <row r="394">
      <c r="A394" s="29">
        <v>469.0</v>
      </c>
      <c r="B394" s="30" t="s">
        <v>1704</v>
      </c>
      <c r="C394" s="31" t="str">
        <f>Services!B29</f>
        <v>Water Quality Testing for Heavy Metals</v>
      </c>
      <c r="D394" s="31" t="str">
        <f t="shared" si="1"/>
        <v>Water Quality Testing for Heavy Metals (Code: GWDDR469)</v>
      </c>
      <c r="E394" s="74" t="s">
        <v>1505</v>
      </c>
      <c r="F394" s="32" t="s">
        <v>48</v>
      </c>
      <c r="G394" s="59" t="s">
        <v>818</v>
      </c>
      <c r="H394" s="59" t="s">
        <v>818</v>
      </c>
      <c r="I394" s="29">
        <v>0.0</v>
      </c>
      <c r="J394" s="29">
        <f>Services!D29</f>
        <v>225</v>
      </c>
      <c r="K394" s="33">
        <f t="shared" si="2"/>
        <v>0</v>
      </c>
      <c r="L394" s="33">
        <f t="shared" si="3"/>
        <v>225</v>
      </c>
    </row>
  </sheetData>
  <mergeCells count="3">
    <mergeCell ref="A1:I2"/>
    <mergeCell ref="J1:K1"/>
    <mergeCell ref="J2:K2"/>
  </mergeCells>
  <dataValidations>
    <dataValidation type="list" allowBlank="1" showErrorMessage="1" sqref="J2">
      <formula1>District</formula1>
    </dataValidation>
  </dataValidations>
  <printOptions/>
  <pageMargins bottom="0.75" footer="0.0" header="0.0" left="0.7" right="0.7" top="0.75"/>
  <pageSetup fitToHeight="0"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86"/>
    <col customWidth="1" min="2" max="2" width="13.14"/>
    <col customWidth="1" min="3" max="3" width="50.57"/>
    <col customWidth="1" min="4" max="4" width="45.0"/>
    <col customWidth="1" min="6" max="7" width="30.57"/>
    <col customWidth="1" min="8" max="8" width="26.71"/>
    <col customWidth="1" min="11" max="11" width="13.0"/>
  </cols>
  <sheetData>
    <row r="1">
      <c r="A1" s="6" t="s">
        <v>3</v>
      </c>
      <c r="B1" s="7"/>
      <c r="C1" s="7"/>
      <c r="D1" s="7"/>
      <c r="E1" s="7"/>
      <c r="F1" s="7"/>
      <c r="G1" s="7"/>
      <c r="H1" s="7"/>
      <c r="I1" s="9"/>
      <c r="J1" s="12" t="s">
        <v>12</v>
      </c>
      <c r="K1" s="3"/>
      <c r="L1" s="13" t="s">
        <v>13</v>
      </c>
    </row>
    <row r="2">
      <c r="A2" s="14"/>
      <c r="B2" s="16"/>
      <c r="C2" s="16"/>
      <c r="D2" s="16"/>
      <c r="E2" s="16"/>
      <c r="F2" s="16"/>
      <c r="G2" s="16"/>
      <c r="H2" s="16"/>
      <c r="I2" s="17"/>
      <c r="J2" s="21" t="s">
        <v>16</v>
      </c>
      <c r="K2" s="3"/>
      <c r="L2" s="25">
        <f t="array" ref="L2">((IFERROR(INDEX(CostIndex,MATCH(J2,District,0), ), )))</f>
        <v>1</v>
      </c>
    </row>
    <row r="3">
      <c r="A3" s="26" t="s">
        <v>25</v>
      </c>
      <c r="B3" s="26" t="s">
        <v>4</v>
      </c>
      <c r="C3" s="26" t="s">
        <v>28</v>
      </c>
      <c r="D3" s="26" t="s">
        <v>29</v>
      </c>
      <c r="E3" s="26" t="s">
        <v>8</v>
      </c>
      <c r="F3" s="27" t="s">
        <v>30</v>
      </c>
      <c r="G3" s="27" t="s">
        <v>32</v>
      </c>
      <c r="H3" s="27" t="s">
        <v>33</v>
      </c>
      <c r="I3" s="27" t="s">
        <v>34</v>
      </c>
      <c r="J3" s="27" t="s">
        <v>35</v>
      </c>
      <c r="K3" s="27" t="s">
        <v>36</v>
      </c>
      <c r="L3" s="27" t="s">
        <v>37</v>
      </c>
    </row>
    <row r="4">
      <c r="A4" s="29">
        <v>1.0</v>
      </c>
      <c r="B4" s="30" t="s">
        <v>38</v>
      </c>
      <c r="C4" s="30" t="s">
        <v>39</v>
      </c>
      <c r="D4" s="31" t="str">
        <f t="shared" ref="D4:D197" si="1">CONCATENATE(C4," (Code: ",B4,")")</f>
        <v>S&amp;F PVC Bend 90 mm (DG) (Code: GWDMR001)</v>
      </c>
      <c r="E4" s="29" t="s">
        <v>43</v>
      </c>
      <c r="F4" s="32" t="s">
        <v>44</v>
      </c>
      <c r="G4" s="32" t="s">
        <v>45</v>
      </c>
      <c r="H4" s="32" t="s">
        <v>46</v>
      </c>
      <c r="I4" s="29">
        <v>80.0</v>
      </c>
      <c r="J4" s="29">
        <v>31.0</v>
      </c>
      <c r="K4" s="33">
        <f t="shared" ref="K4:K197" si="2">J4*($L$2-1)</f>
        <v>0</v>
      </c>
      <c r="L4" s="33">
        <f t="shared" ref="L4:L197" si="3">SUM(I4:K4)</f>
        <v>111</v>
      </c>
    </row>
    <row r="5">
      <c r="A5" s="29">
        <v>2.0</v>
      </c>
      <c r="B5" s="30" t="s">
        <v>52</v>
      </c>
      <c r="C5" s="30" t="s">
        <v>53</v>
      </c>
      <c r="D5" s="31" t="str">
        <f t="shared" si="1"/>
        <v>S&amp;F PVC Bend 140 mm (DG) (Code: GWDMR002)</v>
      </c>
      <c r="E5" s="29" t="s">
        <v>43</v>
      </c>
      <c r="F5" s="32" t="s">
        <v>44</v>
      </c>
      <c r="G5" s="32" t="s">
        <v>45</v>
      </c>
      <c r="H5" s="32" t="s">
        <v>46</v>
      </c>
      <c r="I5" s="29">
        <v>150.0</v>
      </c>
      <c r="J5" s="29">
        <v>35.0</v>
      </c>
      <c r="K5" s="33">
        <f t="shared" si="2"/>
        <v>0</v>
      </c>
      <c r="L5" s="33">
        <f t="shared" si="3"/>
        <v>185</v>
      </c>
    </row>
    <row r="6">
      <c r="A6" s="29">
        <v>3.0</v>
      </c>
      <c r="B6" s="30" t="s">
        <v>55</v>
      </c>
      <c r="C6" s="30" t="s">
        <v>56</v>
      </c>
      <c r="D6" s="31" t="str">
        <f t="shared" si="1"/>
        <v>PVC End cap 140 mm (DG) (Code: GWDMR003)</v>
      </c>
      <c r="E6" s="29" t="s">
        <v>43</v>
      </c>
      <c r="F6" s="32" t="s">
        <v>44</v>
      </c>
      <c r="G6" s="32" t="s">
        <v>45</v>
      </c>
      <c r="H6" s="32" t="s">
        <v>57</v>
      </c>
      <c r="I6" s="29">
        <v>38.5</v>
      </c>
      <c r="J6" s="29">
        <v>37.0</v>
      </c>
      <c r="K6" s="33">
        <f t="shared" si="2"/>
        <v>0</v>
      </c>
      <c r="L6" s="33">
        <f t="shared" si="3"/>
        <v>75.5</v>
      </c>
    </row>
    <row r="7">
      <c r="A7" s="29">
        <v>4.0</v>
      </c>
      <c r="B7" s="30" t="s">
        <v>58</v>
      </c>
      <c r="C7" s="30" t="s">
        <v>59</v>
      </c>
      <c r="D7" s="31" t="str">
        <f t="shared" si="1"/>
        <v>PVC End cap 150 mm (DG) (Code: GWDMR004)</v>
      </c>
      <c r="E7" s="29" t="s">
        <v>43</v>
      </c>
      <c r="F7" s="32" t="s">
        <v>44</v>
      </c>
      <c r="G7" s="32" t="s">
        <v>45</v>
      </c>
      <c r="H7" s="32" t="s">
        <v>57</v>
      </c>
      <c r="I7" s="29">
        <v>41.2</v>
      </c>
      <c r="J7" s="29">
        <v>39.5</v>
      </c>
      <c r="K7" s="33">
        <f t="shared" si="2"/>
        <v>0</v>
      </c>
      <c r="L7" s="33">
        <f t="shared" si="3"/>
        <v>80.7</v>
      </c>
    </row>
    <row r="8">
      <c r="A8" s="29">
        <v>5.0</v>
      </c>
      <c r="B8" s="30" t="s">
        <v>60</v>
      </c>
      <c r="C8" s="30" t="s">
        <v>61</v>
      </c>
      <c r="D8" s="31" t="str">
        <f t="shared" si="1"/>
        <v>PVC End Cap 180 mm (DG) (Code: GWDMR005)</v>
      </c>
      <c r="E8" s="29" t="s">
        <v>43</v>
      </c>
      <c r="F8" s="32" t="s">
        <v>44</v>
      </c>
      <c r="G8" s="32" t="s">
        <v>45</v>
      </c>
      <c r="H8" s="32" t="s">
        <v>57</v>
      </c>
      <c r="I8" s="29">
        <v>47.8</v>
      </c>
      <c r="J8" s="29">
        <v>44.0</v>
      </c>
      <c r="K8" s="33">
        <f t="shared" si="2"/>
        <v>0</v>
      </c>
      <c r="L8" s="33">
        <f t="shared" si="3"/>
        <v>91.8</v>
      </c>
    </row>
    <row r="9">
      <c r="A9" s="29">
        <v>6.0</v>
      </c>
      <c r="B9" s="30" t="s">
        <v>63</v>
      </c>
      <c r="C9" s="30" t="s">
        <v>64</v>
      </c>
      <c r="D9" s="31" t="str">
        <f t="shared" si="1"/>
        <v>PVC End Cap 200 mm (DG) (Code: GWDMR006)</v>
      </c>
      <c r="E9" s="29" t="s">
        <v>43</v>
      </c>
      <c r="F9" s="32" t="s">
        <v>44</v>
      </c>
      <c r="G9" s="32" t="s">
        <v>45</v>
      </c>
      <c r="H9" s="32" t="s">
        <v>57</v>
      </c>
      <c r="I9" s="29">
        <v>52.5</v>
      </c>
      <c r="J9" s="29">
        <v>48.5</v>
      </c>
      <c r="K9" s="33">
        <f t="shared" si="2"/>
        <v>0</v>
      </c>
      <c r="L9" s="33">
        <f t="shared" si="3"/>
        <v>101</v>
      </c>
    </row>
    <row r="10">
      <c r="A10" s="29">
        <v>7.0</v>
      </c>
      <c r="B10" s="30" t="s">
        <v>66</v>
      </c>
      <c r="C10" s="30" t="s">
        <v>67</v>
      </c>
      <c r="D10" s="31" t="str">
        <f t="shared" si="1"/>
        <v>PVC Square End Cap 140 mm (Code: GWDMR007)</v>
      </c>
      <c r="E10" s="29" t="s">
        <v>43</v>
      </c>
      <c r="F10" s="32" t="s">
        <v>44</v>
      </c>
      <c r="G10" s="32" t="s">
        <v>68</v>
      </c>
      <c r="H10" s="32" t="s">
        <v>69</v>
      </c>
      <c r="I10" s="38">
        <v>200.0</v>
      </c>
      <c r="J10" s="29">
        <v>0.0</v>
      </c>
      <c r="K10" s="33">
        <f t="shared" si="2"/>
        <v>0</v>
      </c>
      <c r="L10" s="33">
        <f t="shared" si="3"/>
        <v>200</v>
      </c>
    </row>
    <row r="11">
      <c r="A11" s="29">
        <v>8.0</v>
      </c>
      <c r="B11" s="30" t="s">
        <v>71</v>
      </c>
      <c r="C11" s="30" t="s">
        <v>72</v>
      </c>
      <c r="D11" s="31" t="str">
        <f t="shared" si="1"/>
        <v>PVC Square End Cap 160 mm (Code: GWDMR008)</v>
      </c>
      <c r="E11" s="29" t="s">
        <v>43</v>
      </c>
      <c r="F11" s="32" t="s">
        <v>44</v>
      </c>
      <c r="G11" s="32" t="s">
        <v>68</v>
      </c>
      <c r="H11" s="32" t="s">
        <v>69</v>
      </c>
      <c r="I11" s="38">
        <v>250.0</v>
      </c>
      <c r="J11" s="29">
        <v>0.0</v>
      </c>
      <c r="K11" s="33">
        <f t="shared" si="2"/>
        <v>0</v>
      </c>
      <c r="L11" s="33">
        <f t="shared" si="3"/>
        <v>250</v>
      </c>
    </row>
    <row r="12">
      <c r="A12" s="29">
        <v>9.0</v>
      </c>
      <c r="B12" s="30" t="s">
        <v>74</v>
      </c>
      <c r="C12" s="30" t="s">
        <v>75</v>
      </c>
      <c r="D12" s="31" t="str">
        <f t="shared" si="1"/>
        <v>PVC Half  End Cap 140 mm (Code: GWDMR009)</v>
      </c>
      <c r="E12" s="29" t="s">
        <v>43</v>
      </c>
      <c r="F12" s="32" t="s">
        <v>44</v>
      </c>
      <c r="G12" s="32" t="s">
        <v>68</v>
      </c>
      <c r="H12" s="32" t="s">
        <v>69</v>
      </c>
      <c r="I12" s="38">
        <v>150.0</v>
      </c>
      <c r="J12" s="29">
        <v>0.0</v>
      </c>
      <c r="K12" s="33">
        <f t="shared" si="2"/>
        <v>0</v>
      </c>
      <c r="L12" s="33">
        <f t="shared" si="3"/>
        <v>150</v>
      </c>
    </row>
    <row r="13">
      <c r="A13" s="29">
        <v>10.0</v>
      </c>
      <c r="B13" s="30" t="s">
        <v>77</v>
      </c>
      <c r="C13" s="30" t="s">
        <v>78</v>
      </c>
      <c r="D13" s="31" t="str">
        <f t="shared" si="1"/>
        <v>PVC Half  End Cap 160 mm (Code: GWDMR010)</v>
      </c>
      <c r="E13" s="29" t="s">
        <v>43</v>
      </c>
      <c r="F13" s="32" t="s">
        <v>44</v>
      </c>
      <c r="G13" s="32" t="s">
        <v>68</v>
      </c>
      <c r="H13" s="32" t="s">
        <v>69</v>
      </c>
      <c r="I13" s="38">
        <v>160.0</v>
      </c>
      <c r="J13" s="29">
        <v>0.0</v>
      </c>
      <c r="K13" s="33">
        <f t="shared" si="2"/>
        <v>0</v>
      </c>
      <c r="L13" s="33">
        <f t="shared" si="3"/>
        <v>160</v>
      </c>
    </row>
    <row r="14">
      <c r="A14" s="29">
        <v>11.0</v>
      </c>
      <c r="B14" s="30" t="s">
        <v>80</v>
      </c>
      <c r="C14" s="30" t="s">
        <v>81</v>
      </c>
      <c r="D14" s="31" t="str">
        <f t="shared" si="1"/>
        <v>PVC Half Square End Cap 140 mm (Code: GWDMR011)</v>
      </c>
      <c r="E14" s="29" t="s">
        <v>43</v>
      </c>
      <c r="F14" s="32" t="s">
        <v>44</v>
      </c>
      <c r="G14" s="32" t="s">
        <v>68</v>
      </c>
      <c r="H14" s="32" t="s">
        <v>69</v>
      </c>
      <c r="I14" s="38">
        <v>150.0</v>
      </c>
      <c r="J14" s="29">
        <v>0.0</v>
      </c>
      <c r="K14" s="33">
        <f t="shared" si="2"/>
        <v>0</v>
      </c>
      <c r="L14" s="33">
        <f t="shared" si="3"/>
        <v>150</v>
      </c>
    </row>
    <row r="15">
      <c r="A15" s="29">
        <v>12.0</v>
      </c>
      <c r="B15" s="30" t="s">
        <v>82</v>
      </c>
      <c r="C15" s="30" t="s">
        <v>83</v>
      </c>
      <c r="D15" s="31" t="str">
        <f t="shared" si="1"/>
        <v>PVC Half Square End Cap 160 mm (Code: GWDMR012)</v>
      </c>
      <c r="E15" s="29" t="s">
        <v>43</v>
      </c>
      <c r="F15" s="32" t="s">
        <v>44</v>
      </c>
      <c r="G15" s="32" t="s">
        <v>68</v>
      </c>
      <c r="H15" s="32" t="s">
        <v>69</v>
      </c>
      <c r="I15" s="38">
        <v>175.0</v>
      </c>
      <c r="J15" s="29">
        <v>0.0</v>
      </c>
      <c r="K15" s="33">
        <f t="shared" si="2"/>
        <v>0</v>
      </c>
      <c r="L15" s="33">
        <f t="shared" si="3"/>
        <v>175</v>
      </c>
    </row>
    <row r="16">
      <c r="A16" s="29">
        <v>13.0</v>
      </c>
      <c r="B16" s="30" t="s">
        <v>85</v>
      </c>
      <c r="C16" s="30" t="s">
        <v>86</v>
      </c>
      <c r="D16" s="31" t="str">
        <f t="shared" si="1"/>
        <v>S&amp;F PVC Tee 90 mm (DG) (Code: GWDMR013)</v>
      </c>
      <c r="E16" s="29" t="s">
        <v>43</v>
      </c>
      <c r="F16" s="32" t="s">
        <v>44</v>
      </c>
      <c r="G16" s="32" t="s">
        <v>45</v>
      </c>
      <c r="H16" s="32" t="s">
        <v>87</v>
      </c>
      <c r="I16" s="29">
        <v>85.0</v>
      </c>
      <c r="J16" s="29">
        <v>32.5</v>
      </c>
      <c r="K16" s="33">
        <f t="shared" si="2"/>
        <v>0</v>
      </c>
      <c r="L16" s="33">
        <f t="shared" si="3"/>
        <v>117.5</v>
      </c>
    </row>
    <row r="17">
      <c r="A17" s="29">
        <v>14.0</v>
      </c>
      <c r="B17" s="30" t="s">
        <v>90</v>
      </c>
      <c r="C17" s="30" t="s">
        <v>92</v>
      </c>
      <c r="D17" s="31" t="str">
        <f t="shared" si="1"/>
        <v>S&amp;F PVC Tee 140 mm (DG) (Code: GWDMR014)</v>
      </c>
      <c r="E17" s="29" t="s">
        <v>43</v>
      </c>
      <c r="F17" s="32" t="s">
        <v>44</v>
      </c>
      <c r="G17" s="32" t="s">
        <v>45</v>
      </c>
      <c r="H17" s="32" t="s">
        <v>87</v>
      </c>
      <c r="I17" s="29">
        <v>160.0</v>
      </c>
      <c r="J17" s="29">
        <v>36.0</v>
      </c>
      <c r="K17" s="33">
        <f t="shared" si="2"/>
        <v>0</v>
      </c>
      <c r="L17" s="33">
        <f t="shared" si="3"/>
        <v>196</v>
      </c>
    </row>
    <row r="18">
      <c r="A18" s="29">
        <v>15.0</v>
      </c>
      <c r="B18" s="30" t="s">
        <v>93</v>
      </c>
      <c r="C18" s="30" t="s">
        <v>94</v>
      </c>
      <c r="D18" s="31" t="str">
        <f t="shared" si="1"/>
        <v>S&amp;F PVC Tee 160 mm (DG) (Code: GWDMR015)</v>
      </c>
      <c r="E18" s="29" t="s">
        <v>43</v>
      </c>
      <c r="F18" s="32" t="s">
        <v>44</v>
      </c>
      <c r="G18" s="32" t="s">
        <v>45</v>
      </c>
      <c r="H18" s="32" t="s">
        <v>87</v>
      </c>
      <c r="I18" s="29">
        <v>190.0</v>
      </c>
      <c r="J18" s="29">
        <v>37.5</v>
      </c>
      <c r="K18" s="33">
        <f t="shared" si="2"/>
        <v>0</v>
      </c>
      <c r="L18" s="33">
        <f t="shared" si="3"/>
        <v>227.5</v>
      </c>
    </row>
    <row r="19">
      <c r="A19" s="29">
        <v>16.0</v>
      </c>
      <c r="B19" s="30" t="s">
        <v>96</v>
      </c>
      <c r="C19" s="48" t="s">
        <v>99</v>
      </c>
      <c r="D19" s="31" t="str">
        <f t="shared" si="1"/>
        <v>PVC Reducer 90X75 mm (Code: GWDMR016)</v>
      </c>
      <c r="E19" s="29" t="s">
        <v>43</v>
      </c>
      <c r="F19" s="32" t="s">
        <v>44</v>
      </c>
      <c r="G19" s="32" t="s">
        <v>45</v>
      </c>
      <c r="H19" s="32" t="s">
        <v>100</v>
      </c>
      <c r="I19" s="29">
        <v>73.0</v>
      </c>
      <c r="J19" s="29">
        <v>0.0</v>
      </c>
      <c r="K19" s="33">
        <f t="shared" si="2"/>
        <v>0</v>
      </c>
      <c r="L19" s="33">
        <f t="shared" si="3"/>
        <v>73</v>
      </c>
    </row>
    <row r="20">
      <c r="A20" s="29">
        <v>17.0</v>
      </c>
      <c r="B20" s="30" t="s">
        <v>101</v>
      </c>
      <c r="C20" s="48" t="s">
        <v>102</v>
      </c>
      <c r="D20" s="31" t="str">
        <f t="shared" si="1"/>
        <v>PVC Reducer 110X90 mm (Code: GWDMR017)</v>
      </c>
      <c r="E20" s="29" t="s">
        <v>43</v>
      </c>
      <c r="F20" s="32" t="s">
        <v>44</v>
      </c>
      <c r="G20" s="32" t="s">
        <v>45</v>
      </c>
      <c r="H20" s="32" t="s">
        <v>100</v>
      </c>
      <c r="I20" s="29">
        <v>122.0</v>
      </c>
      <c r="J20" s="29">
        <v>0.0</v>
      </c>
      <c r="K20" s="33">
        <f t="shared" si="2"/>
        <v>0</v>
      </c>
      <c r="L20" s="33">
        <f t="shared" si="3"/>
        <v>122</v>
      </c>
    </row>
    <row r="21">
      <c r="A21" s="29">
        <v>18.0</v>
      </c>
      <c r="B21" s="30" t="s">
        <v>104</v>
      </c>
      <c r="C21" s="48" t="s">
        <v>105</v>
      </c>
      <c r="D21" s="31" t="str">
        <f t="shared" si="1"/>
        <v>PVC Reducer 140X90 mm (Code: GWDMR018)</v>
      </c>
      <c r="E21" s="29" t="s">
        <v>43</v>
      </c>
      <c r="F21" s="32" t="s">
        <v>44</v>
      </c>
      <c r="G21" s="32" t="s">
        <v>45</v>
      </c>
      <c r="H21" s="32" t="s">
        <v>100</v>
      </c>
      <c r="I21" s="29">
        <v>156.0</v>
      </c>
      <c r="J21" s="29">
        <v>0.0</v>
      </c>
      <c r="K21" s="33">
        <f t="shared" si="2"/>
        <v>0</v>
      </c>
      <c r="L21" s="33">
        <f t="shared" si="3"/>
        <v>156</v>
      </c>
    </row>
    <row r="22">
      <c r="A22" s="29">
        <v>19.0</v>
      </c>
      <c r="B22" s="30" t="s">
        <v>108</v>
      </c>
      <c r="C22" s="48" t="s">
        <v>109</v>
      </c>
      <c r="D22" s="31" t="str">
        <f t="shared" si="1"/>
        <v>PVC Reducer 160X140 mm (Code: GWDMR019)</v>
      </c>
      <c r="E22" s="29" t="s">
        <v>43</v>
      </c>
      <c r="F22" s="32" t="s">
        <v>44</v>
      </c>
      <c r="G22" s="32" t="s">
        <v>45</v>
      </c>
      <c r="H22" s="32" t="s">
        <v>100</v>
      </c>
      <c r="I22" s="29">
        <v>342.0</v>
      </c>
      <c r="J22" s="29">
        <v>0.0</v>
      </c>
      <c r="K22" s="33">
        <f t="shared" si="2"/>
        <v>0</v>
      </c>
      <c r="L22" s="33">
        <f t="shared" si="3"/>
        <v>342</v>
      </c>
    </row>
    <row r="23">
      <c r="A23" s="29">
        <v>20.0</v>
      </c>
      <c r="B23" s="30" t="s">
        <v>110</v>
      </c>
      <c r="C23" s="48" t="s">
        <v>111</v>
      </c>
      <c r="D23" s="31" t="str">
        <f t="shared" si="1"/>
        <v>PVC Reducer 160X110 mm (Code: GWDMR020)</v>
      </c>
      <c r="E23" s="29" t="s">
        <v>43</v>
      </c>
      <c r="F23" s="32" t="s">
        <v>44</v>
      </c>
      <c r="G23" s="32" t="s">
        <v>45</v>
      </c>
      <c r="H23" s="32" t="s">
        <v>100</v>
      </c>
      <c r="I23" s="29">
        <v>290.0</v>
      </c>
      <c r="J23" s="29">
        <v>0.0</v>
      </c>
      <c r="K23" s="33">
        <f t="shared" si="2"/>
        <v>0</v>
      </c>
      <c r="L23" s="33">
        <f t="shared" si="3"/>
        <v>290</v>
      </c>
    </row>
    <row r="24">
      <c r="A24" s="29" t="s">
        <v>113</v>
      </c>
      <c r="B24" s="30" t="s">
        <v>114</v>
      </c>
      <c r="C24" s="30" t="s">
        <v>115</v>
      </c>
      <c r="D24" s="31" t="str">
        <f t="shared" si="1"/>
        <v>PVC Reducer 140X110 mm (Code: GWDMR020A)</v>
      </c>
      <c r="E24" s="29" t="s">
        <v>43</v>
      </c>
      <c r="F24" s="32" t="s">
        <v>44</v>
      </c>
      <c r="G24" s="32" t="s">
        <v>45</v>
      </c>
      <c r="H24" s="32" t="s">
        <v>100</v>
      </c>
      <c r="I24" s="29">
        <v>196.0</v>
      </c>
      <c r="J24" s="29">
        <v>0.0</v>
      </c>
      <c r="K24" s="33">
        <f t="shared" si="2"/>
        <v>0</v>
      </c>
      <c r="L24" s="33">
        <f t="shared" si="3"/>
        <v>196</v>
      </c>
    </row>
    <row r="25">
      <c r="A25" s="29">
        <v>21.0</v>
      </c>
      <c r="B25" s="30" t="s">
        <v>116</v>
      </c>
      <c r="C25" s="30" t="s">
        <v>117</v>
      </c>
      <c r="D25" s="31" t="str">
        <f t="shared" si="1"/>
        <v>PVC Runner Drop 140 mm (Code: GWDMR021)</v>
      </c>
      <c r="E25" s="29" t="s">
        <v>43</v>
      </c>
      <c r="F25" s="32" t="s">
        <v>44</v>
      </c>
      <c r="G25" s="32" t="s">
        <v>68</v>
      </c>
      <c r="H25" s="32" t="s">
        <v>69</v>
      </c>
      <c r="I25" s="29">
        <v>210.0</v>
      </c>
      <c r="J25" s="29">
        <v>0.0</v>
      </c>
      <c r="K25" s="33">
        <f t="shared" si="2"/>
        <v>0</v>
      </c>
      <c r="L25" s="33">
        <f t="shared" si="3"/>
        <v>210</v>
      </c>
    </row>
    <row r="26">
      <c r="A26" s="29">
        <v>22.0</v>
      </c>
      <c r="B26" s="30" t="s">
        <v>120</v>
      </c>
      <c r="C26" s="30" t="s">
        <v>121</v>
      </c>
      <c r="D26" s="31" t="str">
        <f t="shared" si="1"/>
        <v>PVC Runner Drop 160 mm (Code: GWDMR022)</v>
      </c>
      <c r="E26" s="29" t="s">
        <v>43</v>
      </c>
      <c r="F26" s="32" t="s">
        <v>44</v>
      </c>
      <c r="G26" s="32" t="s">
        <v>68</v>
      </c>
      <c r="H26" s="32" t="s">
        <v>69</v>
      </c>
      <c r="I26" s="29">
        <v>240.0</v>
      </c>
      <c r="J26" s="29">
        <v>0.0</v>
      </c>
      <c r="K26" s="33">
        <f t="shared" si="2"/>
        <v>0</v>
      </c>
      <c r="L26" s="33">
        <f t="shared" si="3"/>
        <v>240</v>
      </c>
    </row>
    <row r="27">
      <c r="A27" s="29">
        <v>23.0</v>
      </c>
      <c r="B27" s="30" t="s">
        <v>122</v>
      </c>
      <c r="C27" s="48" t="s">
        <v>123</v>
      </c>
      <c r="D27" s="31" t="str">
        <f t="shared" si="1"/>
        <v>PVC  End Drop 140 mm (Code: GWDMR023)</v>
      </c>
      <c r="E27" s="29" t="s">
        <v>43</v>
      </c>
      <c r="F27" s="32" t="s">
        <v>44</v>
      </c>
      <c r="G27" s="32" t="s">
        <v>68</v>
      </c>
      <c r="H27" s="32" t="s">
        <v>69</v>
      </c>
      <c r="I27" s="29">
        <v>192.0</v>
      </c>
      <c r="J27" s="29">
        <v>0.0</v>
      </c>
      <c r="K27" s="33">
        <f t="shared" si="2"/>
        <v>0</v>
      </c>
      <c r="L27" s="33">
        <f t="shared" si="3"/>
        <v>192</v>
      </c>
    </row>
    <row r="28">
      <c r="A28" s="29">
        <v>24.0</v>
      </c>
      <c r="B28" s="30" t="s">
        <v>125</v>
      </c>
      <c r="C28" s="48" t="s">
        <v>126</v>
      </c>
      <c r="D28" s="31" t="str">
        <f t="shared" si="1"/>
        <v>PVC End Drop 160 mm (Code: GWDMR024)</v>
      </c>
      <c r="E28" s="29" t="s">
        <v>43</v>
      </c>
      <c r="F28" s="32" t="s">
        <v>44</v>
      </c>
      <c r="G28" s="32" t="s">
        <v>68</v>
      </c>
      <c r="H28" s="32" t="s">
        <v>69</v>
      </c>
      <c r="I28" s="29">
        <v>216.0</v>
      </c>
      <c r="J28" s="29">
        <v>0.0</v>
      </c>
      <c r="K28" s="33">
        <f t="shared" si="2"/>
        <v>0</v>
      </c>
      <c r="L28" s="33">
        <f t="shared" si="3"/>
        <v>216</v>
      </c>
    </row>
    <row r="29">
      <c r="A29" s="29">
        <v>25.0</v>
      </c>
      <c r="B29" s="30" t="s">
        <v>127</v>
      </c>
      <c r="C29" s="48" t="s">
        <v>128</v>
      </c>
      <c r="D29" s="31" t="str">
        <f t="shared" si="1"/>
        <v>PVC Half End Drop 140 mm (Code: GWDMR025)</v>
      </c>
      <c r="E29" s="29" t="s">
        <v>43</v>
      </c>
      <c r="F29" s="32" t="s">
        <v>44</v>
      </c>
      <c r="G29" s="32" t="s">
        <v>68</v>
      </c>
      <c r="H29" s="32" t="s">
        <v>69</v>
      </c>
      <c r="I29" s="29">
        <v>174.0</v>
      </c>
      <c r="J29" s="29">
        <v>0.0</v>
      </c>
      <c r="K29" s="33">
        <f t="shared" si="2"/>
        <v>0</v>
      </c>
      <c r="L29" s="33">
        <f t="shared" si="3"/>
        <v>174</v>
      </c>
    </row>
    <row r="30">
      <c r="A30" s="29">
        <v>26.0</v>
      </c>
      <c r="B30" s="30" t="s">
        <v>130</v>
      </c>
      <c r="C30" s="48" t="s">
        <v>131</v>
      </c>
      <c r="D30" s="31" t="str">
        <f t="shared" si="1"/>
        <v>PVC Half End Drop 160 mm (Code: GWDMR026)</v>
      </c>
      <c r="E30" s="29" t="s">
        <v>43</v>
      </c>
      <c r="F30" s="32" t="s">
        <v>44</v>
      </c>
      <c r="G30" s="32" t="s">
        <v>68</v>
      </c>
      <c r="H30" s="32" t="s">
        <v>69</v>
      </c>
      <c r="I30" s="29">
        <v>192.0</v>
      </c>
      <c r="J30" s="29">
        <v>0.0</v>
      </c>
      <c r="K30" s="33">
        <f t="shared" si="2"/>
        <v>0</v>
      </c>
      <c r="L30" s="33">
        <f t="shared" si="3"/>
        <v>192</v>
      </c>
    </row>
    <row r="31">
      <c r="A31" s="29">
        <v>27.0</v>
      </c>
      <c r="B31" s="30" t="s">
        <v>132</v>
      </c>
      <c r="C31" s="30" t="s">
        <v>133</v>
      </c>
      <c r="D31" s="31" t="str">
        <f t="shared" si="1"/>
        <v>PVC Square End Drop 140 mm (Code: GWDMR027)</v>
      </c>
      <c r="E31" s="29" t="s">
        <v>43</v>
      </c>
      <c r="F31" s="32" t="s">
        <v>44</v>
      </c>
      <c r="G31" s="32" t="s">
        <v>68</v>
      </c>
      <c r="H31" s="32" t="s">
        <v>69</v>
      </c>
      <c r="I31" s="29">
        <v>198.0</v>
      </c>
      <c r="J31" s="29">
        <v>0.0</v>
      </c>
      <c r="K31" s="33">
        <f t="shared" si="2"/>
        <v>0</v>
      </c>
      <c r="L31" s="33">
        <f t="shared" si="3"/>
        <v>198</v>
      </c>
    </row>
    <row r="32">
      <c r="A32" s="29">
        <v>28.0</v>
      </c>
      <c r="B32" s="30" t="s">
        <v>136</v>
      </c>
      <c r="C32" s="48" t="s">
        <v>137</v>
      </c>
      <c r="D32" s="31" t="str">
        <f t="shared" si="1"/>
        <v>PVC Square End Drop 160 mm (Code: GWDMR028)</v>
      </c>
      <c r="E32" s="29" t="s">
        <v>43</v>
      </c>
      <c r="F32" s="32" t="s">
        <v>44</v>
      </c>
      <c r="G32" s="32" t="s">
        <v>68</v>
      </c>
      <c r="H32" s="32" t="s">
        <v>69</v>
      </c>
      <c r="I32" s="29">
        <v>222.0</v>
      </c>
      <c r="J32" s="29">
        <v>0.0</v>
      </c>
      <c r="K32" s="33">
        <f t="shared" si="2"/>
        <v>0</v>
      </c>
      <c r="L32" s="33">
        <f t="shared" si="3"/>
        <v>222</v>
      </c>
    </row>
    <row r="33">
      <c r="A33" s="29">
        <v>29.0</v>
      </c>
      <c r="B33" s="30" t="s">
        <v>138</v>
      </c>
      <c r="C33" s="30" t="s">
        <v>139</v>
      </c>
      <c r="D33" s="31" t="str">
        <f t="shared" si="1"/>
        <v>PVC Square Half End Drop 140 mm (Code: GWDMR029)</v>
      </c>
      <c r="E33" s="29" t="s">
        <v>43</v>
      </c>
      <c r="F33" s="32" t="s">
        <v>44</v>
      </c>
      <c r="G33" s="32" t="s">
        <v>68</v>
      </c>
      <c r="H33" s="32" t="s">
        <v>69</v>
      </c>
      <c r="I33" s="29">
        <v>180.0</v>
      </c>
      <c r="J33" s="29">
        <v>0.0</v>
      </c>
      <c r="K33" s="33">
        <f t="shared" si="2"/>
        <v>0</v>
      </c>
      <c r="L33" s="33">
        <f t="shared" si="3"/>
        <v>180</v>
      </c>
    </row>
    <row r="34">
      <c r="A34" s="29">
        <v>30.0</v>
      </c>
      <c r="B34" s="30" t="s">
        <v>142</v>
      </c>
      <c r="C34" s="48" t="s">
        <v>143</v>
      </c>
      <c r="D34" s="31" t="str">
        <f t="shared" si="1"/>
        <v>PVC Square Half End Drop 160 mm (Code: GWDMR030)</v>
      </c>
      <c r="E34" s="29" t="s">
        <v>43</v>
      </c>
      <c r="F34" s="32" t="s">
        <v>44</v>
      </c>
      <c r="G34" s="32" t="s">
        <v>68</v>
      </c>
      <c r="H34" s="32" t="s">
        <v>69</v>
      </c>
      <c r="I34" s="29">
        <v>204.0</v>
      </c>
      <c r="J34" s="29">
        <v>0.0</v>
      </c>
      <c r="K34" s="33">
        <f t="shared" si="2"/>
        <v>0</v>
      </c>
      <c r="L34" s="33">
        <f t="shared" si="3"/>
        <v>204</v>
      </c>
    </row>
    <row r="35">
      <c r="A35" s="29">
        <v>31.0</v>
      </c>
      <c r="B35" s="30" t="s">
        <v>144</v>
      </c>
      <c r="C35" s="30" t="s">
        <v>146</v>
      </c>
      <c r="D35" s="31" t="str">
        <f t="shared" si="1"/>
        <v>S&amp;F PVC 45o Elbow 90 mm (DG) (Code: GWDMR031)</v>
      </c>
      <c r="E35" s="29" t="s">
        <v>43</v>
      </c>
      <c r="F35" s="32" t="s">
        <v>44</v>
      </c>
      <c r="G35" s="32" t="s">
        <v>45</v>
      </c>
      <c r="H35" s="32" t="s">
        <v>147</v>
      </c>
      <c r="I35" s="29">
        <v>45.0</v>
      </c>
      <c r="J35" s="29">
        <v>31.5</v>
      </c>
      <c r="K35" s="33">
        <f t="shared" si="2"/>
        <v>0</v>
      </c>
      <c r="L35" s="33">
        <f t="shared" si="3"/>
        <v>76.5</v>
      </c>
    </row>
    <row r="36">
      <c r="A36" s="29">
        <v>32.0</v>
      </c>
      <c r="B36" s="30" t="s">
        <v>148</v>
      </c>
      <c r="C36" s="30" t="s">
        <v>149</v>
      </c>
      <c r="D36" s="31" t="str">
        <f t="shared" si="1"/>
        <v>S&amp;F PVC 45o Elbow 140 mm (DG) (Code: GWDMR032)</v>
      </c>
      <c r="E36" s="29" t="s">
        <v>43</v>
      </c>
      <c r="F36" s="32" t="s">
        <v>44</v>
      </c>
      <c r="G36" s="32" t="s">
        <v>45</v>
      </c>
      <c r="H36" s="32" t="s">
        <v>147</v>
      </c>
      <c r="I36" s="29">
        <v>80.0</v>
      </c>
      <c r="J36" s="29">
        <v>38.0</v>
      </c>
      <c r="K36" s="33">
        <f t="shared" si="2"/>
        <v>0</v>
      </c>
      <c r="L36" s="33">
        <f t="shared" si="3"/>
        <v>118</v>
      </c>
    </row>
    <row r="37">
      <c r="A37" s="29">
        <v>33.0</v>
      </c>
      <c r="B37" s="30" t="s">
        <v>150</v>
      </c>
      <c r="C37" s="30" t="s">
        <v>151</v>
      </c>
      <c r="D37" s="31" t="str">
        <f t="shared" si="1"/>
        <v>S&amp;F PVC 45o Elbow 160 mm (DG) (Code: GWDMR033)</v>
      </c>
      <c r="E37" s="29" t="s">
        <v>43</v>
      </c>
      <c r="F37" s="32" t="s">
        <v>44</v>
      </c>
      <c r="G37" s="32" t="s">
        <v>45</v>
      </c>
      <c r="H37" s="32" t="s">
        <v>147</v>
      </c>
      <c r="I37" s="29">
        <v>95.0</v>
      </c>
      <c r="J37" s="29">
        <v>42.0</v>
      </c>
      <c r="K37" s="33">
        <f t="shared" si="2"/>
        <v>0</v>
      </c>
      <c r="L37" s="33">
        <f t="shared" si="3"/>
        <v>137</v>
      </c>
    </row>
    <row r="38">
      <c r="A38" s="29">
        <v>34.0</v>
      </c>
      <c r="B38" s="30" t="s">
        <v>152</v>
      </c>
      <c r="C38" s="48" t="s">
        <v>153</v>
      </c>
      <c r="D38" s="31" t="str">
        <f t="shared" si="1"/>
        <v>PVC Tank connector 32 mm (Code: GWDMR034)</v>
      </c>
      <c r="E38" s="29" t="s">
        <v>43</v>
      </c>
      <c r="F38" s="32" t="s">
        <v>44</v>
      </c>
      <c r="G38" s="32" t="s">
        <v>49</v>
      </c>
      <c r="H38" s="32" t="s">
        <v>154</v>
      </c>
      <c r="I38" s="29">
        <v>216.0</v>
      </c>
      <c r="J38" s="29">
        <v>0.0</v>
      </c>
      <c r="K38" s="33">
        <f t="shared" si="2"/>
        <v>0</v>
      </c>
      <c r="L38" s="33">
        <f t="shared" si="3"/>
        <v>216</v>
      </c>
    </row>
    <row r="39">
      <c r="A39" s="29">
        <v>35.0</v>
      </c>
      <c r="B39" s="30" t="s">
        <v>155</v>
      </c>
      <c r="C39" s="48" t="s">
        <v>157</v>
      </c>
      <c r="D39" s="31" t="str">
        <f t="shared" si="1"/>
        <v>PVC Tank connector 40 mm (Code: GWDMR035)</v>
      </c>
      <c r="E39" s="29" t="s">
        <v>43</v>
      </c>
      <c r="F39" s="32" t="s">
        <v>44</v>
      </c>
      <c r="G39" s="32" t="s">
        <v>49</v>
      </c>
      <c r="H39" s="32" t="s">
        <v>154</v>
      </c>
      <c r="I39" s="29">
        <v>240.0</v>
      </c>
      <c r="J39" s="29">
        <v>0.0</v>
      </c>
      <c r="K39" s="33">
        <f t="shared" si="2"/>
        <v>0</v>
      </c>
      <c r="L39" s="33">
        <f t="shared" si="3"/>
        <v>240</v>
      </c>
    </row>
    <row r="40">
      <c r="A40" s="29">
        <v>36.0</v>
      </c>
      <c r="B40" s="30" t="s">
        <v>158</v>
      </c>
      <c r="C40" s="48" t="s">
        <v>159</v>
      </c>
      <c r="D40" s="31" t="str">
        <f t="shared" si="1"/>
        <v>PVC Tank connector 50 mm (Code: GWDMR036)</v>
      </c>
      <c r="E40" s="29" t="s">
        <v>43</v>
      </c>
      <c r="F40" s="32" t="s">
        <v>44</v>
      </c>
      <c r="G40" s="32" t="s">
        <v>49</v>
      </c>
      <c r="H40" s="32" t="s">
        <v>154</v>
      </c>
      <c r="I40" s="29">
        <v>288.0</v>
      </c>
      <c r="J40" s="29">
        <v>0.0</v>
      </c>
      <c r="K40" s="33">
        <f t="shared" si="2"/>
        <v>0</v>
      </c>
      <c r="L40" s="33">
        <f t="shared" si="3"/>
        <v>288</v>
      </c>
    </row>
    <row r="41">
      <c r="A41" s="29">
        <v>37.0</v>
      </c>
      <c r="B41" s="30" t="s">
        <v>160</v>
      </c>
      <c r="C41" s="48" t="s">
        <v>161</v>
      </c>
      <c r="D41" s="31" t="str">
        <f t="shared" si="1"/>
        <v>PVC Tank connector 63 mm (Code: GWDMR037)</v>
      </c>
      <c r="E41" s="29" t="s">
        <v>43</v>
      </c>
      <c r="F41" s="32" t="s">
        <v>44</v>
      </c>
      <c r="G41" s="32" t="s">
        <v>49</v>
      </c>
      <c r="H41" s="32" t="s">
        <v>154</v>
      </c>
      <c r="I41" s="29">
        <v>420.0</v>
      </c>
      <c r="J41" s="29">
        <v>0.0</v>
      </c>
      <c r="K41" s="33">
        <f t="shared" si="2"/>
        <v>0</v>
      </c>
      <c r="L41" s="33">
        <f t="shared" si="3"/>
        <v>420</v>
      </c>
    </row>
    <row r="42">
      <c r="A42" s="29">
        <v>38.0</v>
      </c>
      <c r="B42" s="30" t="s">
        <v>163</v>
      </c>
      <c r="C42" s="48" t="s">
        <v>164</v>
      </c>
      <c r="D42" s="31" t="str">
        <f t="shared" si="1"/>
        <v>PVC Tank connector 75 mm (Code: GWDMR038)</v>
      </c>
      <c r="E42" s="29" t="s">
        <v>43</v>
      </c>
      <c r="F42" s="32" t="s">
        <v>44</v>
      </c>
      <c r="G42" s="32" t="s">
        <v>49</v>
      </c>
      <c r="H42" s="32" t="s">
        <v>154</v>
      </c>
      <c r="I42" s="29">
        <v>456.0</v>
      </c>
      <c r="J42" s="29">
        <v>0.0</v>
      </c>
      <c r="K42" s="33">
        <f t="shared" si="2"/>
        <v>0</v>
      </c>
      <c r="L42" s="33">
        <f t="shared" si="3"/>
        <v>456</v>
      </c>
    </row>
    <row r="43">
      <c r="A43" s="29">
        <v>39.0</v>
      </c>
      <c r="B43" s="30" t="s">
        <v>166</v>
      </c>
      <c r="C43" s="48" t="s">
        <v>167</v>
      </c>
      <c r="D43" s="31" t="str">
        <f t="shared" si="1"/>
        <v>PVC Tank connector 90 mm (Code: GWDMR039)</v>
      </c>
      <c r="E43" s="29" t="s">
        <v>43</v>
      </c>
      <c r="F43" s="32" t="s">
        <v>44</v>
      </c>
      <c r="G43" s="32" t="s">
        <v>49</v>
      </c>
      <c r="H43" s="32" t="s">
        <v>154</v>
      </c>
      <c r="I43" s="29">
        <v>540.0</v>
      </c>
      <c r="J43" s="29">
        <v>0.0</v>
      </c>
      <c r="K43" s="33">
        <f t="shared" si="2"/>
        <v>0</v>
      </c>
      <c r="L43" s="33">
        <f t="shared" si="3"/>
        <v>540</v>
      </c>
    </row>
    <row r="44">
      <c r="A44" s="29">
        <v>40.0</v>
      </c>
      <c r="B44" s="30" t="s">
        <v>168</v>
      </c>
      <c r="C44" s="48" t="s">
        <v>169</v>
      </c>
      <c r="D44" s="31" t="str">
        <f t="shared" si="1"/>
        <v>PVC Ball valve 25 mm (Code: GWDMR040)</v>
      </c>
      <c r="E44" s="29" t="s">
        <v>43</v>
      </c>
      <c r="F44" s="32" t="s">
        <v>44</v>
      </c>
      <c r="G44" s="32" t="s">
        <v>49</v>
      </c>
      <c r="H44" s="32" t="s">
        <v>170</v>
      </c>
      <c r="I44" s="29">
        <v>168.0</v>
      </c>
      <c r="J44" s="29">
        <v>0.0</v>
      </c>
      <c r="K44" s="33">
        <f t="shared" si="2"/>
        <v>0</v>
      </c>
      <c r="L44" s="33">
        <f t="shared" si="3"/>
        <v>168</v>
      </c>
    </row>
    <row r="45">
      <c r="A45" s="29">
        <v>41.0</v>
      </c>
      <c r="B45" s="30" t="s">
        <v>171</v>
      </c>
      <c r="C45" s="48" t="s">
        <v>172</v>
      </c>
      <c r="D45" s="31" t="str">
        <f t="shared" si="1"/>
        <v>PVC Ball valve 32 mm (Code: GWDMR041)</v>
      </c>
      <c r="E45" s="29" t="s">
        <v>43</v>
      </c>
      <c r="F45" s="32" t="s">
        <v>44</v>
      </c>
      <c r="G45" s="32" t="s">
        <v>49</v>
      </c>
      <c r="H45" s="32" t="s">
        <v>170</v>
      </c>
      <c r="I45" s="29">
        <v>216.0</v>
      </c>
      <c r="J45" s="29">
        <v>0.0</v>
      </c>
      <c r="K45" s="33">
        <f t="shared" si="2"/>
        <v>0</v>
      </c>
      <c r="L45" s="33">
        <f t="shared" si="3"/>
        <v>216</v>
      </c>
    </row>
    <row r="46">
      <c r="A46" s="29">
        <v>42.0</v>
      </c>
      <c r="B46" s="30" t="s">
        <v>173</v>
      </c>
      <c r="C46" s="48" t="s">
        <v>174</v>
      </c>
      <c r="D46" s="31" t="str">
        <f t="shared" si="1"/>
        <v>PVC Ball valve 40 mm (Code: GWDMR042)</v>
      </c>
      <c r="E46" s="29" t="s">
        <v>43</v>
      </c>
      <c r="F46" s="32" t="s">
        <v>44</v>
      </c>
      <c r="G46" s="32" t="s">
        <v>49</v>
      </c>
      <c r="H46" s="32" t="s">
        <v>170</v>
      </c>
      <c r="I46" s="29">
        <v>336.0</v>
      </c>
      <c r="J46" s="29">
        <v>0.0</v>
      </c>
      <c r="K46" s="33">
        <f t="shared" si="2"/>
        <v>0</v>
      </c>
      <c r="L46" s="33">
        <f t="shared" si="3"/>
        <v>336</v>
      </c>
    </row>
    <row r="47">
      <c r="A47" s="29">
        <v>43.0</v>
      </c>
      <c r="B47" s="30" t="s">
        <v>177</v>
      </c>
      <c r="C47" s="48" t="s">
        <v>178</v>
      </c>
      <c r="D47" s="31" t="str">
        <f t="shared" si="1"/>
        <v>PVC Ball valve 50 mm (Code: GWDMR043)</v>
      </c>
      <c r="E47" s="29" t="s">
        <v>43</v>
      </c>
      <c r="F47" s="32" t="s">
        <v>44</v>
      </c>
      <c r="G47" s="32" t="s">
        <v>49</v>
      </c>
      <c r="H47" s="32" t="s">
        <v>170</v>
      </c>
      <c r="I47" s="29">
        <v>456.0</v>
      </c>
      <c r="J47" s="29">
        <v>0.0</v>
      </c>
      <c r="K47" s="33">
        <f t="shared" si="2"/>
        <v>0</v>
      </c>
      <c r="L47" s="33">
        <f t="shared" si="3"/>
        <v>456</v>
      </c>
    </row>
    <row r="48">
      <c r="A48" s="29">
        <v>44.0</v>
      </c>
      <c r="B48" s="30" t="s">
        <v>179</v>
      </c>
      <c r="C48" s="48" t="s">
        <v>180</v>
      </c>
      <c r="D48" s="31" t="str">
        <f t="shared" si="1"/>
        <v>PVC Ball valve 63 mm (Code: GWDMR044)</v>
      </c>
      <c r="E48" s="29" t="s">
        <v>43</v>
      </c>
      <c r="F48" s="32" t="s">
        <v>44</v>
      </c>
      <c r="G48" s="32" t="s">
        <v>49</v>
      </c>
      <c r="H48" s="32" t="s">
        <v>170</v>
      </c>
      <c r="I48" s="29">
        <v>480.0</v>
      </c>
      <c r="J48" s="29">
        <v>0.0</v>
      </c>
      <c r="K48" s="33">
        <f t="shared" si="2"/>
        <v>0</v>
      </c>
      <c r="L48" s="33">
        <f t="shared" si="3"/>
        <v>480</v>
      </c>
    </row>
    <row r="49">
      <c r="A49" s="29">
        <v>45.0</v>
      </c>
      <c r="B49" s="30" t="s">
        <v>181</v>
      </c>
      <c r="C49" s="48" t="s">
        <v>182</v>
      </c>
      <c r="D49" s="31" t="str">
        <f t="shared" si="1"/>
        <v>PVC Ball valve 75 mm (Code: GWDMR045)</v>
      </c>
      <c r="E49" s="29" t="s">
        <v>43</v>
      </c>
      <c r="F49" s="32" t="s">
        <v>44</v>
      </c>
      <c r="G49" s="32" t="s">
        <v>49</v>
      </c>
      <c r="H49" s="32" t="s">
        <v>170</v>
      </c>
      <c r="I49" s="29">
        <v>720.0</v>
      </c>
      <c r="J49" s="29">
        <v>0.0</v>
      </c>
      <c r="K49" s="33">
        <f t="shared" si="2"/>
        <v>0</v>
      </c>
      <c r="L49" s="33">
        <f t="shared" si="3"/>
        <v>720</v>
      </c>
    </row>
    <row r="50">
      <c r="A50" s="29">
        <v>46.0</v>
      </c>
      <c r="B50" s="30" t="s">
        <v>184</v>
      </c>
      <c r="C50" s="48" t="s">
        <v>186</v>
      </c>
      <c r="D50" s="31" t="str">
        <f t="shared" si="1"/>
        <v>PVC Ball valve 90 mm (Code: GWDMR046)</v>
      </c>
      <c r="E50" s="29" t="s">
        <v>43</v>
      </c>
      <c r="F50" s="32" t="s">
        <v>44</v>
      </c>
      <c r="G50" s="32" t="s">
        <v>49</v>
      </c>
      <c r="H50" s="32" t="s">
        <v>170</v>
      </c>
      <c r="I50" s="29">
        <v>840.0</v>
      </c>
      <c r="J50" s="29">
        <v>0.0</v>
      </c>
      <c r="K50" s="33">
        <f t="shared" si="2"/>
        <v>0</v>
      </c>
      <c r="L50" s="33">
        <f t="shared" si="3"/>
        <v>840</v>
      </c>
    </row>
    <row r="51">
      <c r="A51" s="29">
        <v>47.0</v>
      </c>
      <c r="B51" s="30" t="s">
        <v>189</v>
      </c>
      <c r="C51" s="48" t="s">
        <v>190</v>
      </c>
      <c r="D51" s="31" t="str">
        <f t="shared" si="1"/>
        <v>PVC Ball valve 110 mm (Code: GWDMR047)</v>
      </c>
      <c r="E51" s="29" t="s">
        <v>43</v>
      </c>
      <c r="F51" s="32" t="s">
        <v>44</v>
      </c>
      <c r="G51" s="32" t="s">
        <v>49</v>
      </c>
      <c r="H51" s="32" t="s">
        <v>170</v>
      </c>
      <c r="I51" s="29">
        <v>1020.0</v>
      </c>
      <c r="J51" s="29">
        <v>0.0</v>
      </c>
      <c r="K51" s="33">
        <f t="shared" si="2"/>
        <v>0</v>
      </c>
      <c r="L51" s="33">
        <f t="shared" si="3"/>
        <v>1020</v>
      </c>
    </row>
    <row r="52">
      <c r="A52" s="29">
        <v>48.0</v>
      </c>
      <c r="B52" s="30" t="s">
        <v>192</v>
      </c>
      <c r="C52" s="52" t="s">
        <v>193</v>
      </c>
      <c r="D52" s="31" t="str">
        <f t="shared" si="1"/>
        <v>S&amp;F PVC Coupling 32 mm (DG) (Code: GWDMR048)</v>
      </c>
      <c r="E52" s="29" t="s">
        <v>43</v>
      </c>
      <c r="F52" s="32" t="s">
        <v>44</v>
      </c>
      <c r="G52" s="32" t="s">
        <v>45</v>
      </c>
      <c r="H52" s="32" t="s">
        <v>194</v>
      </c>
      <c r="I52" s="29">
        <v>9.0</v>
      </c>
      <c r="J52" s="29">
        <v>28.46</v>
      </c>
      <c r="K52" s="33">
        <f t="shared" si="2"/>
        <v>0</v>
      </c>
      <c r="L52" s="33">
        <f t="shared" si="3"/>
        <v>37.46</v>
      </c>
    </row>
    <row r="53">
      <c r="A53" s="29">
        <v>49.0</v>
      </c>
      <c r="B53" s="30" t="s">
        <v>196</v>
      </c>
      <c r="C53" s="52" t="s">
        <v>197</v>
      </c>
      <c r="D53" s="31" t="str">
        <f t="shared" si="1"/>
        <v>S&amp;F PVC Coupling 40 mm (DG) (Code: GWDMR049)</v>
      </c>
      <c r="E53" s="29" t="s">
        <v>43</v>
      </c>
      <c r="F53" s="32" t="s">
        <v>44</v>
      </c>
      <c r="G53" s="32" t="s">
        <v>45</v>
      </c>
      <c r="H53" s="32" t="s">
        <v>194</v>
      </c>
      <c r="I53" s="29">
        <v>13.0</v>
      </c>
      <c r="J53" s="29">
        <v>28.46</v>
      </c>
      <c r="K53" s="33">
        <f t="shared" si="2"/>
        <v>0</v>
      </c>
      <c r="L53" s="33">
        <f t="shared" si="3"/>
        <v>41.46</v>
      </c>
    </row>
    <row r="54">
      <c r="A54" s="29">
        <v>50.0</v>
      </c>
      <c r="B54" s="30" t="s">
        <v>198</v>
      </c>
      <c r="C54" s="52" t="s">
        <v>199</v>
      </c>
      <c r="D54" s="31" t="str">
        <f t="shared" si="1"/>
        <v>S&amp;F PVC Coupling 50 mm (DG) (Code: GWDMR050)</v>
      </c>
      <c r="E54" s="29" t="s">
        <v>43</v>
      </c>
      <c r="F54" s="32" t="s">
        <v>44</v>
      </c>
      <c r="G54" s="32" t="s">
        <v>45</v>
      </c>
      <c r="H54" s="32" t="s">
        <v>194</v>
      </c>
      <c r="I54" s="29">
        <v>18.0</v>
      </c>
      <c r="J54" s="29">
        <v>28.46</v>
      </c>
      <c r="K54" s="33">
        <f t="shared" si="2"/>
        <v>0</v>
      </c>
      <c r="L54" s="33">
        <f t="shared" si="3"/>
        <v>46.46</v>
      </c>
    </row>
    <row r="55">
      <c r="A55" s="29">
        <v>51.0</v>
      </c>
      <c r="B55" s="30" t="s">
        <v>200</v>
      </c>
      <c r="C55" s="48" t="s">
        <v>201</v>
      </c>
      <c r="D55" s="31" t="str">
        <f t="shared" si="1"/>
        <v>GI Bend 32 mm (Code: GWDMR052)</v>
      </c>
      <c r="E55" s="29" t="s">
        <v>43</v>
      </c>
      <c r="F55" s="32" t="s">
        <v>44</v>
      </c>
      <c r="G55" s="32" t="s">
        <v>49</v>
      </c>
      <c r="H55" s="32" t="s">
        <v>202</v>
      </c>
      <c r="I55" s="29">
        <v>132.0</v>
      </c>
      <c r="J55" s="29">
        <v>0.0</v>
      </c>
      <c r="K55" s="33">
        <f t="shared" si="2"/>
        <v>0</v>
      </c>
      <c r="L55" s="33">
        <f t="shared" si="3"/>
        <v>132</v>
      </c>
    </row>
    <row r="56">
      <c r="A56" s="29">
        <v>52.0</v>
      </c>
      <c r="B56" s="30" t="s">
        <v>203</v>
      </c>
      <c r="C56" s="48" t="s">
        <v>204</v>
      </c>
      <c r="D56" s="31" t="str">
        <f t="shared" si="1"/>
        <v>GI Bend 40 mm (Code: GWDMR053)</v>
      </c>
      <c r="E56" s="29" t="s">
        <v>43</v>
      </c>
      <c r="F56" s="32" t="s">
        <v>44</v>
      </c>
      <c r="G56" s="32" t="s">
        <v>49</v>
      </c>
      <c r="H56" s="32" t="s">
        <v>202</v>
      </c>
      <c r="I56" s="29">
        <v>162.0</v>
      </c>
      <c r="J56" s="29">
        <v>0.0</v>
      </c>
      <c r="K56" s="33">
        <f t="shared" si="2"/>
        <v>0</v>
      </c>
      <c r="L56" s="33">
        <f t="shared" si="3"/>
        <v>162</v>
      </c>
    </row>
    <row r="57">
      <c r="A57" s="29">
        <v>53.0</v>
      </c>
      <c r="B57" s="30" t="s">
        <v>205</v>
      </c>
      <c r="C57" s="48" t="s">
        <v>206</v>
      </c>
      <c r="D57" s="31" t="str">
        <f t="shared" si="1"/>
        <v>GI Bend 50 mm (Code: GWDMR054)</v>
      </c>
      <c r="E57" s="29" t="s">
        <v>43</v>
      </c>
      <c r="F57" s="32" t="s">
        <v>44</v>
      </c>
      <c r="G57" s="32" t="s">
        <v>49</v>
      </c>
      <c r="H57" s="32" t="s">
        <v>202</v>
      </c>
      <c r="I57" s="29">
        <v>246.0</v>
      </c>
      <c r="J57" s="29">
        <v>0.0</v>
      </c>
      <c r="K57" s="33">
        <f t="shared" si="2"/>
        <v>0</v>
      </c>
      <c r="L57" s="33">
        <f t="shared" si="3"/>
        <v>246</v>
      </c>
    </row>
    <row r="58">
      <c r="A58" s="29">
        <v>54.0</v>
      </c>
      <c r="B58" s="30" t="s">
        <v>208</v>
      </c>
      <c r="C58" s="48" t="s">
        <v>209</v>
      </c>
      <c r="D58" s="31" t="str">
        <f t="shared" si="1"/>
        <v>GI Bend 65 mm (Code: GWDMR055)</v>
      </c>
      <c r="E58" s="29" t="s">
        <v>43</v>
      </c>
      <c r="F58" s="32" t="s">
        <v>44</v>
      </c>
      <c r="G58" s="32" t="s">
        <v>49</v>
      </c>
      <c r="H58" s="32" t="s">
        <v>202</v>
      </c>
      <c r="I58" s="29">
        <v>414.0</v>
      </c>
      <c r="J58" s="29">
        <v>0.0</v>
      </c>
      <c r="K58" s="33">
        <f t="shared" si="2"/>
        <v>0</v>
      </c>
      <c r="L58" s="33">
        <f t="shared" si="3"/>
        <v>414</v>
      </c>
    </row>
    <row r="59">
      <c r="A59" s="29">
        <v>55.0</v>
      </c>
      <c r="B59" s="30" t="s">
        <v>210</v>
      </c>
      <c r="C59" s="48" t="s">
        <v>211</v>
      </c>
      <c r="D59" s="31" t="str">
        <f t="shared" si="1"/>
        <v>GI Socket 32 mm (Code: GWDMR056)</v>
      </c>
      <c r="E59" s="29" t="s">
        <v>43</v>
      </c>
      <c r="F59" s="32" t="s">
        <v>44</v>
      </c>
      <c r="G59" s="32" t="s">
        <v>49</v>
      </c>
      <c r="H59" s="32" t="s">
        <v>202</v>
      </c>
      <c r="I59" s="29">
        <v>51.11</v>
      </c>
      <c r="J59" s="29">
        <v>0.0</v>
      </c>
      <c r="K59" s="33">
        <f t="shared" si="2"/>
        <v>0</v>
      </c>
      <c r="L59" s="33">
        <f t="shared" si="3"/>
        <v>51.11</v>
      </c>
    </row>
    <row r="60">
      <c r="A60" s="29">
        <v>56.0</v>
      </c>
      <c r="B60" s="30" t="s">
        <v>212</v>
      </c>
      <c r="C60" s="48" t="s">
        <v>213</v>
      </c>
      <c r="D60" s="31" t="str">
        <f t="shared" si="1"/>
        <v>GI Socket 40 mm (Code: GWDMR057)</v>
      </c>
      <c r="E60" s="29" t="s">
        <v>43</v>
      </c>
      <c r="F60" s="32" t="s">
        <v>44</v>
      </c>
      <c r="G60" s="32" t="s">
        <v>49</v>
      </c>
      <c r="H60" s="32" t="s">
        <v>202</v>
      </c>
      <c r="I60" s="29">
        <v>69.69</v>
      </c>
      <c r="J60" s="29">
        <v>0.0</v>
      </c>
      <c r="K60" s="33">
        <f t="shared" si="2"/>
        <v>0</v>
      </c>
      <c r="L60" s="33">
        <f t="shared" si="3"/>
        <v>69.69</v>
      </c>
    </row>
    <row r="61">
      <c r="A61" s="29">
        <v>57.0</v>
      </c>
      <c r="B61" s="30" t="s">
        <v>214</v>
      </c>
      <c r="C61" s="48" t="s">
        <v>215</v>
      </c>
      <c r="D61" s="31" t="str">
        <f t="shared" si="1"/>
        <v>GI Socket 50 mm (Code: GWDMR058)</v>
      </c>
      <c r="E61" s="29" t="s">
        <v>43</v>
      </c>
      <c r="F61" s="32" t="s">
        <v>44</v>
      </c>
      <c r="G61" s="32" t="s">
        <v>49</v>
      </c>
      <c r="H61" s="32" t="s">
        <v>202</v>
      </c>
      <c r="I61" s="29">
        <v>92.92</v>
      </c>
      <c r="J61" s="29">
        <v>0.0</v>
      </c>
      <c r="K61" s="33">
        <f t="shared" si="2"/>
        <v>0</v>
      </c>
      <c r="L61" s="33">
        <f t="shared" si="3"/>
        <v>92.92</v>
      </c>
    </row>
    <row r="62">
      <c r="A62" s="29">
        <v>58.0</v>
      </c>
      <c r="B62" s="30" t="s">
        <v>216</v>
      </c>
      <c r="C62" s="48" t="s">
        <v>217</v>
      </c>
      <c r="D62" s="31" t="str">
        <f t="shared" si="1"/>
        <v>GI Socket 65 mm (Code: GWDMR059)</v>
      </c>
      <c r="E62" s="29" t="s">
        <v>43</v>
      </c>
      <c r="F62" s="32" t="s">
        <v>44</v>
      </c>
      <c r="G62" s="32" t="s">
        <v>49</v>
      </c>
      <c r="H62" s="32" t="s">
        <v>202</v>
      </c>
      <c r="I62" s="29">
        <v>127.77</v>
      </c>
      <c r="J62" s="29">
        <v>0.0</v>
      </c>
      <c r="K62" s="33">
        <f t="shared" si="2"/>
        <v>0</v>
      </c>
      <c r="L62" s="33">
        <f t="shared" si="3"/>
        <v>127.77</v>
      </c>
    </row>
    <row r="63">
      <c r="A63" s="29">
        <v>59.0</v>
      </c>
      <c r="B63" s="30" t="s">
        <v>219</v>
      </c>
      <c r="C63" s="30" t="s">
        <v>220</v>
      </c>
      <c r="D63" s="31" t="str">
        <f t="shared" si="1"/>
        <v>GI Tee 32 mm (Code: GWDMR060)</v>
      </c>
      <c r="E63" s="29" t="s">
        <v>43</v>
      </c>
      <c r="F63" s="32" t="s">
        <v>44</v>
      </c>
      <c r="G63" s="32" t="s">
        <v>49</v>
      </c>
      <c r="H63" s="32" t="s">
        <v>202</v>
      </c>
      <c r="I63" s="29">
        <v>150.0</v>
      </c>
      <c r="J63" s="29">
        <v>0.0</v>
      </c>
      <c r="K63" s="33">
        <f t="shared" si="2"/>
        <v>0</v>
      </c>
      <c r="L63" s="33">
        <f t="shared" si="3"/>
        <v>150</v>
      </c>
    </row>
    <row r="64">
      <c r="A64" s="29">
        <v>60.0</v>
      </c>
      <c r="B64" s="30" t="s">
        <v>221</v>
      </c>
      <c r="C64" s="30" t="s">
        <v>222</v>
      </c>
      <c r="D64" s="31" t="str">
        <f t="shared" si="1"/>
        <v>GI Tee 40 mm (Code: GWDMR061)</v>
      </c>
      <c r="E64" s="29" t="s">
        <v>43</v>
      </c>
      <c r="F64" s="32" t="s">
        <v>44</v>
      </c>
      <c r="G64" s="32" t="s">
        <v>49</v>
      </c>
      <c r="H64" s="32" t="s">
        <v>202</v>
      </c>
      <c r="I64" s="29">
        <v>270.0</v>
      </c>
      <c r="J64" s="29">
        <v>0.0</v>
      </c>
      <c r="K64" s="33">
        <f t="shared" si="2"/>
        <v>0</v>
      </c>
      <c r="L64" s="33">
        <f t="shared" si="3"/>
        <v>270</v>
      </c>
    </row>
    <row r="65">
      <c r="A65" s="29">
        <v>61.0</v>
      </c>
      <c r="B65" s="30" t="s">
        <v>224</v>
      </c>
      <c r="C65" s="30" t="s">
        <v>225</v>
      </c>
      <c r="D65" s="31" t="str">
        <f t="shared" si="1"/>
        <v>GI Tee 50 mm (Code: GWDMR062)</v>
      </c>
      <c r="E65" s="29" t="s">
        <v>43</v>
      </c>
      <c r="F65" s="32" t="s">
        <v>44</v>
      </c>
      <c r="G65" s="32" t="s">
        <v>49</v>
      </c>
      <c r="H65" s="32" t="s">
        <v>202</v>
      </c>
      <c r="I65" s="29">
        <v>324.0</v>
      </c>
      <c r="J65" s="29">
        <v>0.0</v>
      </c>
      <c r="K65" s="33">
        <f t="shared" si="2"/>
        <v>0</v>
      </c>
      <c r="L65" s="33">
        <f t="shared" si="3"/>
        <v>324</v>
      </c>
    </row>
    <row r="66">
      <c r="A66" s="29">
        <v>62.0</v>
      </c>
      <c r="B66" s="30" t="s">
        <v>226</v>
      </c>
      <c r="C66" s="30" t="s">
        <v>228</v>
      </c>
      <c r="D66" s="31" t="str">
        <f t="shared" si="1"/>
        <v>GI Tee 65 mm (Code: GWDMR063)</v>
      </c>
      <c r="E66" s="29" t="s">
        <v>43</v>
      </c>
      <c r="F66" s="32" t="s">
        <v>44</v>
      </c>
      <c r="G66" s="32" t="s">
        <v>49</v>
      </c>
      <c r="H66" s="32" t="s">
        <v>202</v>
      </c>
      <c r="I66" s="29">
        <v>636.0</v>
      </c>
      <c r="J66" s="29">
        <v>0.0</v>
      </c>
      <c r="K66" s="33">
        <f t="shared" si="2"/>
        <v>0</v>
      </c>
      <c r="L66" s="33">
        <f t="shared" si="3"/>
        <v>636</v>
      </c>
    </row>
    <row r="67">
      <c r="A67" s="29">
        <v>63.0</v>
      </c>
      <c r="B67" s="30" t="s">
        <v>230</v>
      </c>
      <c r="C67" s="48" t="s">
        <v>231</v>
      </c>
      <c r="D67" s="31" t="str">
        <f t="shared" si="1"/>
        <v>Compressor pump 1.5 HP single phase (Code: GWDMR064)</v>
      </c>
      <c r="E67" s="29" t="s">
        <v>43</v>
      </c>
      <c r="F67" s="32" t="s">
        <v>44</v>
      </c>
      <c r="G67" s="32" t="s">
        <v>49</v>
      </c>
      <c r="H67" s="32" t="s">
        <v>232</v>
      </c>
      <c r="I67" s="29">
        <v>23970.0</v>
      </c>
      <c r="J67" s="29">
        <v>0.0</v>
      </c>
      <c r="K67" s="33">
        <f t="shared" si="2"/>
        <v>0</v>
      </c>
      <c r="L67" s="33">
        <f t="shared" si="3"/>
        <v>23970</v>
      </c>
    </row>
    <row r="68">
      <c r="A68" s="29">
        <v>64.0</v>
      </c>
      <c r="B68" s="30" t="s">
        <v>233</v>
      </c>
      <c r="C68" s="48" t="s">
        <v>234</v>
      </c>
      <c r="D68" s="31" t="str">
        <f t="shared" si="1"/>
        <v>Compressor pump 2 HP single phase (Code: GWDMR065)</v>
      </c>
      <c r="E68" s="29" t="s">
        <v>43</v>
      </c>
      <c r="F68" s="32" t="s">
        <v>44</v>
      </c>
      <c r="G68" s="32" t="s">
        <v>49</v>
      </c>
      <c r="H68" s="32" t="s">
        <v>232</v>
      </c>
      <c r="I68" s="29">
        <v>27540.0</v>
      </c>
      <c r="J68" s="29">
        <v>0.0</v>
      </c>
      <c r="K68" s="33">
        <f t="shared" si="2"/>
        <v>0</v>
      </c>
      <c r="L68" s="33">
        <f t="shared" si="3"/>
        <v>27540</v>
      </c>
    </row>
    <row r="69">
      <c r="A69" s="29">
        <v>65.0</v>
      </c>
      <c r="B69" s="30" t="s">
        <v>237</v>
      </c>
      <c r="C69" s="48" t="s">
        <v>238</v>
      </c>
      <c r="D69" s="31" t="str">
        <f t="shared" si="1"/>
        <v>Compressor pump 5 HP three phase (Code: GWDMR066)</v>
      </c>
      <c r="E69" s="29" t="s">
        <v>43</v>
      </c>
      <c r="F69" s="32" t="s">
        <v>44</v>
      </c>
      <c r="G69" s="32" t="s">
        <v>49</v>
      </c>
      <c r="H69" s="32" t="s">
        <v>232</v>
      </c>
      <c r="I69" s="29">
        <v>38760.0</v>
      </c>
      <c r="J69" s="29">
        <v>0.0</v>
      </c>
      <c r="K69" s="33">
        <f t="shared" si="2"/>
        <v>0</v>
      </c>
      <c r="L69" s="33">
        <f t="shared" si="3"/>
        <v>38760</v>
      </c>
    </row>
    <row r="70">
      <c r="A70" s="29">
        <v>66.0</v>
      </c>
      <c r="B70" s="30" t="s">
        <v>241</v>
      </c>
      <c r="C70" s="48" t="s">
        <v>243</v>
      </c>
      <c r="D70" s="31" t="str">
        <f t="shared" si="1"/>
        <v>Compressor pump 7.5 HP three phase (Code: GWDMR067)</v>
      </c>
      <c r="E70" s="29" t="s">
        <v>43</v>
      </c>
      <c r="F70" s="32" t="s">
        <v>44</v>
      </c>
      <c r="G70" s="32" t="s">
        <v>49</v>
      </c>
      <c r="H70" s="32" t="s">
        <v>232</v>
      </c>
      <c r="I70" s="29">
        <v>51000.0</v>
      </c>
      <c r="J70" s="29">
        <v>0.0</v>
      </c>
      <c r="K70" s="33">
        <f t="shared" si="2"/>
        <v>0</v>
      </c>
      <c r="L70" s="33">
        <f t="shared" si="3"/>
        <v>51000</v>
      </c>
    </row>
    <row r="71">
      <c r="A71" s="29">
        <v>67.0</v>
      </c>
      <c r="B71" s="30" t="s">
        <v>245</v>
      </c>
      <c r="C71" s="30" t="s">
        <v>246</v>
      </c>
      <c r="D71" s="31" t="str">
        <f t="shared" si="1"/>
        <v>12 mm thick nylon rope (Code: GWDMR068)</v>
      </c>
      <c r="E71" s="29" t="s">
        <v>22</v>
      </c>
      <c r="F71" s="32" t="s">
        <v>44</v>
      </c>
      <c r="G71" s="32" t="s">
        <v>49</v>
      </c>
      <c r="H71" s="32" t="s">
        <v>247</v>
      </c>
      <c r="I71" s="29">
        <v>38.4</v>
      </c>
      <c r="J71" s="29">
        <v>0.0</v>
      </c>
      <c r="K71" s="33">
        <f t="shared" si="2"/>
        <v>0</v>
      </c>
      <c r="L71" s="33">
        <f t="shared" si="3"/>
        <v>38.4</v>
      </c>
    </row>
    <row r="72">
      <c r="A72" s="29">
        <v>68.0</v>
      </c>
      <c r="B72" s="30" t="s">
        <v>250</v>
      </c>
      <c r="C72" s="30" t="s">
        <v>251</v>
      </c>
      <c r="D72" s="31" t="str">
        <f t="shared" si="1"/>
        <v>14 mm thick nylon rope (Code: GWDMR069)</v>
      </c>
      <c r="E72" s="29" t="s">
        <v>22</v>
      </c>
      <c r="F72" s="32" t="s">
        <v>44</v>
      </c>
      <c r="G72" s="32" t="s">
        <v>49</v>
      </c>
      <c r="H72" s="32" t="s">
        <v>247</v>
      </c>
      <c r="I72" s="29">
        <v>49.2</v>
      </c>
      <c r="J72" s="29">
        <v>0.0</v>
      </c>
      <c r="K72" s="33">
        <f t="shared" si="2"/>
        <v>0</v>
      </c>
      <c r="L72" s="33">
        <f t="shared" si="3"/>
        <v>49.2</v>
      </c>
    </row>
    <row r="73">
      <c r="A73" s="29">
        <v>69.0</v>
      </c>
      <c r="B73" s="30" t="s">
        <v>252</v>
      </c>
      <c r="C73" s="30" t="s">
        <v>254</v>
      </c>
      <c r="D73" s="31" t="str">
        <f t="shared" si="1"/>
        <v>16 mm thick nylon rope (Code: GWDMR070)</v>
      </c>
      <c r="E73" s="29" t="s">
        <v>22</v>
      </c>
      <c r="F73" s="32" t="s">
        <v>44</v>
      </c>
      <c r="G73" s="32" t="s">
        <v>49</v>
      </c>
      <c r="H73" s="32" t="s">
        <v>247</v>
      </c>
      <c r="I73" s="29">
        <v>56.4</v>
      </c>
      <c r="J73" s="29">
        <v>0.0</v>
      </c>
      <c r="K73" s="33">
        <f t="shared" si="2"/>
        <v>0</v>
      </c>
      <c r="L73" s="33">
        <f t="shared" si="3"/>
        <v>56.4</v>
      </c>
    </row>
    <row r="74">
      <c r="A74" s="29">
        <v>70.0</v>
      </c>
      <c r="B74" s="30" t="s">
        <v>255</v>
      </c>
      <c r="C74" s="30" t="s">
        <v>256</v>
      </c>
      <c r="D74" s="31" t="str">
        <f t="shared" si="1"/>
        <v>Steel rope (Code: GWDMR071)</v>
      </c>
      <c r="E74" s="29" t="s">
        <v>22</v>
      </c>
      <c r="F74" s="32" t="s">
        <v>44</v>
      </c>
      <c r="G74" s="32" t="s">
        <v>49</v>
      </c>
      <c r="H74" s="32" t="s">
        <v>247</v>
      </c>
      <c r="I74" s="29">
        <v>114.0</v>
      </c>
      <c r="J74" s="29">
        <v>0.0</v>
      </c>
      <c r="K74" s="33">
        <f t="shared" si="2"/>
        <v>0</v>
      </c>
      <c r="L74" s="33">
        <f t="shared" si="3"/>
        <v>114</v>
      </c>
    </row>
    <row r="75">
      <c r="A75" s="29">
        <v>71.0</v>
      </c>
      <c r="B75" s="30" t="s">
        <v>258</v>
      </c>
      <c r="C75" s="30" t="s">
        <v>259</v>
      </c>
      <c r="D75" s="31" t="str">
        <f t="shared" si="1"/>
        <v>32 mm dia UPVC pipe (Code: GWDMR072)</v>
      </c>
      <c r="E75" s="29" t="s">
        <v>22</v>
      </c>
      <c r="F75" s="32" t="s">
        <v>44</v>
      </c>
      <c r="G75" s="32" t="s">
        <v>49</v>
      </c>
      <c r="H75" s="32" t="s">
        <v>247</v>
      </c>
      <c r="I75" s="29">
        <v>270.0</v>
      </c>
      <c r="J75" s="29">
        <v>0.0</v>
      </c>
      <c r="K75" s="33">
        <f t="shared" si="2"/>
        <v>0</v>
      </c>
      <c r="L75" s="33">
        <f t="shared" si="3"/>
        <v>270</v>
      </c>
    </row>
    <row r="76">
      <c r="A76" s="29">
        <v>72.0</v>
      </c>
      <c r="B76" s="30" t="s">
        <v>261</v>
      </c>
      <c r="C76" s="30" t="s">
        <v>262</v>
      </c>
      <c r="D76" s="31" t="str">
        <f t="shared" si="1"/>
        <v>40 mm dia UPVC pipe (Code: GWDMR073)</v>
      </c>
      <c r="E76" s="29" t="s">
        <v>22</v>
      </c>
      <c r="F76" s="32" t="s">
        <v>44</v>
      </c>
      <c r="G76" s="32" t="s">
        <v>49</v>
      </c>
      <c r="H76" s="32" t="s">
        <v>247</v>
      </c>
      <c r="I76" s="29">
        <v>354.0</v>
      </c>
      <c r="J76" s="29">
        <v>0.0</v>
      </c>
      <c r="K76" s="33">
        <f t="shared" si="2"/>
        <v>0</v>
      </c>
      <c r="L76" s="33">
        <f t="shared" si="3"/>
        <v>354</v>
      </c>
    </row>
    <row r="77">
      <c r="A77" s="29">
        <v>73.0</v>
      </c>
      <c r="B77" s="30" t="s">
        <v>263</v>
      </c>
      <c r="C77" s="30" t="s">
        <v>264</v>
      </c>
      <c r="D77" s="31" t="str">
        <f t="shared" si="1"/>
        <v>50 mm dia UPVC pipe (Code: GWDMR074)</v>
      </c>
      <c r="E77" s="29" t="s">
        <v>22</v>
      </c>
      <c r="F77" s="32" t="s">
        <v>44</v>
      </c>
      <c r="G77" s="32" t="s">
        <v>49</v>
      </c>
      <c r="H77" s="32" t="s">
        <v>247</v>
      </c>
      <c r="I77" s="29">
        <v>468.0</v>
      </c>
      <c r="J77" s="29">
        <v>0.0</v>
      </c>
      <c r="K77" s="33">
        <f t="shared" si="2"/>
        <v>0</v>
      </c>
      <c r="L77" s="33">
        <f t="shared" si="3"/>
        <v>468</v>
      </c>
    </row>
    <row r="78">
      <c r="A78" s="29">
        <v>74.0</v>
      </c>
      <c r="B78" s="30" t="s">
        <v>265</v>
      </c>
      <c r="C78" s="30" t="s">
        <v>266</v>
      </c>
      <c r="D78" s="31" t="str">
        <f t="shared" si="1"/>
        <v>63 mm dia UPVC pipe (Code: GWDMR075)</v>
      </c>
      <c r="E78" s="29" t="s">
        <v>22</v>
      </c>
      <c r="F78" s="32" t="s">
        <v>44</v>
      </c>
      <c r="G78" s="32" t="s">
        <v>49</v>
      </c>
      <c r="H78" s="32" t="s">
        <v>247</v>
      </c>
      <c r="I78" s="29">
        <v>552.0</v>
      </c>
      <c r="J78" s="29">
        <v>0.0</v>
      </c>
      <c r="K78" s="33">
        <f t="shared" si="2"/>
        <v>0</v>
      </c>
      <c r="L78" s="33">
        <f t="shared" si="3"/>
        <v>552</v>
      </c>
    </row>
    <row r="79">
      <c r="A79" s="29">
        <v>75.0</v>
      </c>
      <c r="B79" s="30" t="s">
        <v>268</v>
      </c>
      <c r="C79" s="52" t="s">
        <v>269</v>
      </c>
      <c r="D79" s="31" t="str">
        <f t="shared" si="1"/>
        <v>20 mm dia HDPE pipe (DG) (8kg) (Code: GWDMR076)</v>
      </c>
      <c r="E79" s="29" t="s">
        <v>22</v>
      </c>
      <c r="F79" s="32" t="s">
        <v>44</v>
      </c>
      <c r="G79" s="32" t="s">
        <v>49</v>
      </c>
      <c r="H79" s="32" t="s">
        <v>247</v>
      </c>
      <c r="I79" s="29">
        <f t="array" ref="I79">IFERROR(INDEX(DerivedRates,MATCH(B79,DerivedCodes,0), ), )</f>
        <v>20</v>
      </c>
      <c r="J79" s="29">
        <v>0.0</v>
      </c>
      <c r="K79" s="33">
        <f t="shared" si="2"/>
        <v>0</v>
      </c>
      <c r="L79" s="33">
        <f t="shared" si="3"/>
        <v>20</v>
      </c>
    </row>
    <row r="80">
      <c r="A80" s="29">
        <v>76.0</v>
      </c>
      <c r="B80" s="30" t="s">
        <v>274</v>
      </c>
      <c r="C80" s="52" t="s">
        <v>275</v>
      </c>
      <c r="D80" s="31" t="str">
        <f t="shared" si="1"/>
        <v>32 mm dia HDPE pipe (DG) (8kg) (Code: GWDMR077)</v>
      </c>
      <c r="E80" s="29" t="s">
        <v>22</v>
      </c>
      <c r="F80" s="32" t="s">
        <v>44</v>
      </c>
      <c r="G80" s="32" t="s">
        <v>49</v>
      </c>
      <c r="H80" s="32" t="s">
        <v>247</v>
      </c>
      <c r="I80" s="29">
        <f t="array" ref="I80">IFERROR(INDEX(DerivedRates,MATCH(B80,DerivedCodes,0), ), )</f>
        <v>20</v>
      </c>
      <c r="J80" s="29">
        <v>0.0</v>
      </c>
      <c r="K80" s="33">
        <f t="shared" si="2"/>
        <v>0</v>
      </c>
      <c r="L80" s="33">
        <f t="shared" si="3"/>
        <v>20</v>
      </c>
    </row>
    <row r="81">
      <c r="A81" s="29">
        <v>77.0</v>
      </c>
      <c r="B81" s="30" t="s">
        <v>277</v>
      </c>
      <c r="C81" s="52" t="s">
        <v>278</v>
      </c>
      <c r="D81" s="31" t="str">
        <f t="shared" si="1"/>
        <v>40 mm dia HDPE pipe (DG) (8kg) (Code: GWDMR078)</v>
      </c>
      <c r="E81" s="29" t="s">
        <v>22</v>
      </c>
      <c r="F81" s="32" t="s">
        <v>44</v>
      </c>
      <c r="G81" s="32" t="s">
        <v>49</v>
      </c>
      <c r="H81" s="32" t="s">
        <v>247</v>
      </c>
      <c r="I81" s="29">
        <f t="array" ref="I81">IFERROR(INDEX(DerivedRates,MATCH(B81,DerivedCodes,0), ), )</f>
        <v>29</v>
      </c>
      <c r="J81" s="29">
        <v>0.0</v>
      </c>
      <c r="K81" s="33">
        <f t="shared" si="2"/>
        <v>0</v>
      </c>
      <c r="L81" s="33">
        <f t="shared" si="3"/>
        <v>29</v>
      </c>
    </row>
    <row r="82">
      <c r="A82" s="29">
        <v>78.0</v>
      </c>
      <c r="B82" s="30" t="s">
        <v>280</v>
      </c>
      <c r="C82" s="48" t="s">
        <v>281</v>
      </c>
      <c r="D82" s="31" t="str">
        <f t="shared" si="1"/>
        <v>32 mm SS Adapter (Code: GWDMR079)</v>
      </c>
      <c r="E82" s="29" t="s">
        <v>43</v>
      </c>
      <c r="F82" s="32" t="s">
        <v>44</v>
      </c>
      <c r="G82" s="32" t="s">
        <v>49</v>
      </c>
      <c r="H82" s="32" t="s">
        <v>247</v>
      </c>
      <c r="I82" s="29">
        <v>804.0</v>
      </c>
      <c r="J82" s="29">
        <v>0.0</v>
      </c>
      <c r="K82" s="33">
        <f t="shared" si="2"/>
        <v>0</v>
      </c>
      <c r="L82" s="33">
        <f t="shared" si="3"/>
        <v>804</v>
      </c>
    </row>
    <row r="83">
      <c r="A83" s="29">
        <v>79.0</v>
      </c>
      <c r="B83" s="30" t="s">
        <v>282</v>
      </c>
      <c r="C83" s="48" t="s">
        <v>283</v>
      </c>
      <c r="D83" s="31" t="str">
        <f t="shared" si="1"/>
        <v>40 mm SS Adapter (Code: GWDMR080)</v>
      </c>
      <c r="E83" s="29" t="s">
        <v>43</v>
      </c>
      <c r="F83" s="32" t="s">
        <v>44</v>
      </c>
      <c r="G83" s="32" t="s">
        <v>49</v>
      </c>
      <c r="H83" s="32" t="s">
        <v>247</v>
      </c>
      <c r="I83" s="29">
        <v>960.0</v>
      </c>
      <c r="J83" s="29">
        <v>0.0</v>
      </c>
      <c r="K83" s="33">
        <f t="shared" si="2"/>
        <v>0</v>
      </c>
      <c r="L83" s="33">
        <f t="shared" si="3"/>
        <v>960</v>
      </c>
    </row>
    <row r="84">
      <c r="A84" s="29">
        <v>80.0</v>
      </c>
      <c r="B84" s="30" t="s">
        <v>284</v>
      </c>
      <c r="C84" s="48" t="s">
        <v>285</v>
      </c>
      <c r="D84" s="31" t="str">
        <f t="shared" si="1"/>
        <v>50 mm SS Adapter (Code: GWDMR081)</v>
      </c>
      <c r="E84" s="29" t="s">
        <v>43</v>
      </c>
      <c r="F84" s="32" t="s">
        <v>44</v>
      </c>
      <c r="G84" s="32" t="s">
        <v>49</v>
      </c>
      <c r="H84" s="32" t="s">
        <v>247</v>
      </c>
      <c r="I84" s="29">
        <v>1200.0</v>
      </c>
      <c r="J84" s="29">
        <v>0.0</v>
      </c>
      <c r="K84" s="33">
        <f t="shared" si="2"/>
        <v>0</v>
      </c>
      <c r="L84" s="33">
        <f t="shared" si="3"/>
        <v>1200</v>
      </c>
    </row>
    <row r="85">
      <c r="A85" s="29">
        <v>81.0</v>
      </c>
      <c r="B85" s="30" t="s">
        <v>287</v>
      </c>
      <c r="C85" s="48" t="s">
        <v>288</v>
      </c>
      <c r="D85" s="31" t="str">
        <f t="shared" si="1"/>
        <v>50 mm UPVC Union (Code: GWDMR082)</v>
      </c>
      <c r="E85" s="29" t="s">
        <v>43</v>
      </c>
      <c r="F85" s="32" t="s">
        <v>44</v>
      </c>
      <c r="G85" s="32" t="s">
        <v>49</v>
      </c>
      <c r="H85" s="32" t="s">
        <v>247</v>
      </c>
      <c r="I85" s="29">
        <v>360.0</v>
      </c>
      <c r="J85" s="29">
        <v>0.0</v>
      </c>
      <c r="K85" s="33">
        <f t="shared" si="2"/>
        <v>0</v>
      </c>
      <c r="L85" s="33">
        <f t="shared" si="3"/>
        <v>360</v>
      </c>
    </row>
    <row r="86">
      <c r="A86" s="29">
        <v>82.0</v>
      </c>
      <c r="B86" s="30" t="s">
        <v>289</v>
      </c>
      <c r="C86" s="48" t="s">
        <v>290</v>
      </c>
      <c r="D86" s="31" t="str">
        <f t="shared" si="1"/>
        <v>63 mm UPVC Union (Code: GWDMR083)</v>
      </c>
      <c r="E86" s="29" t="s">
        <v>43</v>
      </c>
      <c r="F86" s="32" t="s">
        <v>44</v>
      </c>
      <c r="G86" s="32" t="s">
        <v>49</v>
      </c>
      <c r="H86" s="32" t="s">
        <v>247</v>
      </c>
      <c r="I86" s="29">
        <v>540.0</v>
      </c>
      <c r="J86" s="29">
        <v>0.0</v>
      </c>
      <c r="K86" s="33">
        <f t="shared" si="2"/>
        <v>0</v>
      </c>
      <c r="L86" s="33">
        <f t="shared" si="3"/>
        <v>540</v>
      </c>
    </row>
    <row r="87">
      <c r="A87" s="29">
        <v>83.0</v>
      </c>
      <c r="B87" s="30" t="s">
        <v>291</v>
      </c>
      <c r="C87" s="48" t="s">
        <v>292</v>
      </c>
      <c r="D87" s="31" t="str">
        <f t="shared" si="1"/>
        <v>75 mm UPVC Union (Code: GWDMR084)</v>
      </c>
      <c r="E87" s="29" t="s">
        <v>43</v>
      </c>
      <c r="F87" s="32" t="s">
        <v>44</v>
      </c>
      <c r="G87" s="32" t="s">
        <v>49</v>
      </c>
      <c r="H87" s="32" t="s">
        <v>247</v>
      </c>
      <c r="I87" s="29">
        <v>1200.0</v>
      </c>
      <c r="J87" s="29">
        <v>0.0</v>
      </c>
      <c r="K87" s="33">
        <f t="shared" si="2"/>
        <v>0</v>
      </c>
      <c r="L87" s="33">
        <f t="shared" si="3"/>
        <v>1200</v>
      </c>
    </row>
    <row r="88">
      <c r="A88" s="29">
        <v>84.0</v>
      </c>
      <c r="B88" s="30" t="s">
        <v>294</v>
      </c>
      <c r="C88" s="48" t="s">
        <v>295</v>
      </c>
      <c r="D88" s="31" t="str">
        <f t="shared" si="1"/>
        <v>Sodium Bentonite (ordinary) (Code: GWDMR085)</v>
      </c>
      <c r="E88" s="29" t="s">
        <v>249</v>
      </c>
      <c r="F88" s="32" t="s">
        <v>44</v>
      </c>
      <c r="G88" s="32" t="s">
        <v>235</v>
      </c>
      <c r="H88" s="32" t="s">
        <v>296</v>
      </c>
      <c r="I88" s="29">
        <v>7000.0</v>
      </c>
      <c r="J88" s="29">
        <v>0.0</v>
      </c>
      <c r="K88" s="33">
        <f t="shared" si="2"/>
        <v>0</v>
      </c>
      <c r="L88" s="33">
        <f t="shared" si="3"/>
        <v>7000</v>
      </c>
    </row>
    <row r="89">
      <c r="A89" s="29">
        <v>85.0</v>
      </c>
      <c r="B89" s="30" t="s">
        <v>297</v>
      </c>
      <c r="C89" s="48" t="s">
        <v>298</v>
      </c>
      <c r="D89" s="31" t="str">
        <f t="shared" si="1"/>
        <v>Sodium Bentonite (Super) (Code: GWDMR086)</v>
      </c>
      <c r="E89" s="29" t="s">
        <v>249</v>
      </c>
      <c r="F89" s="32" t="s">
        <v>44</v>
      </c>
      <c r="G89" s="32" t="s">
        <v>235</v>
      </c>
      <c r="H89" s="32" t="s">
        <v>296</v>
      </c>
      <c r="I89" s="29">
        <v>13500.0</v>
      </c>
      <c r="J89" s="29">
        <v>0.0</v>
      </c>
      <c r="K89" s="33">
        <f t="shared" si="2"/>
        <v>0</v>
      </c>
      <c r="L89" s="33">
        <f t="shared" si="3"/>
        <v>13500</v>
      </c>
    </row>
    <row r="90">
      <c r="A90" s="29">
        <v>86.0</v>
      </c>
      <c r="B90" s="30" t="s">
        <v>299</v>
      </c>
      <c r="C90" s="48" t="s">
        <v>300</v>
      </c>
      <c r="D90" s="31" t="str">
        <f t="shared" si="1"/>
        <v>MS Casing pipe 450 mm dia, 6 mm thickness (Code: GWDMR087)</v>
      </c>
      <c r="E90" s="29" t="s">
        <v>22</v>
      </c>
      <c r="F90" s="32" t="s">
        <v>44</v>
      </c>
      <c r="G90" s="32" t="s">
        <v>235</v>
      </c>
      <c r="H90" s="32" t="s">
        <v>257</v>
      </c>
      <c r="I90" s="29">
        <v>8450.0</v>
      </c>
      <c r="J90" s="29">
        <v>0.0</v>
      </c>
      <c r="K90" s="33">
        <f t="shared" si="2"/>
        <v>0</v>
      </c>
      <c r="L90" s="33">
        <f t="shared" si="3"/>
        <v>8450</v>
      </c>
    </row>
    <row r="91">
      <c r="A91" s="29">
        <v>87.0</v>
      </c>
      <c r="B91" s="30" t="s">
        <v>303</v>
      </c>
      <c r="C91" s="30" t="s">
        <v>304</v>
      </c>
      <c r="D91" s="31" t="str">
        <f t="shared" si="1"/>
        <v>Fibre mesh for placing inside filter tank (for recharge schemes) (Code: GWDMR088)</v>
      </c>
      <c r="E91" s="29" t="s">
        <v>305</v>
      </c>
      <c r="F91" s="32" t="s">
        <v>44</v>
      </c>
      <c r="G91" s="32" t="s">
        <v>68</v>
      </c>
      <c r="H91" s="32" t="s">
        <v>69</v>
      </c>
      <c r="I91" s="38">
        <v>180.0</v>
      </c>
      <c r="J91" s="29">
        <v>0.0</v>
      </c>
      <c r="K91" s="33">
        <f t="shared" si="2"/>
        <v>0</v>
      </c>
      <c r="L91" s="33">
        <f t="shared" si="3"/>
        <v>180</v>
      </c>
    </row>
    <row r="92">
      <c r="A92" s="29">
        <v>88.0</v>
      </c>
      <c r="B92" s="30" t="s">
        <v>306</v>
      </c>
      <c r="C92" s="30" t="s">
        <v>307</v>
      </c>
      <c r="D92" s="31" t="str">
        <f t="shared" si="1"/>
        <v>Coated mesh for placing inside filter tank (for recharge schemes) (Code: GWDMR089)</v>
      </c>
      <c r="E92" s="29" t="s">
        <v>305</v>
      </c>
      <c r="F92" s="32" t="s">
        <v>44</v>
      </c>
      <c r="G92" s="32" t="s">
        <v>68</v>
      </c>
      <c r="H92" s="32" t="s">
        <v>69</v>
      </c>
      <c r="I92" s="38">
        <v>300.0</v>
      </c>
      <c r="J92" s="29">
        <v>0.0</v>
      </c>
      <c r="K92" s="33">
        <f t="shared" si="2"/>
        <v>0</v>
      </c>
      <c r="L92" s="33">
        <f t="shared" si="3"/>
        <v>300</v>
      </c>
    </row>
    <row r="93">
      <c r="A93" s="29">
        <v>89.0</v>
      </c>
      <c r="B93" s="30" t="s">
        <v>309</v>
      </c>
      <c r="C93" s="30" t="s">
        <v>310</v>
      </c>
      <c r="D93" s="31" t="str">
        <f t="shared" si="1"/>
        <v>Sieve mesh 110 mm (inside inspection chamber) (for recharge schemes) (Code: GWDMR090)</v>
      </c>
      <c r="E93" s="29" t="s">
        <v>305</v>
      </c>
      <c r="F93" s="32" t="s">
        <v>44</v>
      </c>
      <c r="G93" s="32" t="s">
        <v>68</v>
      </c>
      <c r="H93" s="32" t="s">
        <v>69</v>
      </c>
      <c r="I93" s="38">
        <v>180.0</v>
      </c>
      <c r="J93" s="29">
        <v>0.0</v>
      </c>
      <c r="K93" s="33">
        <f t="shared" si="2"/>
        <v>0</v>
      </c>
      <c r="L93" s="33">
        <f t="shared" si="3"/>
        <v>180</v>
      </c>
    </row>
    <row r="94">
      <c r="A94" s="29">
        <v>90.0</v>
      </c>
      <c r="B94" s="30" t="s">
        <v>311</v>
      </c>
      <c r="C94" s="30" t="s">
        <v>312</v>
      </c>
      <c r="D94" s="31" t="str">
        <f t="shared" si="1"/>
        <v>Sieve mesh 140 mm (inside inspection chamber) (for recharge schemes) (Code: GWDMR091)</v>
      </c>
      <c r="E94" s="29" t="s">
        <v>305</v>
      </c>
      <c r="F94" s="32" t="s">
        <v>44</v>
      </c>
      <c r="G94" s="32" t="s">
        <v>68</v>
      </c>
      <c r="H94" s="32" t="s">
        <v>69</v>
      </c>
      <c r="I94" s="38">
        <v>200.0</v>
      </c>
      <c r="J94" s="29">
        <v>0.0</v>
      </c>
      <c r="K94" s="33">
        <f t="shared" si="2"/>
        <v>0</v>
      </c>
      <c r="L94" s="33">
        <f t="shared" si="3"/>
        <v>200</v>
      </c>
    </row>
    <row r="95">
      <c r="A95" s="29">
        <v>91.0</v>
      </c>
      <c r="B95" s="30" t="s">
        <v>313</v>
      </c>
      <c r="C95" s="30" t="s">
        <v>314</v>
      </c>
      <c r="D95" s="31" t="str">
        <f t="shared" si="1"/>
        <v>Plastic net for covering pipe (for recharge schemes) (Code: GWDMR092)</v>
      </c>
      <c r="E95" s="29" t="s">
        <v>305</v>
      </c>
      <c r="F95" s="32" t="s">
        <v>44</v>
      </c>
      <c r="G95" s="32" t="s">
        <v>68</v>
      </c>
      <c r="H95" s="32" t="s">
        <v>69</v>
      </c>
      <c r="I95" s="38">
        <v>50.0</v>
      </c>
      <c r="J95" s="29">
        <v>0.0</v>
      </c>
      <c r="K95" s="33">
        <f t="shared" si="2"/>
        <v>0</v>
      </c>
      <c r="L95" s="33">
        <f t="shared" si="3"/>
        <v>50</v>
      </c>
    </row>
    <row r="96">
      <c r="A96" s="29">
        <v>92.0</v>
      </c>
      <c r="B96" s="30" t="s">
        <v>316</v>
      </c>
      <c r="C96" s="30" t="s">
        <v>317</v>
      </c>
      <c r="D96" s="31" t="str">
        <f t="shared" si="1"/>
        <v>PVC Wiring Pipe (Code: GWDMR093)</v>
      </c>
      <c r="E96" s="29" t="s">
        <v>22</v>
      </c>
      <c r="F96" s="32" t="s">
        <v>44</v>
      </c>
      <c r="G96" s="32" t="s">
        <v>49</v>
      </c>
      <c r="H96" s="32" t="s">
        <v>45</v>
      </c>
      <c r="I96" s="29">
        <v>30.0</v>
      </c>
      <c r="J96" s="29">
        <v>0.0</v>
      </c>
      <c r="K96" s="33">
        <f t="shared" si="2"/>
        <v>0</v>
      </c>
      <c r="L96" s="33">
        <f t="shared" si="3"/>
        <v>30</v>
      </c>
    </row>
    <row r="97">
      <c r="A97" s="29">
        <v>93.0</v>
      </c>
      <c r="B97" s="30" t="s">
        <v>319</v>
      </c>
      <c r="C97" s="30" t="str">
        <f>'HP Repair Spares'!E1</f>
        <v>Head Assembly complete (with Head, Handle, Ball Bearings and  Chain Assembly)</v>
      </c>
      <c r="D97" s="31" t="str">
        <f t="shared" si="1"/>
        <v>Head Assembly complete (with Head, Handle, Ball Bearings and  Chain Assembly) (Code: GWDMR094)</v>
      </c>
      <c r="E97" s="29" t="s">
        <v>43</v>
      </c>
      <c r="F97" s="32" t="s">
        <v>44</v>
      </c>
      <c r="G97" s="32" t="s">
        <v>323</v>
      </c>
      <c r="H97" s="32" t="s">
        <v>324</v>
      </c>
      <c r="I97" s="29">
        <f>'HP Repair Spares'!F1</f>
        <v>4800</v>
      </c>
      <c r="J97" s="29">
        <f>'HP Repair Spares'!G1</f>
        <v>0</v>
      </c>
      <c r="K97" s="33">
        <f t="shared" si="2"/>
        <v>0</v>
      </c>
      <c r="L97" s="33">
        <f t="shared" si="3"/>
        <v>4800</v>
      </c>
    </row>
    <row r="98">
      <c r="A98" s="29">
        <v>94.0</v>
      </c>
      <c r="B98" s="30" t="s">
        <v>325</v>
      </c>
      <c r="C98" s="30" t="str">
        <f>'HP Repair Spares'!E2</f>
        <v>Head with welded components only without cover</v>
      </c>
      <c r="D98" s="31" t="str">
        <f t="shared" si="1"/>
        <v>Head with welded components only without cover (Code: GWDMR095)</v>
      </c>
      <c r="E98" s="29" t="s">
        <v>43</v>
      </c>
      <c r="F98" s="32" t="s">
        <v>44</v>
      </c>
      <c r="G98" s="32" t="s">
        <v>323</v>
      </c>
      <c r="H98" s="32" t="s">
        <v>324</v>
      </c>
      <c r="I98" s="29">
        <f>'HP Repair Spares'!F2</f>
        <v>2280</v>
      </c>
      <c r="J98" s="29">
        <f>'HP Repair Spares'!G2</f>
        <v>0</v>
      </c>
      <c r="K98" s="33">
        <f t="shared" si="2"/>
        <v>0</v>
      </c>
      <c r="L98" s="33">
        <f t="shared" si="3"/>
        <v>2280</v>
      </c>
    </row>
    <row r="99">
      <c r="A99" s="29">
        <v>95.0</v>
      </c>
      <c r="B99" s="30" t="s">
        <v>328</v>
      </c>
      <c r="C99" s="30" t="str">
        <f>'HP Repair Spares'!E3</f>
        <v>Handle (welded components only)</v>
      </c>
      <c r="D99" s="31" t="str">
        <f t="shared" si="1"/>
        <v>Handle (welded components only) (Code: GWDMR096)</v>
      </c>
      <c r="E99" s="29" t="s">
        <v>43</v>
      </c>
      <c r="F99" s="32" t="s">
        <v>44</v>
      </c>
      <c r="G99" s="32" t="s">
        <v>323</v>
      </c>
      <c r="H99" s="32" t="s">
        <v>324</v>
      </c>
      <c r="I99" s="29">
        <f>'HP Repair Spares'!F3</f>
        <v>1800</v>
      </c>
      <c r="J99" s="29">
        <f>'HP Repair Spares'!G3</f>
        <v>0</v>
      </c>
      <c r="K99" s="33">
        <f t="shared" si="2"/>
        <v>0</v>
      </c>
      <c r="L99" s="33">
        <f t="shared" si="3"/>
        <v>1800</v>
      </c>
    </row>
    <row r="100">
      <c r="A100" s="29">
        <v>96.0</v>
      </c>
      <c r="B100" s="30" t="s">
        <v>330</v>
      </c>
      <c r="C100" s="30" t="str">
        <f>'HP Repair Spares'!E4</f>
        <v>Additional Plate</v>
      </c>
      <c r="D100" s="31" t="str">
        <f t="shared" si="1"/>
        <v>Additional Plate (Code: GWDMR097)</v>
      </c>
      <c r="E100" s="29" t="s">
        <v>43</v>
      </c>
      <c r="F100" s="32" t="s">
        <v>44</v>
      </c>
      <c r="G100" s="32" t="s">
        <v>323</v>
      </c>
      <c r="H100" s="32" t="s">
        <v>324</v>
      </c>
      <c r="I100" s="29">
        <f>'HP Repair Spares'!F4</f>
        <v>450</v>
      </c>
      <c r="J100" s="29">
        <f>'HP Repair Spares'!G4</f>
        <v>0</v>
      </c>
      <c r="K100" s="33">
        <f t="shared" si="2"/>
        <v>0</v>
      </c>
      <c r="L100" s="33">
        <f t="shared" si="3"/>
        <v>450</v>
      </c>
    </row>
    <row r="101">
      <c r="A101" s="29">
        <v>97.0</v>
      </c>
      <c r="B101" s="30" t="s">
        <v>332</v>
      </c>
      <c r="C101" s="30" t="str">
        <f>'HP Repair Spares'!E5</f>
        <v>Ball Bearing 6204 Z</v>
      </c>
      <c r="D101" s="31" t="str">
        <f t="shared" si="1"/>
        <v>Ball Bearing 6204 Z (Code: GWDMR098)</v>
      </c>
      <c r="E101" s="29" t="s">
        <v>43</v>
      </c>
      <c r="F101" s="32" t="s">
        <v>44</v>
      </c>
      <c r="G101" s="32" t="s">
        <v>323</v>
      </c>
      <c r="H101" s="32" t="s">
        <v>324</v>
      </c>
      <c r="I101" s="29">
        <f>'HP Repair Spares'!F5</f>
        <v>216</v>
      </c>
      <c r="J101" s="29">
        <f>'HP Repair Spares'!G5</f>
        <v>0</v>
      </c>
      <c r="K101" s="33">
        <f t="shared" si="2"/>
        <v>0</v>
      </c>
      <c r="L101" s="33">
        <f t="shared" si="3"/>
        <v>216</v>
      </c>
    </row>
    <row r="102">
      <c r="A102" s="29">
        <v>98.0</v>
      </c>
      <c r="B102" s="30" t="s">
        <v>334</v>
      </c>
      <c r="C102" s="30" t="str">
        <f>'HP Repair Spares'!E6</f>
        <v>Chain with coupling</v>
      </c>
      <c r="D102" s="31" t="str">
        <f t="shared" si="1"/>
        <v>Chain with coupling (Code: GWDMR099)</v>
      </c>
      <c r="E102" s="29" t="s">
        <v>43</v>
      </c>
      <c r="F102" s="32" t="s">
        <v>44</v>
      </c>
      <c r="G102" s="32" t="s">
        <v>323</v>
      </c>
      <c r="H102" s="32" t="s">
        <v>324</v>
      </c>
      <c r="I102" s="29">
        <f>'HP Repair Spares'!F6</f>
        <v>240</v>
      </c>
      <c r="J102" s="29">
        <f>'HP Repair Spares'!G6</f>
        <v>0</v>
      </c>
      <c r="K102" s="33">
        <f t="shared" si="2"/>
        <v>0</v>
      </c>
      <c r="L102" s="33">
        <f t="shared" si="3"/>
        <v>240</v>
      </c>
    </row>
    <row r="103">
      <c r="A103" s="29">
        <v>99.0</v>
      </c>
      <c r="B103" s="30" t="s">
        <v>336</v>
      </c>
      <c r="C103" s="30" t="str">
        <f>'HP Repair Spares'!E7</f>
        <v>Spacer for Axle Pin</v>
      </c>
      <c r="D103" s="31" t="str">
        <f t="shared" si="1"/>
        <v>Spacer for Axle Pin (Code: GWDMR100)</v>
      </c>
      <c r="E103" s="29" t="s">
        <v>43</v>
      </c>
      <c r="F103" s="32" t="s">
        <v>44</v>
      </c>
      <c r="G103" s="32" t="s">
        <v>323</v>
      </c>
      <c r="H103" s="32" t="s">
        <v>324</v>
      </c>
      <c r="I103" s="29">
        <f>'HP Repair Spares'!F7</f>
        <v>24</v>
      </c>
      <c r="J103" s="29">
        <f>'HP Repair Spares'!G7</f>
        <v>0</v>
      </c>
      <c r="K103" s="33">
        <f t="shared" si="2"/>
        <v>0</v>
      </c>
      <c r="L103" s="33">
        <f t="shared" si="3"/>
        <v>24</v>
      </c>
    </row>
    <row r="104">
      <c r="A104" s="29">
        <v>100.0</v>
      </c>
      <c r="B104" s="30" t="s">
        <v>338</v>
      </c>
      <c r="C104" s="30" t="str">
        <f>'HP Repair Spares'!E8</f>
        <v>M 12 x 20 Hex Bolt for Top Head Cover</v>
      </c>
      <c r="D104" s="31" t="str">
        <f t="shared" si="1"/>
        <v>M 12 x 20 Hex Bolt for Top Head Cover (Code: GWDMR101)</v>
      </c>
      <c r="E104" s="29" t="s">
        <v>43</v>
      </c>
      <c r="F104" s="32" t="s">
        <v>44</v>
      </c>
      <c r="G104" s="32" t="s">
        <v>323</v>
      </c>
      <c r="H104" s="32" t="s">
        <v>324</v>
      </c>
      <c r="I104" s="29">
        <f>'HP Repair Spares'!F8</f>
        <v>18</v>
      </c>
      <c r="J104" s="29">
        <f>'HP Repair Spares'!G8</f>
        <v>0</v>
      </c>
      <c r="K104" s="33">
        <f t="shared" si="2"/>
        <v>0</v>
      </c>
      <c r="L104" s="33">
        <f t="shared" si="3"/>
        <v>18</v>
      </c>
    </row>
    <row r="105">
      <c r="A105" s="29">
        <v>101.0</v>
      </c>
      <c r="B105" s="30" t="s">
        <v>340</v>
      </c>
      <c r="C105" s="30" t="str">
        <f>'HP Repair Spares'!E9</f>
        <v>M 12 x 40 Hex Bolt</v>
      </c>
      <c r="D105" s="31" t="str">
        <f t="shared" si="1"/>
        <v>M 12 x 40 Hex Bolt (Code: GWDMR102)</v>
      </c>
      <c r="E105" s="29" t="s">
        <v>43</v>
      </c>
      <c r="F105" s="32" t="s">
        <v>44</v>
      </c>
      <c r="G105" s="32" t="s">
        <v>323</v>
      </c>
      <c r="H105" s="32" t="s">
        <v>324</v>
      </c>
      <c r="I105" s="29">
        <f>'HP Repair Spares'!F9</f>
        <v>18</v>
      </c>
      <c r="J105" s="29">
        <f>'HP Repair Spares'!G9</f>
        <v>0</v>
      </c>
      <c r="K105" s="33">
        <f t="shared" si="2"/>
        <v>0</v>
      </c>
      <c r="L105" s="33">
        <f t="shared" si="3"/>
        <v>18</v>
      </c>
    </row>
    <row r="106">
      <c r="A106" s="29">
        <v>102.0</v>
      </c>
      <c r="B106" s="30" t="s">
        <v>342</v>
      </c>
      <c r="C106" s="30" t="str">
        <f>'HP Repair Spares'!E10</f>
        <v>M 12 Nut</v>
      </c>
      <c r="D106" s="31" t="str">
        <f t="shared" si="1"/>
        <v>M 12 Nut (Code: GWDMR103)</v>
      </c>
      <c r="E106" s="29" t="s">
        <v>43</v>
      </c>
      <c r="F106" s="32" t="s">
        <v>44</v>
      </c>
      <c r="G106" s="32" t="s">
        <v>323</v>
      </c>
      <c r="H106" s="32" t="s">
        <v>324</v>
      </c>
      <c r="I106" s="29">
        <f>'HP Repair Spares'!F10</f>
        <v>12</v>
      </c>
      <c r="J106" s="29">
        <f>'HP Repair Spares'!G10</f>
        <v>0</v>
      </c>
      <c r="K106" s="33">
        <f t="shared" si="2"/>
        <v>0</v>
      </c>
      <c r="L106" s="33">
        <f t="shared" si="3"/>
        <v>12</v>
      </c>
    </row>
    <row r="107">
      <c r="A107" s="29">
        <v>103.0</v>
      </c>
      <c r="B107" s="30" t="s">
        <v>343</v>
      </c>
      <c r="C107" s="30" t="str">
        <f>'HP Repair Spares'!E11</f>
        <v>M.12 Washer</v>
      </c>
      <c r="D107" s="31" t="str">
        <f t="shared" si="1"/>
        <v>M.12 Washer (Code: GWDMR104)</v>
      </c>
      <c r="E107" s="29" t="s">
        <v>43</v>
      </c>
      <c r="F107" s="32" t="s">
        <v>44</v>
      </c>
      <c r="G107" s="32" t="s">
        <v>323</v>
      </c>
      <c r="H107" s="32" t="s">
        <v>324</v>
      </c>
      <c r="I107" s="29">
        <f>'HP Repair Spares'!F11</f>
        <v>12</v>
      </c>
      <c r="J107" s="29">
        <f>'HP Repair Spares'!G11</f>
        <v>0</v>
      </c>
      <c r="K107" s="33">
        <f t="shared" si="2"/>
        <v>0</v>
      </c>
      <c r="L107" s="33">
        <f t="shared" si="3"/>
        <v>12</v>
      </c>
    </row>
    <row r="108">
      <c r="A108" s="29">
        <v>104.0</v>
      </c>
      <c r="B108" s="30" t="s">
        <v>345</v>
      </c>
      <c r="C108" s="30" t="str">
        <f>'HP Repair Spares'!E12</f>
        <v>M 10 x 40 H.T Bolt</v>
      </c>
      <c r="D108" s="31" t="str">
        <f t="shared" si="1"/>
        <v>M 10 x 40 H.T Bolt (Code: GWDMR105)</v>
      </c>
      <c r="E108" s="29" t="s">
        <v>43</v>
      </c>
      <c r="F108" s="32" t="s">
        <v>44</v>
      </c>
      <c r="G108" s="32" t="s">
        <v>323</v>
      </c>
      <c r="H108" s="32" t="s">
        <v>324</v>
      </c>
      <c r="I108" s="29">
        <f>'HP Repair Spares'!F12</f>
        <v>18</v>
      </c>
      <c r="J108" s="29">
        <f>'HP Repair Spares'!G12</f>
        <v>0</v>
      </c>
      <c r="K108" s="33">
        <f t="shared" si="2"/>
        <v>0</v>
      </c>
      <c r="L108" s="33">
        <f t="shared" si="3"/>
        <v>18</v>
      </c>
    </row>
    <row r="109">
      <c r="A109" s="29">
        <v>105.0</v>
      </c>
      <c r="B109" s="30" t="s">
        <v>347</v>
      </c>
      <c r="C109" s="30" t="str">
        <f>'HP Repair Spares'!E13</f>
        <v>M.10 Nylon Nut</v>
      </c>
      <c r="D109" s="31" t="str">
        <f t="shared" si="1"/>
        <v>M.10 Nylon Nut (Code: GWDMR106)</v>
      </c>
      <c r="E109" s="29" t="s">
        <v>43</v>
      </c>
      <c r="F109" s="32" t="s">
        <v>44</v>
      </c>
      <c r="G109" s="32" t="s">
        <v>323</v>
      </c>
      <c r="H109" s="32" t="s">
        <v>324</v>
      </c>
      <c r="I109" s="29">
        <f>'HP Repair Spares'!F13</f>
        <v>12</v>
      </c>
      <c r="J109" s="29">
        <f>'HP Repair Spares'!G13</f>
        <v>0</v>
      </c>
      <c r="K109" s="33">
        <f t="shared" si="2"/>
        <v>0</v>
      </c>
      <c r="L109" s="33">
        <f t="shared" si="3"/>
        <v>12</v>
      </c>
    </row>
    <row r="110">
      <c r="A110" s="29">
        <v>106.0</v>
      </c>
      <c r="B110" s="30" t="s">
        <v>348</v>
      </c>
      <c r="C110" s="30" t="str">
        <f>'HP Repair Spares'!E14</f>
        <v>Special Washer for Axle</v>
      </c>
      <c r="D110" s="31" t="str">
        <f t="shared" si="1"/>
        <v>Special Washer for Axle (Code: GWDMR107)</v>
      </c>
      <c r="E110" s="29" t="s">
        <v>43</v>
      </c>
      <c r="F110" s="32" t="s">
        <v>44</v>
      </c>
      <c r="G110" s="32" t="s">
        <v>323</v>
      </c>
      <c r="H110" s="32" t="s">
        <v>324</v>
      </c>
      <c r="I110" s="29">
        <f>'HP Repair Spares'!F14</f>
        <v>12</v>
      </c>
      <c r="J110" s="29">
        <f>'HP Repair Spares'!G14</f>
        <v>0</v>
      </c>
      <c r="K110" s="33">
        <f t="shared" si="2"/>
        <v>0</v>
      </c>
      <c r="L110" s="33">
        <f t="shared" si="3"/>
        <v>12</v>
      </c>
    </row>
    <row r="111">
      <c r="A111" s="29">
        <v>107.0</v>
      </c>
      <c r="B111" s="30" t="s">
        <v>350</v>
      </c>
      <c r="C111" s="30" t="str">
        <f>'HP Repair Spares'!E15</f>
        <v>Cylinder Assembly Complete</v>
      </c>
      <c r="D111" s="31" t="str">
        <f t="shared" si="1"/>
        <v>Cylinder Assembly Complete (Code: GWDMR108)</v>
      </c>
      <c r="E111" s="29" t="s">
        <v>43</v>
      </c>
      <c r="F111" s="32" t="s">
        <v>44</v>
      </c>
      <c r="G111" s="32" t="s">
        <v>323</v>
      </c>
      <c r="H111" s="32" t="s">
        <v>324</v>
      </c>
      <c r="I111" s="29">
        <f>'HP Repair Spares'!F15</f>
        <v>3000</v>
      </c>
      <c r="J111" s="29">
        <f>'HP Repair Spares'!G15</f>
        <v>0</v>
      </c>
      <c r="K111" s="33">
        <f t="shared" si="2"/>
        <v>0</v>
      </c>
      <c r="L111" s="33">
        <f t="shared" si="3"/>
        <v>3000</v>
      </c>
    </row>
    <row r="112">
      <c r="A112" s="29">
        <v>108.0</v>
      </c>
      <c r="B112" s="30" t="s">
        <v>351</v>
      </c>
      <c r="C112" s="30" t="str">
        <f>'HP Repair Spares'!E16</f>
        <v>C.I.Cylinder Body with liner</v>
      </c>
      <c r="D112" s="31" t="str">
        <f t="shared" si="1"/>
        <v>C.I.Cylinder Body with liner (Code: GWDMR109)</v>
      </c>
      <c r="E112" s="29" t="s">
        <v>43</v>
      </c>
      <c r="F112" s="32" t="s">
        <v>44</v>
      </c>
      <c r="G112" s="32" t="s">
        <v>323</v>
      </c>
      <c r="H112" s="32" t="s">
        <v>324</v>
      </c>
      <c r="I112" s="29">
        <f>'HP Repair Spares'!F16</f>
        <v>1080</v>
      </c>
      <c r="J112" s="29">
        <f>'HP Repair Spares'!G16</f>
        <v>0</v>
      </c>
      <c r="K112" s="33">
        <f t="shared" si="2"/>
        <v>0</v>
      </c>
      <c r="L112" s="33">
        <f t="shared" si="3"/>
        <v>1080</v>
      </c>
    </row>
    <row r="113">
      <c r="A113" s="29">
        <v>109.0</v>
      </c>
      <c r="B113" s="30" t="s">
        <v>355</v>
      </c>
      <c r="C113" s="30" t="str">
        <f>'HP Repair Spares'!E17</f>
        <v>Plunger Rod S.S</v>
      </c>
      <c r="D113" s="31" t="str">
        <f t="shared" si="1"/>
        <v>Plunger Rod S.S (Code: GWDMR110)</v>
      </c>
      <c r="E113" s="29" t="s">
        <v>43</v>
      </c>
      <c r="F113" s="32" t="s">
        <v>44</v>
      </c>
      <c r="G113" s="32" t="s">
        <v>323</v>
      </c>
      <c r="H113" s="32" t="s">
        <v>324</v>
      </c>
      <c r="I113" s="29">
        <f>'HP Repair Spares'!F17</f>
        <v>216</v>
      </c>
      <c r="J113" s="29">
        <f>'HP Repair Spares'!G17</f>
        <v>0</v>
      </c>
      <c r="K113" s="33">
        <f t="shared" si="2"/>
        <v>0</v>
      </c>
      <c r="L113" s="33">
        <f t="shared" si="3"/>
        <v>216</v>
      </c>
    </row>
    <row r="114">
      <c r="A114" s="29">
        <v>110.0</v>
      </c>
      <c r="B114" s="30" t="s">
        <v>360</v>
      </c>
      <c r="C114" s="30" t="str">
        <f>'HP Repair Spares'!E18</f>
        <v>Reducer cap</v>
      </c>
      <c r="D114" s="31" t="str">
        <f t="shared" si="1"/>
        <v>Reducer cap (Code: GWDMR111)</v>
      </c>
      <c r="E114" s="29" t="s">
        <v>43</v>
      </c>
      <c r="F114" s="32" t="s">
        <v>44</v>
      </c>
      <c r="G114" s="32" t="s">
        <v>323</v>
      </c>
      <c r="H114" s="32" t="s">
        <v>324</v>
      </c>
      <c r="I114" s="29">
        <f>'HP Repair Spares'!F18</f>
        <v>156</v>
      </c>
      <c r="J114" s="29">
        <f>'HP Repair Spares'!G18</f>
        <v>0</v>
      </c>
      <c r="K114" s="33">
        <f t="shared" si="2"/>
        <v>0</v>
      </c>
      <c r="L114" s="33">
        <f t="shared" si="3"/>
        <v>156</v>
      </c>
    </row>
    <row r="115">
      <c r="A115" s="29">
        <v>111.0</v>
      </c>
      <c r="B115" s="30" t="s">
        <v>370</v>
      </c>
      <c r="C115" s="30" t="str">
        <f>'HP Repair Spares'!E19</f>
        <v>Plunger Yoke body</v>
      </c>
      <c r="D115" s="31" t="str">
        <f t="shared" si="1"/>
        <v>Plunger Yoke body (Code: GWDMR112)</v>
      </c>
      <c r="E115" s="29" t="s">
        <v>43</v>
      </c>
      <c r="F115" s="32" t="s">
        <v>44</v>
      </c>
      <c r="G115" s="32" t="s">
        <v>323</v>
      </c>
      <c r="H115" s="32" t="s">
        <v>324</v>
      </c>
      <c r="I115" s="29">
        <f>'HP Repair Spares'!F19</f>
        <v>288</v>
      </c>
      <c r="J115" s="29">
        <f>'HP Repair Spares'!G19</f>
        <v>0</v>
      </c>
      <c r="K115" s="33">
        <f t="shared" si="2"/>
        <v>0</v>
      </c>
      <c r="L115" s="33">
        <f t="shared" si="3"/>
        <v>288</v>
      </c>
    </row>
    <row r="116">
      <c r="A116" s="29">
        <v>112.0</v>
      </c>
      <c r="B116" s="30" t="s">
        <v>386</v>
      </c>
      <c r="C116" s="30" t="str">
        <f>'HP Repair Spares'!E20</f>
        <v>Spacer</v>
      </c>
      <c r="D116" s="31" t="str">
        <f t="shared" si="1"/>
        <v>Spacer (Code: GWDMR113)</v>
      </c>
      <c r="E116" s="29" t="s">
        <v>43</v>
      </c>
      <c r="F116" s="32" t="s">
        <v>44</v>
      </c>
      <c r="G116" s="32" t="s">
        <v>323</v>
      </c>
      <c r="H116" s="32" t="s">
        <v>324</v>
      </c>
      <c r="I116" s="29">
        <f>'HP Repair Spares'!F20</f>
        <v>228</v>
      </c>
      <c r="J116" s="29">
        <f>'HP Repair Spares'!G20</f>
        <v>0</v>
      </c>
      <c r="K116" s="33">
        <f t="shared" si="2"/>
        <v>0</v>
      </c>
      <c r="L116" s="33">
        <f t="shared" si="3"/>
        <v>228</v>
      </c>
    </row>
    <row r="117">
      <c r="A117" s="29">
        <v>113.0</v>
      </c>
      <c r="B117" s="30" t="s">
        <v>420</v>
      </c>
      <c r="C117" s="30" t="str">
        <f>'HP Repair Spares'!E21</f>
        <v>Follower</v>
      </c>
      <c r="D117" s="31" t="str">
        <f t="shared" si="1"/>
        <v>Follower (Code: GWDMR114)</v>
      </c>
      <c r="E117" s="29" t="s">
        <v>43</v>
      </c>
      <c r="F117" s="32" t="s">
        <v>44</v>
      </c>
      <c r="G117" s="32" t="s">
        <v>323</v>
      </c>
      <c r="H117" s="32" t="s">
        <v>324</v>
      </c>
      <c r="I117" s="29">
        <f>'HP Repair Spares'!F21</f>
        <v>252</v>
      </c>
      <c r="J117" s="29">
        <f>'HP Repair Spares'!G21</f>
        <v>0</v>
      </c>
      <c r="K117" s="33">
        <f t="shared" si="2"/>
        <v>0</v>
      </c>
      <c r="L117" s="33">
        <f t="shared" si="3"/>
        <v>252</v>
      </c>
    </row>
    <row r="118">
      <c r="A118" s="29">
        <v>114.0</v>
      </c>
      <c r="B118" s="30" t="s">
        <v>441</v>
      </c>
      <c r="C118" s="30" t="str">
        <f>'HP Repair Spares'!E22</f>
        <v>Upper Valve ( one piece)</v>
      </c>
      <c r="D118" s="31" t="str">
        <f t="shared" si="1"/>
        <v>Upper Valve ( one piece) (Code: GWDMR115)</v>
      </c>
      <c r="E118" s="29" t="s">
        <v>43</v>
      </c>
      <c r="F118" s="32" t="s">
        <v>44</v>
      </c>
      <c r="G118" s="32" t="s">
        <v>323</v>
      </c>
      <c r="H118" s="32" t="s">
        <v>324</v>
      </c>
      <c r="I118" s="29">
        <f>'HP Repair Spares'!F22</f>
        <v>90</v>
      </c>
      <c r="J118" s="29">
        <f>'HP Repair Spares'!G22</f>
        <v>0</v>
      </c>
      <c r="K118" s="33">
        <f t="shared" si="2"/>
        <v>0</v>
      </c>
      <c r="L118" s="33">
        <f t="shared" si="3"/>
        <v>90</v>
      </c>
    </row>
    <row r="119">
      <c r="A119" s="29">
        <v>115.0</v>
      </c>
      <c r="B119" s="30" t="s">
        <v>460</v>
      </c>
      <c r="C119" s="30" t="str">
        <f>'HP Repair Spares'!E23</f>
        <v>Check valve guide</v>
      </c>
      <c r="D119" s="31" t="str">
        <f t="shared" si="1"/>
        <v>Check valve guide (Code: GWDMR116)</v>
      </c>
      <c r="E119" s="29" t="s">
        <v>43</v>
      </c>
      <c r="F119" s="32" t="s">
        <v>44</v>
      </c>
      <c r="G119" s="32" t="s">
        <v>323</v>
      </c>
      <c r="H119" s="32" t="s">
        <v>324</v>
      </c>
      <c r="I119" s="29">
        <f>'HP Repair Spares'!F23</f>
        <v>120</v>
      </c>
      <c r="J119" s="29">
        <f>'HP Repair Spares'!G23</f>
        <v>0</v>
      </c>
      <c r="K119" s="33">
        <f t="shared" si="2"/>
        <v>0</v>
      </c>
      <c r="L119" s="33">
        <f t="shared" si="3"/>
        <v>120</v>
      </c>
    </row>
    <row r="120">
      <c r="A120" s="29">
        <v>116.0</v>
      </c>
      <c r="B120" s="30" t="s">
        <v>477</v>
      </c>
      <c r="C120" s="30" t="str">
        <f>'HP Repair Spares'!E24</f>
        <v>Check valve seat</v>
      </c>
      <c r="D120" s="31" t="str">
        <f t="shared" si="1"/>
        <v>Check valve seat (Code: GWDMR117)</v>
      </c>
      <c r="E120" s="29" t="s">
        <v>43</v>
      </c>
      <c r="F120" s="32" t="s">
        <v>44</v>
      </c>
      <c r="G120" s="32" t="s">
        <v>323</v>
      </c>
      <c r="H120" s="32" t="s">
        <v>324</v>
      </c>
      <c r="I120" s="29">
        <f>'HP Repair Spares'!F24</f>
        <v>192</v>
      </c>
      <c r="J120" s="29">
        <f>'HP Repair Spares'!G24</f>
        <v>0</v>
      </c>
      <c r="K120" s="33">
        <f t="shared" si="2"/>
        <v>0</v>
      </c>
      <c r="L120" s="33">
        <f t="shared" si="3"/>
        <v>192</v>
      </c>
    </row>
    <row r="121">
      <c r="A121" s="29">
        <v>117.0</v>
      </c>
      <c r="B121" s="30" t="s">
        <v>479</v>
      </c>
      <c r="C121" s="30" t="str">
        <f>'HP Repair Spares'!E25</f>
        <v>Rubber seat Retainer</v>
      </c>
      <c r="D121" s="31" t="str">
        <f t="shared" si="1"/>
        <v>Rubber seat Retainer (Code: GWDMR118)</v>
      </c>
      <c r="E121" s="29" t="s">
        <v>43</v>
      </c>
      <c r="F121" s="32" t="s">
        <v>44</v>
      </c>
      <c r="G121" s="32" t="s">
        <v>323</v>
      </c>
      <c r="H121" s="32" t="s">
        <v>324</v>
      </c>
      <c r="I121" s="29">
        <f>'HP Repair Spares'!F25</f>
        <v>96</v>
      </c>
      <c r="J121" s="29">
        <f>'HP Repair Spares'!G25</f>
        <v>0</v>
      </c>
      <c r="K121" s="33">
        <f t="shared" si="2"/>
        <v>0</v>
      </c>
      <c r="L121" s="33">
        <f t="shared" si="3"/>
        <v>96</v>
      </c>
    </row>
    <row r="122">
      <c r="A122" s="29">
        <v>118.0</v>
      </c>
      <c r="B122" s="30" t="s">
        <v>481</v>
      </c>
      <c r="C122" s="30" t="str">
        <f>'HP Repair Spares'!E26</f>
        <v>Sealing ring (Nitrile Rubber)</v>
      </c>
      <c r="D122" s="31" t="str">
        <f t="shared" si="1"/>
        <v>Sealing ring (Nitrile Rubber) (Code: GWDMR119)</v>
      </c>
      <c r="E122" s="29" t="s">
        <v>43</v>
      </c>
      <c r="F122" s="32" t="s">
        <v>44</v>
      </c>
      <c r="G122" s="32" t="s">
        <v>323</v>
      </c>
      <c r="H122" s="32" t="s">
        <v>324</v>
      </c>
      <c r="I122" s="29">
        <f>'HP Repair Spares'!F26</f>
        <v>18</v>
      </c>
      <c r="J122" s="29">
        <f>'HP Repair Spares'!G26</f>
        <v>0</v>
      </c>
      <c r="K122" s="33">
        <f t="shared" si="2"/>
        <v>0</v>
      </c>
      <c r="L122" s="33">
        <f t="shared" si="3"/>
        <v>18</v>
      </c>
    </row>
    <row r="123">
      <c r="A123" s="29">
        <v>119.0</v>
      </c>
      <c r="B123" s="30" t="s">
        <v>483</v>
      </c>
      <c r="C123" s="30" t="str">
        <f>'HP Repair Spares'!E27</f>
        <v>Rubber seating upper valve</v>
      </c>
      <c r="D123" s="31" t="str">
        <f t="shared" si="1"/>
        <v>Rubber seating upper valve (Code: GWDMR120)</v>
      </c>
      <c r="E123" s="29" t="s">
        <v>43</v>
      </c>
      <c r="F123" s="32" t="s">
        <v>44</v>
      </c>
      <c r="G123" s="32" t="s">
        <v>323</v>
      </c>
      <c r="H123" s="32" t="s">
        <v>324</v>
      </c>
      <c r="I123" s="29">
        <f>'HP Repair Spares'!F27</f>
        <v>12</v>
      </c>
      <c r="J123" s="29">
        <f>'HP Repair Spares'!G27</f>
        <v>0</v>
      </c>
      <c r="K123" s="33">
        <f t="shared" si="2"/>
        <v>0</v>
      </c>
      <c r="L123" s="33">
        <f t="shared" si="3"/>
        <v>12</v>
      </c>
    </row>
    <row r="124">
      <c r="A124" s="29">
        <v>120.0</v>
      </c>
      <c r="B124" s="30" t="s">
        <v>485</v>
      </c>
      <c r="C124" s="30" t="str">
        <f>'HP Repair Spares'!E28</f>
        <v>Rubber seating check valve</v>
      </c>
      <c r="D124" s="31" t="str">
        <f t="shared" si="1"/>
        <v>Rubber seating check valve (Code: GWDMR121)</v>
      </c>
      <c r="E124" s="29" t="s">
        <v>43</v>
      </c>
      <c r="F124" s="32" t="s">
        <v>44</v>
      </c>
      <c r="G124" s="32" t="s">
        <v>323</v>
      </c>
      <c r="H124" s="32" t="s">
        <v>324</v>
      </c>
      <c r="I124" s="29">
        <f>'HP Repair Spares'!F28</f>
        <v>12</v>
      </c>
      <c r="J124" s="29">
        <f>'HP Repair Spares'!G28</f>
        <v>0</v>
      </c>
      <c r="K124" s="33">
        <f t="shared" si="2"/>
        <v>0</v>
      </c>
      <c r="L124" s="33">
        <f t="shared" si="3"/>
        <v>12</v>
      </c>
    </row>
    <row r="125">
      <c r="A125" s="29">
        <v>121.0</v>
      </c>
      <c r="B125" s="30" t="s">
        <v>496</v>
      </c>
      <c r="C125" s="30" t="str">
        <f>'HP Repair Spares'!E29</f>
        <v>Pump Bucket (Nitrile Rubber)</v>
      </c>
      <c r="D125" s="31" t="str">
        <f t="shared" si="1"/>
        <v>Pump Bucket (Nitrile Rubber) (Code: GWDMR122)</v>
      </c>
      <c r="E125" s="29" t="s">
        <v>43</v>
      </c>
      <c r="F125" s="32" t="s">
        <v>44</v>
      </c>
      <c r="G125" s="32" t="s">
        <v>323</v>
      </c>
      <c r="H125" s="32" t="s">
        <v>324</v>
      </c>
      <c r="I125" s="29">
        <f>'HP Repair Spares'!F29</f>
        <v>30</v>
      </c>
      <c r="J125" s="29">
        <f>'HP Repair Spares'!G29</f>
        <v>0</v>
      </c>
      <c r="K125" s="33">
        <f t="shared" si="2"/>
        <v>0</v>
      </c>
      <c r="L125" s="33">
        <f t="shared" si="3"/>
        <v>30</v>
      </c>
    </row>
    <row r="126">
      <c r="A126" s="29">
        <v>122.0</v>
      </c>
      <c r="B126" s="30" t="s">
        <v>502</v>
      </c>
      <c r="C126" s="30" t="str">
        <f>'HP Repair Spares'!E30</f>
        <v>Upper valve Assembly comprising of SS Plunger rod, Plunger Yoke body, 2 spacer &amp; 2 bucket washers</v>
      </c>
      <c r="D126" s="31" t="str">
        <f t="shared" si="1"/>
        <v>Upper valve Assembly comprising of SS Plunger rod, Plunger Yoke body, 2 spacer &amp; 2 bucket washers (Code: GWDMR123)</v>
      </c>
      <c r="E126" s="29" t="s">
        <v>43</v>
      </c>
      <c r="F126" s="32" t="s">
        <v>44</v>
      </c>
      <c r="G126" s="32" t="s">
        <v>323</v>
      </c>
      <c r="H126" s="32" t="s">
        <v>324</v>
      </c>
      <c r="I126" s="29">
        <f>'HP Repair Spares'!F30</f>
        <v>1200</v>
      </c>
      <c r="J126" s="29">
        <f>'HP Repair Spares'!G30</f>
        <v>0</v>
      </c>
      <c r="K126" s="33">
        <f t="shared" si="2"/>
        <v>0</v>
      </c>
      <c r="L126" s="33">
        <f t="shared" si="3"/>
        <v>1200</v>
      </c>
    </row>
    <row r="127">
      <c r="A127" s="29">
        <v>123.0</v>
      </c>
      <c r="B127" s="30" t="s">
        <v>504</v>
      </c>
      <c r="C127" s="30" t="str">
        <f>'HP Repair Spares'!E31</f>
        <v>Same as above but without plunger rod</v>
      </c>
      <c r="D127" s="31" t="str">
        <f t="shared" si="1"/>
        <v>Same as above but without plunger rod (Code: GWDMR124)</v>
      </c>
      <c r="E127" s="29" t="s">
        <v>43</v>
      </c>
      <c r="F127" s="32" t="s">
        <v>44</v>
      </c>
      <c r="G127" s="32" t="s">
        <v>323</v>
      </c>
      <c r="H127" s="32" t="s">
        <v>324</v>
      </c>
      <c r="I127" s="29">
        <f>'HP Repair Spares'!F31</f>
        <v>1080</v>
      </c>
      <c r="J127" s="29">
        <f>'HP Repair Spares'!G31</f>
        <v>0</v>
      </c>
      <c r="K127" s="33">
        <f t="shared" si="2"/>
        <v>0</v>
      </c>
      <c r="L127" s="33">
        <f t="shared" si="3"/>
        <v>1080</v>
      </c>
    </row>
    <row r="128">
      <c r="A128" s="29">
        <v>124.0</v>
      </c>
      <c r="B128" s="30" t="s">
        <v>506</v>
      </c>
      <c r="C128" s="30" t="str">
        <f>'HP Repair Spares'!E32</f>
        <v>Lower Valve Assembly comprising of Rubber Seat Retainer, Check valve guide and rubber seating</v>
      </c>
      <c r="D128" s="31" t="str">
        <f t="shared" si="1"/>
        <v>Lower Valve Assembly comprising of Rubber Seat Retainer, Check valve guide and rubber seating (Code: GWDMR125)</v>
      </c>
      <c r="E128" s="29" t="s">
        <v>43</v>
      </c>
      <c r="F128" s="32" t="s">
        <v>44</v>
      </c>
      <c r="G128" s="32" t="s">
        <v>323</v>
      </c>
      <c r="H128" s="32" t="s">
        <v>324</v>
      </c>
      <c r="I128" s="29">
        <f>'HP Repair Spares'!F32</f>
        <v>540</v>
      </c>
      <c r="J128" s="29">
        <f>'HP Repair Spares'!G32</f>
        <v>0</v>
      </c>
      <c r="K128" s="33">
        <f t="shared" si="2"/>
        <v>0</v>
      </c>
      <c r="L128" s="33">
        <f t="shared" si="3"/>
        <v>540</v>
      </c>
    </row>
    <row r="129">
      <c r="A129" s="29">
        <v>125.0</v>
      </c>
      <c r="B129" s="30" t="s">
        <v>508</v>
      </c>
      <c r="C129" s="30" t="str">
        <f>'HP Repair Spares'!E33</f>
        <v>Water Tank</v>
      </c>
      <c r="D129" s="31" t="str">
        <f t="shared" si="1"/>
        <v>Water Tank (Code: GWDMR126)</v>
      </c>
      <c r="E129" s="29" t="s">
        <v>43</v>
      </c>
      <c r="F129" s="32" t="s">
        <v>44</v>
      </c>
      <c r="G129" s="32" t="s">
        <v>323</v>
      </c>
      <c r="H129" s="32" t="s">
        <v>324</v>
      </c>
      <c r="I129" s="29">
        <f>'HP Repair Spares'!F33</f>
        <v>1800</v>
      </c>
      <c r="J129" s="29">
        <f>'HP Repair Spares'!G33</f>
        <v>0</v>
      </c>
      <c r="K129" s="33">
        <f t="shared" si="2"/>
        <v>0</v>
      </c>
      <c r="L129" s="33">
        <f t="shared" si="3"/>
        <v>1800</v>
      </c>
    </row>
    <row r="130">
      <c r="A130" s="29">
        <v>126.0</v>
      </c>
      <c r="B130" s="30" t="s">
        <v>510</v>
      </c>
      <c r="C130" s="30" t="str">
        <f>'HP Repair Spares'!E34</f>
        <v>Pipe Sockets</v>
      </c>
      <c r="D130" s="31" t="str">
        <f t="shared" si="1"/>
        <v>Pipe Sockets (Code: GWDMR127)</v>
      </c>
      <c r="E130" s="29" t="s">
        <v>43</v>
      </c>
      <c r="F130" s="32" t="s">
        <v>44</v>
      </c>
      <c r="G130" s="32" t="s">
        <v>323</v>
      </c>
      <c r="H130" s="32" t="s">
        <v>324</v>
      </c>
      <c r="I130" s="29">
        <f>'HP Repair Spares'!F34</f>
        <v>120</v>
      </c>
      <c r="J130" s="29">
        <f>'HP Repair Spares'!G34</f>
        <v>0</v>
      </c>
      <c r="K130" s="33">
        <f t="shared" si="2"/>
        <v>0</v>
      </c>
      <c r="L130" s="33">
        <f t="shared" si="3"/>
        <v>120</v>
      </c>
    </row>
    <row r="131">
      <c r="A131" s="29">
        <v>127.0</v>
      </c>
      <c r="B131" s="30" t="s">
        <v>513</v>
      </c>
      <c r="C131" s="30" t="str">
        <f>'HP Repair Spares'!E35</f>
        <v>Pedestal (Ordinary)</v>
      </c>
      <c r="D131" s="31" t="str">
        <f t="shared" si="1"/>
        <v>Pedestal (Ordinary) (Code: GWDMR128)</v>
      </c>
      <c r="E131" s="29" t="s">
        <v>43</v>
      </c>
      <c r="F131" s="32" t="s">
        <v>44</v>
      </c>
      <c r="G131" s="32" t="s">
        <v>323</v>
      </c>
      <c r="H131" s="32" t="s">
        <v>324</v>
      </c>
      <c r="I131" s="29">
        <f>'HP Repair Spares'!F35</f>
        <v>3120</v>
      </c>
      <c r="J131" s="29">
        <f>'HP Repair Spares'!G35</f>
        <v>0</v>
      </c>
      <c r="K131" s="33">
        <f t="shared" si="2"/>
        <v>0</v>
      </c>
      <c r="L131" s="33">
        <f t="shared" si="3"/>
        <v>3120</v>
      </c>
    </row>
    <row r="132">
      <c r="A132" s="29">
        <v>128.0</v>
      </c>
      <c r="B132" s="30" t="s">
        <v>518</v>
      </c>
      <c r="C132" s="30" t="str">
        <f>'HP Repair Spares'!E36</f>
        <v>12 mm dia x 3 m electro galvanized</v>
      </c>
      <c r="D132" s="31" t="str">
        <f t="shared" si="1"/>
        <v>12 mm dia x 3 m electro galvanized (Code: GWDMR129)</v>
      </c>
      <c r="E132" s="29" t="s">
        <v>43</v>
      </c>
      <c r="F132" s="32" t="s">
        <v>44</v>
      </c>
      <c r="G132" s="32" t="s">
        <v>323</v>
      </c>
      <c r="H132" s="32" t="s">
        <v>324</v>
      </c>
      <c r="I132" s="29">
        <f>'HP Repair Spares'!F36</f>
        <v>336</v>
      </c>
      <c r="J132" s="29">
        <f>'HP Repair Spares'!G36</f>
        <v>0</v>
      </c>
      <c r="K132" s="33">
        <f t="shared" si="2"/>
        <v>0</v>
      </c>
      <c r="L132" s="33">
        <f t="shared" si="3"/>
        <v>336</v>
      </c>
    </row>
    <row r="133">
      <c r="A133" s="29">
        <v>129.0</v>
      </c>
      <c r="B133" s="30" t="s">
        <v>520</v>
      </c>
      <c r="C133" s="30" t="str">
        <f>'HP Repair Spares'!E37</f>
        <v>Hex. Coupler 12 x 50 mm</v>
      </c>
      <c r="D133" s="31" t="str">
        <f t="shared" si="1"/>
        <v>Hex. Coupler 12 x 50 mm (Code: GWDMR130)</v>
      </c>
      <c r="E133" s="29" t="s">
        <v>43</v>
      </c>
      <c r="F133" s="32" t="s">
        <v>44</v>
      </c>
      <c r="G133" s="32" t="s">
        <v>323</v>
      </c>
      <c r="H133" s="32" t="s">
        <v>324</v>
      </c>
      <c r="I133" s="29">
        <f>'HP Repair Spares'!F37</f>
        <v>30</v>
      </c>
      <c r="J133" s="29">
        <f>'HP Repair Spares'!G37</f>
        <v>0</v>
      </c>
      <c r="K133" s="33">
        <f t="shared" si="2"/>
        <v>0</v>
      </c>
      <c r="L133" s="33">
        <f t="shared" si="3"/>
        <v>30</v>
      </c>
    </row>
    <row r="134">
      <c r="A134" s="29">
        <v>130.0</v>
      </c>
      <c r="B134" s="30" t="s">
        <v>525</v>
      </c>
      <c r="C134" s="30" t="str">
        <f>'HP Repair Spares'!E38</f>
        <v>Hex. Coupler 12 x 20 mm</v>
      </c>
      <c r="D134" s="31" t="str">
        <f t="shared" si="1"/>
        <v>Hex. Coupler 12 x 20 mm (Code: GWDMR131)</v>
      </c>
      <c r="E134" s="29" t="s">
        <v>43</v>
      </c>
      <c r="F134" s="32" t="s">
        <v>44</v>
      </c>
      <c r="G134" s="32" t="s">
        <v>323</v>
      </c>
      <c r="H134" s="32" t="s">
        <v>324</v>
      </c>
      <c r="I134" s="29">
        <f>'HP Repair Spares'!F38</f>
        <v>24</v>
      </c>
      <c r="J134" s="29">
        <f>'HP Repair Spares'!G38</f>
        <v>0</v>
      </c>
      <c r="K134" s="33">
        <f t="shared" si="2"/>
        <v>0</v>
      </c>
      <c r="L134" s="33">
        <f t="shared" si="3"/>
        <v>24</v>
      </c>
    </row>
    <row r="135">
      <c r="A135" s="29">
        <v>131.0</v>
      </c>
      <c r="B135" s="30" t="s">
        <v>527</v>
      </c>
      <c r="C135" s="30" t="str">
        <f>'HP Repair Spares'!E39</f>
        <v>GI Riser pipe (B class) 3 m long 32mm bore size both end threaded with one end socket (Code: 1548 - Including Water Charge and CPOH)</v>
      </c>
      <c r="D135" s="31" t="str">
        <f t="shared" si="1"/>
        <v>GI Riser pipe (B class) 3 m long 32mm bore size both end threaded with one end socket (Code: 1548 - Including Water Charge and CPOH) (Code: GWDMR132)</v>
      </c>
      <c r="E135" s="29" t="s">
        <v>43</v>
      </c>
      <c r="F135" s="32" t="s">
        <v>44</v>
      </c>
      <c r="G135" s="32" t="s">
        <v>323</v>
      </c>
      <c r="H135" s="32" t="s">
        <v>324</v>
      </c>
      <c r="I135" s="29">
        <f>'HP Repair Spares'!F39</f>
        <v>0</v>
      </c>
      <c r="J135" s="29">
        <f>'HP Repair Spares'!G39</f>
        <v>784.02</v>
      </c>
      <c r="K135" s="33">
        <f t="shared" si="2"/>
        <v>0</v>
      </c>
      <c r="L135" s="33">
        <f t="shared" si="3"/>
        <v>784.02</v>
      </c>
    </row>
    <row r="136">
      <c r="A136" s="29">
        <v>132.0</v>
      </c>
      <c r="B136" s="30" t="s">
        <v>531</v>
      </c>
      <c r="C136" s="30" t="str">
        <f>'HP Repair Spares'!E40</f>
        <v>Cylinder Extra deep well hand pump</v>
      </c>
      <c r="D136" s="31" t="str">
        <f t="shared" si="1"/>
        <v>Cylinder Extra deep well hand pump (Code: GWDMR133)</v>
      </c>
      <c r="E136" s="29" t="s">
        <v>43</v>
      </c>
      <c r="F136" s="32" t="s">
        <v>44</v>
      </c>
      <c r="G136" s="32" t="s">
        <v>323</v>
      </c>
      <c r="H136" s="32" t="s">
        <v>324</v>
      </c>
      <c r="I136" s="29">
        <f>'HP Repair Spares'!F40</f>
        <v>4320</v>
      </c>
      <c r="J136" s="29">
        <f>'HP Repair Spares'!G40</f>
        <v>0</v>
      </c>
      <c r="K136" s="33">
        <f t="shared" si="2"/>
        <v>0</v>
      </c>
      <c r="L136" s="33">
        <f t="shared" si="3"/>
        <v>4320</v>
      </c>
    </row>
    <row r="137">
      <c r="A137" s="29">
        <v>133.0</v>
      </c>
      <c r="B137" s="30" t="s">
        <v>534</v>
      </c>
      <c r="C137" s="30" t="str">
        <f>'HP Repair Spares'!E41</f>
        <v>Head Assembly for extra deep well pump with T</v>
      </c>
      <c r="D137" s="31" t="str">
        <f t="shared" si="1"/>
        <v>Head Assembly for extra deep well pump with T (Code: GWDMR134)</v>
      </c>
      <c r="E137" s="29" t="s">
        <v>43</v>
      </c>
      <c r="F137" s="32" t="s">
        <v>44</v>
      </c>
      <c r="G137" s="32" t="s">
        <v>323</v>
      </c>
      <c r="H137" s="32" t="s">
        <v>324</v>
      </c>
      <c r="I137" s="29">
        <f>'HP Repair Spares'!F41</f>
        <v>7200</v>
      </c>
      <c r="J137" s="29">
        <f>'HP Repair Spares'!G41</f>
        <v>0</v>
      </c>
      <c r="K137" s="33">
        <f t="shared" si="2"/>
        <v>0</v>
      </c>
      <c r="L137" s="33">
        <f t="shared" si="3"/>
        <v>7200</v>
      </c>
    </row>
    <row r="138">
      <c r="A138" s="29">
        <v>134.0</v>
      </c>
      <c r="B138" s="30" t="s">
        <v>537</v>
      </c>
      <c r="C138" s="30" t="str">
        <f>'HP Repair Spares'!E42</f>
        <v> ISI marked India Mark II (Standard) Deep well hand pumps confirming to IS: 15500 (Part II) 2004 complete with 10 Nos. GI pipe (B class) 3m long  32mm bore both end threaded with one end socket and 10 Nos connecting rods</v>
      </c>
      <c r="D138" s="31" t="str">
        <f t="shared" si="1"/>
        <v> ISI marked India Mark II (Standard) Deep well hand pumps confirming to IS: 15500 (Part II) 2004 complete with 10 Nos. GI pipe (B class) 3m long  32mm bore both end threaded with one end socket and 10 Nos connecting rods (Code: GWDMR135)</v>
      </c>
      <c r="E138" s="29" t="s">
        <v>43</v>
      </c>
      <c r="F138" s="32" t="s">
        <v>44</v>
      </c>
      <c r="G138" s="32" t="s">
        <v>323</v>
      </c>
      <c r="H138" s="32" t="s">
        <v>324</v>
      </c>
      <c r="I138" s="29">
        <f>'HP Repair Spares'!F42</f>
        <v>31000</v>
      </c>
      <c r="J138" s="29">
        <f>'HP Repair Spares'!G42</f>
        <v>0</v>
      </c>
      <c r="K138" s="33">
        <f t="shared" si="2"/>
        <v>0</v>
      </c>
      <c r="L138" s="33">
        <f t="shared" si="3"/>
        <v>31000</v>
      </c>
    </row>
    <row r="139">
      <c r="A139" s="29">
        <v>135.0</v>
      </c>
      <c r="B139" s="30" t="s">
        <v>540</v>
      </c>
      <c r="C139" s="30" t="str">
        <f>'HP Repair Spares'!E43</f>
        <v> ISI marked India Mark II (Standard) Extra Deep well hand pumps confirming to IS: 15500 (Part II) 2004 complete with 20 Nos. GI pipe (B class) 3m long  32mm bore both end threaded with one end socket and 20 Nos connecting rods</v>
      </c>
      <c r="D139" s="31" t="str">
        <f t="shared" si="1"/>
        <v> ISI marked India Mark II (Standard) Extra Deep well hand pumps confirming to IS: 15500 (Part II) 2004 complete with 20 Nos. GI pipe (B class) 3m long  32mm bore both end threaded with one end socket and 20 Nos connecting rods (Code: GWDMR136)</v>
      </c>
      <c r="E139" s="29" t="s">
        <v>43</v>
      </c>
      <c r="F139" s="32" t="s">
        <v>44</v>
      </c>
      <c r="G139" s="32" t="s">
        <v>323</v>
      </c>
      <c r="H139" s="32" t="s">
        <v>324</v>
      </c>
      <c r="I139" s="29">
        <f>'HP Repair Spares'!F43</f>
        <v>49000</v>
      </c>
      <c r="J139" s="29">
        <f>'HP Repair Spares'!G43</f>
        <v>0</v>
      </c>
      <c r="K139" s="33">
        <f t="shared" si="2"/>
        <v>0</v>
      </c>
      <c r="L139" s="33">
        <f t="shared" si="3"/>
        <v>49000</v>
      </c>
    </row>
    <row r="140">
      <c r="A140" s="29">
        <v>136.0</v>
      </c>
      <c r="B140" s="30" t="s">
        <v>541</v>
      </c>
      <c r="C140" s="30" t="s">
        <v>542</v>
      </c>
      <c r="D140" s="31" t="str">
        <f t="shared" si="1"/>
        <v>Supply of Single Phase Submersible Pump 1 HP, Discharge 2500-6000 lph, Head 49-17m without Panel Board (Code: GWDMR137)</v>
      </c>
      <c r="E140" s="29" t="s">
        <v>43</v>
      </c>
      <c r="F140" s="32" t="s">
        <v>44</v>
      </c>
      <c r="G140" s="32" t="s">
        <v>49</v>
      </c>
      <c r="H140" s="32" t="s">
        <v>543</v>
      </c>
      <c r="I140" s="72">
        <v>21162.53</v>
      </c>
      <c r="J140" s="29">
        <v>0.0</v>
      </c>
      <c r="K140" s="33">
        <f t="shared" si="2"/>
        <v>0</v>
      </c>
      <c r="L140" s="33">
        <f t="shared" si="3"/>
        <v>21162.53</v>
      </c>
    </row>
    <row r="141">
      <c r="A141" s="29">
        <v>137.0</v>
      </c>
      <c r="B141" s="30" t="s">
        <v>545</v>
      </c>
      <c r="C141" s="30" t="s">
        <v>546</v>
      </c>
      <c r="D141" s="31" t="str">
        <f t="shared" si="1"/>
        <v>Supply of Single Phase Submersible Pump 1 HP, Discharge 2500-6000 lph, Head 57-14m without Panel Board (Code: GWDMR138)</v>
      </c>
      <c r="E141" s="29" t="s">
        <v>43</v>
      </c>
      <c r="F141" s="32" t="s">
        <v>44</v>
      </c>
      <c r="G141" s="32" t="s">
        <v>49</v>
      </c>
      <c r="H141" s="32" t="s">
        <v>543</v>
      </c>
      <c r="I141" s="32">
        <v>22126.575</v>
      </c>
      <c r="J141" s="29">
        <v>0.0</v>
      </c>
      <c r="K141" s="33">
        <f t="shared" si="2"/>
        <v>0</v>
      </c>
      <c r="L141" s="33">
        <f t="shared" si="3"/>
        <v>22126.575</v>
      </c>
    </row>
    <row r="142">
      <c r="A142" s="29">
        <v>138.0</v>
      </c>
      <c r="B142" s="30" t="s">
        <v>547</v>
      </c>
      <c r="C142" s="30" t="s">
        <v>548</v>
      </c>
      <c r="D142" s="31" t="str">
        <f t="shared" si="1"/>
        <v>Supply of Single Phase Submersible Pump 1 HP, Discharge 1800-4320 lph, Head 65-39m without Panel Board (Code: GWDMR139)</v>
      </c>
      <c r="E142" s="29" t="s">
        <v>43</v>
      </c>
      <c r="F142" s="32" t="s">
        <v>44</v>
      </c>
      <c r="G142" s="32" t="s">
        <v>49</v>
      </c>
      <c r="H142" s="32" t="s">
        <v>543</v>
      </c>
      <c r="I142" s="72">
        <v>21047.772</v>
      </c>
      <c r="J142" s="29">
        <v>0.0</v>
      </c>
      <c r="K142" s="33">
        <f t="shared" si="2"/>
        <v>0</v>
      </c>
      <c r="L142" s="33">
        <f t="shared" si="3"/>
        <v>21047.772</v>
      </c>
    </row>
    <row r="143">
      <c r="A143" s="29">
        <v>139.0</v>
      </c>
      <c r="B143" s="30" t="s">
        <v>550</v>
      </c>
      <c r="C143" s="30" t="s">
        <v>551</v>
      </c>
      <c r="D143" s="31" t="str">
        <f t="shared" si="1"/>
        <v>Supply of Single Phase Submersible Pump 1 HP, Discharge 2500-6000 lph, Head 69-17m without Panel Board (Code: GWDMR140)</v>
      </c>
      <c r="E143" s="29" t="s">
        <v>43</v>
      </c>
      <c r="F143" s="32" t="s">
        <v>44</v>
      </c>
      <c r="G143" s="32" t="s">
        <v>49</v>
      </c>
      <c r="H143" s="32" t="s">
        <v>543</v>
      </c>
      <c r="I143" s="32">
        <v>24391.499999999996</v>
      </c>
      <c r="J143" s="29">
        <v>0.0</v>
      </c>
      <c r="K143" s="33">
        <f t="shared" si="2"/>
        <v>0</v>
      </c>
      <c r="L143" s="33">
        <f t="shared" si="3"/>
        <v>24391.5</v>
      </c>
    </row>
    <row r="144">
      <c r="A144" s="29">
        <v>140.0</v>
      </c>
      <c r="B144" s="30" t="s">
        <v>553</v>
      </c>
      <c r="C144" s="30" t="s">
        <v>554</v>
      </c>
      <c r="D144" s="31" t="str">
        <f t="shared" si="1"/>
        <v>Supply of Single Phase Submersible Pump 1 HP, Discharge 1080-2880 lph, Head 91-50m without Panel Board (Code: GWDMR141)</v>
      </c>
      <c r="E144" s="29" t="s">
        <v>43</v>
      </c>
      <c r="F144" s="32" t="s">
        <v>44</v>
      </c>
      <c r="G144" s="32" t="s">
        <v>49</v>
      </c>
      <c r="H144" s="32" t="s">
        <v>543</v>
      </c>
      <c r="I144" s="72">
        <v>22498.716</v>
      </c>
      <c r="J144" s="29">
        <v>0.0</v>
      </c>
      <c r="K144" s="33">
        <f t="shared" si="2"/>
        <v>0</v>
      </c>
      <c r="L144" s="33">
        <f t="shared" si="3"/>
        <v>22498.716</v>
      </c>
    </row>
    <row r="145">
      <c r="A145" s="29">
        <v>141.0</v>
      </c>
      <c r="B145" s="30" t="s">
        <v>556</v>
      </c>
      <c r="C145" s="30" t="s">
        <v>558</v>
      </c>
      <c r="D145" s="31" t="str">
        <f t="shared" si="1"/>
        <v>Supply of Single Phase Submersible Pump 1.5 HP, Discharge 3000-7500 lph, Head 65-32m without Panel Board (Code: GWDMR142)</v>
      </c>
      <c r="E145" s="29" t="s">
        <v>43</v>
      </c>
      <c r="F145" s="32" t="s">
        <v>44</v>
      </c>
      <c r="G145" s="32" t="s">
        <v>49</v>
      </c>
      <c r="H145" s="32" t="s">
        <v>543</v>
      </c>
      <c r="I145" s="32">
        <v>24937.404999999995</v>
      </c>
      <c r="J145" s="29">
        <v>0.0</v>
      </c>
      <c r="K145" s="33">
        <f t="shared" si="2"/>
        <v>0</v>
      </c>
      <c r="L145" s="33">
        <f t="shared" si="3"/>
        <v>24937.405</v>
      </c>
    </row>
    <row r="146">
      <c r="A146" s="29">
        <v>142.0</v>
      </c>
      <c r="B146" s="30" t="s">
        <v>560</v>
      </c>
      <c r="C146" s="30" t="s">
        <v>561</v>
      </c>
      <c r="D146" s="31" t="str">
        <f t="shared" si="1"/>
        <v>Supply of Single Phase Submersible Pump 1.5 HP, Discharge 1800-4320 lph, Head 83-52m without Panel Board (Code: GWDMR143)</v>
      </c>
      <c r="E146" s="29" t="s">
        <v>43</v>
      </c>
      <c r="F146" s="32" t="s">
        <v>44</v>
      </c>
      <c r="G146" s="32" t="s">
        <v>49</v>
      </c>
      <c r="H146" s="32" t="s">
        <v>543</v>
      </c>
      <c r="I146" s="72">
        <v>23219.316</v>
      </c>
      <c r="J146" s="29">
        <v>0.0</v>
      </c>
      <c r="K146" s="33">
        <f t="shared" si="2"/>
        <v>0</v>
      </c>
      <c r="L146" s="33">
        <f t="shared" si="3"/>
        <v>23219.316</v>
      </c>
    </row>
    <row r="147">
      <c r="A147" s="29">
        <v>143.0</v>
      </c>
      <c r="B147" s="30" t="s">
        <v>562</v>
      </c>
      <c r="C147" s="30" t="s">
        <v>563</v>
      </c>
      <c r="D147" s="31" t="str">
        <f t="shared" si="1"/>
        <v>Supply of Single Phase Submersible Pump 1.5 HP, Discharge 1800-4320 lph, Head 105-57m without Panel Board (Code: GWDMR144)</v>
      </c>
      <c r="E147" s="29" t="s">
        <v>43</v>
      </c>
      <c r="F147" s="32" t="s">
        <v>44</v>
      </c>
      <c r="G147" s="32" t="s">
        <v>49</v>
      </c>
      <c r="H147" s="32" t="s">
        <v>543</v>
      </c>
      <c r="I147" s="72">
        <v>24493.248</v>
      </c>
      <c r="J147" s="29">
        <v>0.0</v>
      </c>
      <c r="K147" s="33">
        <f t="shared" si="2"/>
        <v>0</v>
      </c>
      <c r="L147" s="33">
        <f t="shared" si="3"/>
        <v>24493.248</v>
      </c>
    </row>
    <row r="148">
      <c r="A148" s="29">
        <v>144.0</v>
      </c>
      <c r="B148" s="30" t="s">
        <v>566</v>
      </c>
      <c r="C148" s="30" t="s">
        <v>567</v>
      </c>
      <c r="D148" s="31" t="str">
        <f t="shared" si="1"/>
        <v>Supply of Single Phase Submersible Pump 1.5 HP, Discharge 500-3000 lph, Head 126-43m without Panel Board (Code: GWDMR145)</v>
      </c>
      <c r="E148" s="29" t="s">
        <v>43</v>
      </c>
      <c r="F148" s="32" t="s">
        <v>44</v>
      </c>
      <c r="G148" s="32" t="s">
        <v>49</v>
      </c>
      <c r="H148" s="32" t="s">
        <v>543</v>
      </c>
      <c r="I148" s="32">
        <v>24159.199999999997</v>
      </c>
      <c r="J148" s="29">
        <v>0.0</v>
      </c>
      <c r="K148" s="33">
        <f t="shared" si="2"/>
        <v>0</v>
      </c>
      <c r="L148" s="33">
        <f t="shared" si="3"/>
        <v>24159.2</v>
      </c>
    </row>
    <row r="149">
      <c r="A149" s="29">
        <v>145.0</v>
      </c>
      <c r="B149" s="30" t="s">
        <v>568</v>
      </c>
      <c r="C149" s="30" t="s">
        <v>569</v>
      </c>
      <c r="D149" s="31" t="str">
        <f t="shared" si="1"/>
        <v>Supply of Single Phase Submersible Pump 1.5 HP, Discharge 1080-2880 lph, Head 137-75m without Panel Board (Code: GWDMR146)</v>
      </c>
      <c r="E149" s="29" t="s">
        <v>43</v>
      </c>
      <c r="F149" s="32" t="s">
        <v>44</v>
      </c>
      <c r="G149" s="32" t="s">
        <v>49</v>
      </c>
      <c r="H149" s="32" t="s">
        <v>543</v>
      </c>
      <c r="I149" s="32">
        <v>26133.749999999996</v>
      </c>
      <c r="J149" s="29">
        <v>0.0</v>
      </c>
      <c r="K149" s="33">
        <f t="shared" si="2"/>
        <v>0</v>
      </c>
      <c r="L149" s="33">
        <f t="shared" si="3"/>
        <v>26133.75</v>
      </c>
    </row>
    <row r="150">
      <c r="A150" s="29">
        <v>146.0</v>
      </c>
      <c r="B150" s="30" t="s">
        <v>570</v>
      </c>
      <c r="C150" s="30" t="s">
        <v>571</v>
      </c>
      <c r="D150" s="31" t="str">
        <f t="shared" si="1"/>
        <v>Supply of Single Phase Submersible Pump 1.5 HP, Discharge 500-3000 lph, Head 148-50m without Panel Board (Code: GWDMR147)</v>
      </c>
      <c r="E150" s="29" t="s">
        <v>43</v>
      </c>
      <c r="F150" s="32" t="s">
        <v>44</v>
      </c>
      <c r="G150" s="32" t="s">
        <v>49</v>
      </c>
      <c r="H150" s="32" t="s">
        <v>543</v>
      </c>
      <c r="I150" s="32">
        <v>27980.534999999996</v>
      </c>
      <c r="J150" s="29">
        <v>0.0</v>
      </c>
      <c r="K150" s="33">
        <f t="shared" si="2"/>
        <v>0</v>
      </c>
      <c r="L150" s="33">
        <f t="shared" si="3"/>
        <v>27980.535</v>
      </c>
    </row>
    <row r="151">
      <c r="A151" s="29">
        <v>147.0</v>
      </c>
      <c r="B151" s="30" t="s">
        <v>573</v>
      </c>
      <c r="C151" s="30" t="s">
        <v>574</v>
      </c>
      <c r="D151" s="31" t="str">
        <f t="shared" si="1"/>
        <v>Supply of Single Phase Submersible Pump 1.5 HP, Discharge 300-2100 lph, Head 180-51m without Panel Board (Code: GWDMR148)</v>
      </c>
      <c r="E151" s="29" t="s">
        <v>43</v>
      </c>
      <c r="F151" s="32" t="s">
        <v>44</v>
      </c>
      <c r="G151" s="32" t="s">
        <v>49</v>
      </c>
      <c r="H151" s="32" t="s">
        <v>543</v>
      </c>
      <c r="I151" s="32">
        <v>30082.849999999995</v>
      </c>
      <c r="J151" s="29">
        <v>0.0</v>
      </c>
      <c r="K151" s="33">
        <f t="shared" si="2"/>
        <v>0</v>
      </c>
      <c r="L151" s="33">
        <f t="shared" si="3"/>
        <v>30082.85</v>
      </c>
    </row>
    <row r="152">
      <c r="A152" s="29">
        <v>148.0</v>
      </c>
      <c r="B152" s="30" t="s">
        <v>575</v>
      </c>
      <c r="C152" s="30" t="s">
        <v>577</v>
      </c>
      <c r="D152" s="31" t="str">
        <f t="shared" si="1"/>
        <v>Supply of Single Phase Submersible Pump 2 HP, Discharge 5200-10600 lph, Head 57-18m without Panel Board (Code: GWDMR149)</v>
      </c>
      <c r="E152" s="29" t="s">
        <v>43</v>
      </c>
      <c r="F152" s="32" t="s">
        <v>44</v>
      </c>
      <c r="G152" s="32" t="s">
        <v>49</v>
      </c>
      <c r="H152" s="32" t="s">
        <v>543</v>
      </c>
      <c r="I152" s="32">
        <v>29176.879999999997</v>
      </c>
      <c r="J152" s="29">
        <v>0.0</v>
      </c>
      <c r="K152" s="33">
        <f t="shared" si="2"/>
        <v>0</v>
      </c>
      <c r="L152" s="33">
        <f t="shared" si="3"/>
        <v>29176.88</v>
      </c>
    </row>
    <row r="153">
      <c r="A153" s="29">
        <v>149.0</v>
      </c>
      <c r="B153" s="30" t="s">
        <v>578</v>
      </c>
      <c r="C153" s="30" t="s">
        <v>579</v>
      </c>
      <c r="D153" s="31" t="str">
        <f t="shared" si="1"/>
        <v>Supply of Single Phase Submersible Pump 2 HP, Discharge 3000-7500 lph, Head 87-42m without Panel Board (Code: GWDMR150)</v>
      </c>
      <c r="E153" s="29" t="s">
        <v>43</v>
      </c>
      <c r="F153" s="32" t="s">
        <v>44</v>
      </c>
      <c r="G153" s="32" t="s">
        <v>49</v>
      </c>
      <c r="H153" s="32" t="s">
        <v>543</v>
      </c>
      <c r="I153" s="32">
        <v>31360.499999999996</v>
      </c>
      <c r="J153" s="29">
        <v>0.0</v>
      </c>
      <c r="K153" s="33">
        <f t="shared" si="2"/>
        <v>0</v>
      </c>
      <c r="L153" s="33">
        <f t="shared" si="3"/>
        <v>31360.5</v>
      </c>
    </row>
    <row r="154">
      <c r="A154" s="29">
        <v>150.0</v>
      </c>
      <c r="B154" s="30" t="s">
        <v>580</v>
      </c>
      <c r="C154" s="30" t="s">
        <v>582</v>
      </c>
      <c r="D154" s="31" t="str">
        <f t="shared" si="1"/>
        <v>Supply of Single Phase Submersible Pump 2 HP, Discharge 2100-5400 lph, Head 116-33m without Panel Board (Code: GWDMR151)</v>
      </c>
      <c r="E154" s="29" t="s">
        <v>43</v>
      </c>
      <c r="F154" s="32" t="s">
        <v>44</v>
      </c>
      <c r="G154" s="32" t="s">
        <v>49</v>
      </c>
      <c r="H154" s="32" t="s">
        <v>543</v>
      </c>
      <c r="I154" s="32">
        <v>29037.499999999996</v>
      </c>
      <c r="J154" s="29">
        <v>0.0</v>
      </c>
      <c r="K154" s="33">
        <f t="shared" si="2"/>
        <v>0</v>
      </c>
      <c r="L154" s="33">
        <f t="shared" si="3"/>
        <v>29037.5</v>
      </c>
    </row>
    <row r="155">
      <c r="A155" s="29">
        <v>151.0</v>
      </c>
      <c r="B155" s="30" t="s">
        <v>583</v>
      </c>
      <c r="C155" s="30" t="s">
        <v>584</v>
      </c>
      <c r="D155" s="31" t="str">
        <f t="shared" si="1"/>
        <v>Supply of Single Phase Submersible Pump 2 HP, Discharge 600-3600 lph, Head 161-18m without Panel Board (Code: GWDMR152)</v>
      </c>
      <c r="E155" s="29" t="s">
        <v>43</v>
      </c>
      <c r="F155" s="32" t="s">
        <v>44</v>
      </c>
      <c r="G155" s="32" t="s">
        <v>49</v>
      </c>
      <c r="H155" s="32" t="s">
        <v>543</v>
      </c>
      <c r="I155" s="32">
        <v>29133.904499999997</v>
      </c>
      <c r="J155" s="29">
        <v>0.0</v>
      </c>
      <c r="K155" s="33">
        <f t="shared" si="2"/>
        <v>0</v>
      </c>
      <c r="L155" s="33">
        <f t="shared" si="3"/>
        <v>29133.9045</v>
      </c>
    </row>
    <row r="156">
      <c r="A156" s="29">
        <v>152.0</v>
      </c>
      <c r="B156" s="30" t="s">
        <v>586</v>
      </c>
      <c r="C156" s="30" t="s">
        <v>587</v>
      </c>
      <c r="D156" s="31" t="str">
        <f t="shared" si="1"/>
        <v>Supply of Single Phase Submersible Pump 2 HP, Discharge 500-3000 lph, Head 194-65m without Panel Board (Code: GWDMR153)</v>
      </c>
      <c r="E156" s="29" t="s">
        <v>43</v>
      </c>
      <c r="F156" s="32" t="s">
        <v>44</v>
      </c>
      <c r="G156" s="32" t="s">
        <v>49</v>
      </c>
      <c r="H156" s="32" t="s">
        <v>543</v>
      </c>
      <c r="I156" s="32">
        <v>37864.9</v>
      </c>
      <c r="J156" s="29">
        <v>0.0</v>
      </c>
      <c r="K156" s="33">
        <f t="shared" si="2"/>
        <v>0</v>
      </c>
      <c r="L156" s="33">
        <f t="shared" si="3"/>
        <v>37864.9</v>
      </c>
    </row>
    <row r="157">
      <c r="A157" s="29">
        <v>153.0</v>
      </c>
      <c r="B157" s="30" t="s">
        <v>588</v>
      </c>
      <c r="C157" s="30" t="s">
        <v>590</v>
      </c>
      <c r="D157" s="31" t="str">
        <f t="shared" si="1"/>
        <v>Supply of Single Phase Submersible Pump 2 HP, Discharge 500-1800 lph, Head 220-92m without Panel Board (Code: GWDMR154)</v>
      </c>
      <c r="E157" s="29" t="s">
        <v>43</v>
      </c>
      <c r="F157" s="32" t="s">
        <v>44</v>
      </c>
      <c r="G157" s="32" t="s">
        <v>49</v>
      </c>
      <c r="H157" s="32" t="s">
        <v>543</v>
      </c>
      <c r="I157" s="32">
        <v>44720.073</v>
      </c>
      <c r="J157" s="29">
        <v>0.0</v>
      </c>
      <c r="K157" s="33">
        <f t="shared" si="2"/>
        <v>0</v>
      </c>
      <c r="L157" s="33">
        <f t="shared" si="3"/>
        <v>44720.073</v>
      </c>
    </row>
    <row r="158">
      <c r="A158" s="29">
        <v>154.0</v>
      </c>
      <c r="B158" s="30" t="s">
        <v>592</v>
      </c>
      <c r="C158" s="30" t="s">
        <v>593</v>
      </c>
      <c r="D158" s="31" t="str">
        <f t="shared" si="1"/>
        <v>Supply of Single Phase Submersible Pump 2 HP, Discharge 500-1800 lph, Head 247-104m without Panel Board (Code: GWDMR155)</v>
      </c>
      <c r="E158" s="29" t="s">
        <v>43</v>
      </c>
      <c r="F158" s="32" t="s">
        <v>44</v>
      </c>
      <c r="G158" s="32" t="s">
        <v>49</v>
      </c>
      <c r="H158" s="32" t="s">
        <v>543</v>
      </c>
      <c r="I158" s="32">
        <v>47333.448</v>
      </c>
      <c r="J158" s="29">
        <v>0.0</v>
      </c>
      <c r="K158" s="33">
        <f t="shared" si="2"/>
        <v>0</v>
      </c>
      <c r="L158" s="33">
        <f t="shared" si="3"/>
        <v>47333.448</v>
      </c>
    </row>
    <row r="159">
      <c r="A159" s="29">
        <v>155.0</v>
      </c>
      <c r="B159" s="30" t="s">
        <v>594</v>
      </c>
      <c r="C159" s="30" t="s">
        <v>595</v>
      </c>
      <c r="D159" s="31" t="str">
        <f t="shared" si="1"/>
        <v>Supply of Single Phase Submersible Pump 2 HP, Discharge 500-1800 lph, Head 275-115m without Panel Board (Code: GWDMR156)</v>
      </c>
      <c r="E159" s="29" t="s">
        <v>43</v>
      </c>
      <c r="F159" s="32" t="s">
        <v>44</v>
      </c>
      <c r="G159" s="32" t="s">
        <v>49</v>
      </c>
      <c r="H159" s="32" t="s">
        <v>543</v>
      </c>
      <c r="I159" s="32">
        <v>49068.72899999999</v>
      </c>
      <c r="J159" s="29">
        <v>0.0</v>
      </c>
      <c r="K159" s="33">
        <f t="shared" si="2"/>
        <v>0</v>
      </c>
      <c r="L159" s="33">
        <f t="shared" si="3"/>
        <v>49068.729</v>
      </c>
    </row>
    <row r="160">
      <c r="A160" s="29">
        <v>156.0</v>
      </c>
      <c r="B160" s="30" t="s">
        <v>596</v>
      </c>
      <c r="C160" s="30" t="s">
        <v>597</v>
      </c>
      <c r="D160" s="31" t="str">
        <f t="shared" si="1"/>
        <v>Supply of Single Phase Submersible Pump 3 HP, Discharge 3240-7200 lph, Head 110-42m without Panel Board (Code: GWDMR157)</v>
      </c>
      <c r="E160" s="29" t="s">
        <v>43</v>
      </c>
      <c r="F160" s="32" t="s">
        <v>44</v>
      </c>
      <c r="G160" s="32" t="s">
        <v>49</v>
      </c>
      <c r="H160" s="32" t="s">
        <v>543</v>
      </c>
      <c r="I160" s="32">
        <v>37138.9625</v>
      </c>
      <c r="J160" s="29">
        <v>0.0</v>
      </c>
      <c r="K160" s="33">
        <f t="shared" si="2"/>
        <v>0</v>
      </c>
      <c r="L160" s="33">
        <f t="shared" si="3"/>
        <v>37138.9625</v>
      </c>
    </row>
    <row r="161">
      <c r="A161" s="29">
        <v>157.0</v>
      </c>
      <c r="B161" s="30" t="s">
        <v>599</v>
      </c>
      <c r="C161" s="30" t="s">
        <v>600</v>
      </c>
      <c r="D161" s="31" t="str">
        <f t="shared" si="1"/>
        <v>Supply of Single Phase Submersible Pump 3 HP, Discharge 1800-4320 lph, Head 194-114m without Panel Board (Code: GWDMR158)</v>
      </c>
      <c r="E161" s="29" t="s">
        <v>43</v>
      </c>
      <c r="F161" s="32" t="s">
        <v>44</v>
      </c>
      <c r="G161" s="32" t="s">
        <v>49</v>
      </c>
      <c r="H161" s="32" t="s">
        <v>543</v>
      </c>
      <c r="I161" s="32">
        <v>47156.9</v>
      </c>
      <c r="J161" s="29">
        <v>0.0</v>
      </c>
      <c r="K161" s="33">
        <f t="shared" si="2"/>
        <v>0</v>
      </c>
      <c r="L161" s="33">
        <f t="shared" si="3"/>
        <v>47156.9</v>
      </c>
    </row>
    <row r="162">
      <c r="A162" s="29">
        <v>158.0</v>
      </c>
      <c r="B162" s="30" t="s">
        <v>602</v>
      </c>
      <c r="C162" s="30" t="s">
        <v>603</v>
      </c>
      <c r="D162" s="31" t="str">
        <f t="shared" si="1"/>
        <v>Supply of Single Phase Submersible Pump 5 HP, Discharge 4320-10080 lph, Head 150-82m without Panel Board (Code: GWDMR159)</v>
      </c>
      <c r="E162" s="29" t="s">
        <v>43</v>
      </c>
      <c r="F162" s="32" t="s">
        <v>44</v>
      </c>
      <c r="G162" s="32" t="s">
        <v>49</v>
      </c>
      <c r="H162" s="32" t="s">
        <v>543</v>
      </c>
      <c r="I162" s="32">
        <v>45301.9845</v>
      </c>
      <c r="J162" s="29">
        <v>0.0</v>
      </c>
      <c r="K162" s="33">
        <f t="shared" si="2"/>
        <v>0</v>
      </c>
      <c r="L162" s="33">
        <f t="shared" si="3"/>
        <v>45301.9845</v>
      </c>
    </row>
    <row r="163">
      <c r="A163" s="29">
        <v>159.0</v>
      </c>
      <c r="B163" s="30" t="s">
        <v>604</v>
      </c>
      <c r="C163" s="30" t="s">
        <v>605</v>
      </c>
      <c r="D163" s="31" t="str">
        <f t="shared" si="1"/>
        <v>Supply of Single Phase Submersible Pump 6 HP, Discharge 1800-4320 lph, Head 318-210m without Panel Board (Code: GWDMR160)</v>
      </c>
      <c r="E163" s="29" t="s">
        <v>43</v>
      </c>
      <c r="F163" s="32" t="s">
        <v>44</v>
      </c>
      <c r="G163" s="32" t="s">
        <v>49</v>
      </c>
      <c r="H163" s="32" t="s">
        <v>543</v>
      </c>
      <c r="I163" s="32">
        <v>52340.6745</v>
      </c>
      <c r="J163" s="29">
        <v>0.0</v>
      </c>
      <c r="K163" s="33">
        <f t="shared" si="2"/>
        <v>0</v>
      </c>
      <c r="L163" s="33">
        <f t="shared" si="3"/>
        <v>52340.6745</v>
      </c>
    </row>
    <row r="164">
      <c r="A164" s="29">
        <v>160.0</v>
      </c>
      <c r="B164" s="30" t="s">
        <v>607</v>
      </c>
      <c r="C164" s="30" t="s">
        <v>608</v>
      </c>
      <c r="D164" s="31" t="str">
        <f t="shared" si="1"/>
        <v>Supply of Three Phase Submersible Pump 10 HP, Discharge 6000-18000 lph, Head 146-90m without Panel Board (Code: GWDMR161)</v>
      </c>
      <c r="E164" s="29" t="s">
        <v>43</v>
      </c>
      <c r="F164" s="32" t="s">
        <v>44</v>
      </c>
      <c r="G164" s="32" t="s">
        <v>49</v>
      </c>
      <c r="H164" s="32" t="s">
        <v>543</v>
      </c>
      <c r="I164" s="32">
        <v>74549.71599999999</v>
      </c>
      <c r="J164" s="29">
        <v>0.0</v>
      </c>
      <c r="K164" s="33">
        <f t="shared" si="2"/>
        <v>0</v>
      </c>
      <c r="L164" s="33">
        <f t="shared" si="3"/>
        <v>74549.716</v>
      </c>
    </row>
    <row r="165">
      <c r="A165" s="29">
        <v>161.0</v>
      </c>
      <c r="B165" s="30" t="s">
        <v>609</v>
      </c>
      <c r="C165" s="30" t="s">
        <v>610</v>
      </c>
      <c r="D165" s="31" t="str">
        <f t="shared" si="1"/>
        <v>Supply of Three Phase Submersible Pump 10 HP, Discharge 3600-21600 lph, Head 162-27m without Panel Board (Code: GWDMR162)</v>
      </c>
      <c r="E165" s="29" t="s">
        <v>43</v>
      </c>
      <c r="F165" s="32" t="s">
        <v>44</v>
      </c>
      <c r="G165" s="32" t="s">
        <v>49</v>
      </c>
      <c r="H165" s="32" t="s">
        <v>543</v>
      </c>
      <c r="I165" s="32">
        <v>74092.085</v>
      </c>
      <c r="J165" s="29">
        <v>0.0</v>
      </c>
      <c r="K165" s="33">
        <f t="shared" si="2"/>
        <v>0</v>
      </c>
      <c r="L165" s="33">
        <f t="shared" si="3"/>
        <v>74092.085</v>
      </c>
    </row>
    <row r="166">
      <c r="A166" s="29">
        <v>162.0</v>
      </c>
      <c r="B166" s="30" t="s">
        <v>612</v>
      </c>
      <c r="C166" s="30" t="s">
        <v>614</v>
      </c>
      <c r="D166" s="31" t="str">
        <f t="shared" si="1"/>
        <v>Supply of Three Phase Submersible Pump 10 HP, Discharge 5000-14000 lph, Head 205-110m without Panel Board (Code: GWDMR163)</v>
      </c>
      <c r="E166" s="29" t="s">
        <v>43</v>
      </c>
      <c r="F166" s="32" t="s">
        <v>44</v>
      </c>
      <c r="G166" s="32" t="s">
        <v>49</v>
      </c>
      <c r="H166" s="32" t="s">
        <v>543</v>
      </c>
      <c r="I166" s="32">
        <v>93543.72549999999</v>
      </c>
      <c r="J166" s="29">
        <v>0.0</v>
      </c>
      <c r="K166" s="33">
        <f t="shared" si="2"/>
        <v>0</v>
      </c>
      <c r="L166" s="33">
        <f t="shared" si="3"/>
        <v>93543.7255</v>
      </c>
    </row>
    <row r="167">
      <c r="A167" s="29">
        <v>163.0</v>
      </c>
      <c r="B167" s="30" t="s">
        <v>616</v>
      </c>
      <c r="C167" s="30" t="s">
        <v>617</v>
      </c>
      <c r="D167" s="31" t="str">
        <f t="shared" si="1"/>
        <v>Supply of Three Phase Submersible Pump 10 HP, Discharge 3000-9000 lph, Head 279-144m without Panel Board (Code: GWDMR164)</v>
      </c>
      <c r="E167" s="29" t="s">
        <v>43</v>
      </c>
      <c r="F167" s="32" t="s">
        <v>44</v>
      </c>
      <c r="G167" s="32" t="s">
        <v>49</v>
      </c>
      <c r="H167" s="32" t="s">
        <v>543</v>
      </c>
      <c r="I167" s="32">
        <v>88520.23799999998</v>
      </c>
      <c r="J167" s="29">
        <v>0.0</v>
      </c>
      <c r="K167" s="33">
        <f t="shared" si="2"/>
        <v>0</v>
      </c>
      <c r="L167" s="33">
        <f t="shared" si="3"/>
        <v>88520.238</v>
      </c>
    </row>
    <row r="168">
      <c r="A168" s="29">
        <v>164.0</v>
      </c>
      <c r="B168" s="30" t="s">
        <v>619</v>
      </c>
      <c r="C168" s="30" t="s">
        <v>620</v>
      </c>
      <c r="D168" s="31" t="str">
        <f t="shared" si="1"/>
        <v>Supply of Three Phase Submersible Pump 12.5 HP, Discharge 3600-25200 lph, Head 157-41m without Panel Board (Code: GWDMR165)</v>
      </c>
      <c r="E168" s="29" t="s">
        <v>43</v>
      </c>
      <c r="F168" s="32" t="s">
        <v>44</v>
      </c>
      <c r="G168" s="32" t="s">
        <v>49</v>
      </c>
      <c r="H168" s="32" t="s">
        <v>543</v>
      </c>
      <c r="I168" s="32">
        <v>77646.275</v>
      </c>
      <c r="J168" s="29">
        <v>0.0</v>
      </c>
      <c r="K168" s="33">
        <f t="shared" si="2"/>
        <v>0</v>
      </c>
      <c r="L168" s="33">
        <f t="shared" si="3"/>
        <v>77646.275</v>
      </c>
    </row>
    <row r="169">
      <c r="A169" s="29">
        <v>165.0</v>
      </c>
      <c r="B169" s="30" t="s">
        <v>621</v>
      </c>
      <c r="C169" s="30" t="s">
        <v>622</v>
      </c>
      <c r="D169" s="31" t="str">
        <f t="shared" si="1"/>
        <v>Supply of Three Phase Submersible Pump 12.5 HP, Discharge 6000-18000 lph, Head 179-110m without Panel Board (Code: GWDMR166)</v>
      </c>
      <c r="E169" s="29" t="s">
        <v>43</v>
      </c>
      <c r="F169" s="32" t="s">
        <v>44</v>
      </c>
      <c r="G169" s="32" t="s">
        <v>49</v>
      </c>
      <c r="H169" s="32" t="s">
        <v>543</v>
      </c>
      <c r="I169" s="32">
        <v>82797.5275</v>
      </c>
      <c r="J169" s="29">
        <v>0.0</v>
      </c>
      <c r="K169" s="33">
        <f t="shared" si="2"/>
        <v>0</v>
      </c>
      <c r="L169" s="33">
        <f t="shared" si="3"/>
        <v>82797.5275</v>
      </c>
    </row>
    <row r="170">
      <c r="A170" s="29">
        <v>166.0</v>
      </c>
      <c r="B170" s="30" t="s">
        <v>624</v>
      </c>
      <c r="C170" s="30" t="s">
        <v>625</v>
      </c>
      <c r="D170" s="31" t="str">
        <f t="shared" si="1"/>
        <v>Supply of Three Phase Submersible Pump 12.5 HP, Discharge 5000-14000 lph, Head 242-129m without Panel Board (Code: GWDMR167)</v>
      </c>
      <c r="E170" s="29" t="s">
        <v>43</v>
      </c>
      <c r="F170" s="32" t="s">
        <v>44</v>
      </c>
      <c r="G170" s="32" t="s">
        <v>49</v>
      </c>
      <c r="H170" s="32" t="s">
        <v>543</v>
      </c>
      <c r="I170" s="32">
        <v>103464.097</v>
      </c>
      <c r="J170" s="29">
        <v>0.0</v>
      </c>
      <c r="K170" s="33">
        <f t="shared" si="2"/>
        <v>0</v>
      </c>
      <c r="L170" s="33">
        <f t="shared" si="3"/>
        <v>103464.097</v>
      </c>
    </row>
    <row r="171">
      <c r="A171" s="29">
        <v>167.0</v>
      </c>
      <c r="B171" s="30" t="s">
        <v>626</v>
      </c>
      <c r="C171" s="30" t="s">
        <v>627</v>
      </c>
      <c r="D171" s="31" t="str">
        <f t="shared" si="1"/>
        <v>Supply of Three Phase Submersible Pump 12.5 HP, Discharge 3000-9000 lph, Head 335-177m without Panel Board (Code: GWDMR168)</v>
      </c>
      <c r="E171" s="29" t="s">
        <v>43</v>
      </c>
      <c r="F171" s="32" t="s">
        <v>44</v>
      </c>
      <c r="G171" s="32" t="s">
        <v>49</v>
      </c>
      <c r="H171" s="32" t="s">
        <v>543</v>
      </c>
      <c r="I171" s="32">
        <v>98931.924</v>
      </c>
      <c r="J171" s="29">
        <v>0.0</v>
      </c>
      <c r="K171" s="33">
        <f t="shared" si="2"/>
        <v>0</v>
      </c>
      <c r="L171" s="33">
        <f t="shared" si="3"/>
        <v>98931.924</v>
      </c>
    </row>
    <row r="172">
      <c r="A172" s="29">
        <v>168.0</v>
      </c>
      <c r="B172" s="30" t="s">
        <v>628</v>
      </c>
      <c r="C172" s="30" t="s">
        <v>629</v>
      </c>
      <c r="D172" s="31" t="str">
        <f t="shared" si="1"/>
        <v>Supply of Three Phase Submersible Pump 3 HP, Discharge 5200-10600 lph, Head 86-27m without Panel Board (Code: GWDMR169)</v>
      </c>
      <c r="E172" s="29" t="s">
        <v>43</v>
      </c>
      <c r="F172" s="32" t="s">
        <v>44</v>
      </c>
      <c r="G172" s="32" t="s">
        <v>49</v>
      </c>
      <c r="H172" s="32" t="s">
        <v>543</v>
      </c>
      <c r="I172" s="32">
        <v>33242.13</v>
      </c>
      <c r="J172" s="29">
        <v>0.0</v>
      </c>
      <c r="K172" s="33">
        <f t="shared" si="2"/>
        <v>0</v>
      </c>
      <c r="L172" s="33">
        <f t="shared" si="3"/>
        <v>33242.13</v>
      </c>
    </row>
    <row r="173">
      <c r="A173" s="29">
        <v>169.0</v>
      </c>
      <c r="B173" s="30" t="s">
        <v>631</v>
      </c>
      <c r="C173" s="30" t="s">
        <v>632</v>
      </c>
      <c r="D173" s="31" t="str">
        <f t="shared" si="1"/>
        <v>Supply of Three Phase Submersible Pump 3 HP, Discharge 3000-7500 lph, Head 125-60m without Panel Board (Code: GWDMR170)</v>
      </c>
      <c r="E173" s="29" t="s">
        <v>43</v>
      </c>
      <c r="F173" s="32" t="s">
        <v>44</v>
      </c>
      <c r="G173" s="32" t="s">
        <v>49</v>
      </c>
      <c r="H173" s="32" t="s">
        <v>543</v>
      </c>
      <c r="I173" s="32">
        <v>36924.085</v>
      </c>
      <c r="J173" s="29">
        <v>0.0</v>
      </c>
      <c r="K173" s="33">
        <f t="shared" si="2"/>
        <v>0</v>
      </c>
      <c r="L173" s="33">
        <f t="shared" si="3"/>
        <v>36924.085</v>
      </c>
    </row>
    <row r="174">
      <c r="A174" s="29">
        <v>170.0</v>
      </c>
      <c r="B174" s="30" t="s">
        <v>634</v>
      </c>
      <c r="C174" s="30" t="s">
        <v>635</v>
      </c>
      <c r="D174" s="31" t="str">
        <f t="shared" si="1"/>
        <v>Supply of Three Phase Submersible Pump 3 HP, Discharge 2500-6000 lph, Head 147-51m without Panel Board (Code: GWDMR171)</v>
      </c>
      <c r="E174" s="29" t="s">
        <v>43</v>
      </c>
      <c r="F174" s="32" t="s">
        <v>44</v>
      </c>
      <c r="G174" s="32" t="s">
        <v>49</v>
      </c>
      <c r="H174" s="32" t="s">
        <v>543</v>
      </c>
      <c r="I174" s="32">
        <v>40652.5</v>
      </c>
      <c r="J174" s="29">
        <v>0.0</v>
      </c>
      <c r="K174" s="33">
        <f t="shared" si="2"/>
        <v>0</v>
      </c>
      <c r="L174" s="33">
        <f t="shared" si="3"/>
        <v>40652.5</v>
      </c>
    </row>
    <row r="175">
      <c r="A175" s="29">
        <v>171.0</v>
      </c>
      <c r="B175" s="30" t="s">
        <v>636</v>
      </c>
      <c r="C175" s="30" t="s">
        <v>637</v>
      </c>
      <c r="D175" s="31" t="str">
        <f t="shared" si="1"/>
        <v>Supply of Three Phase Submersible Pump 3 HP, Discharge 1000-5000 lph, Head 163-66m without Panel Board (Code: GWDMR172)</v>
      </c>
      <c r="E175" s="29" t="s">
        <v>43</v>
      </c>
      <c r="F175" s="32" t="s">
        <v>44</v>
      </c>
      <c r="G175" s="32" t="s">
        <v>49</v>
      </c>
      <c r="H175" s="32" t="s">
        <v>543</v>
      </c>
      <c r="I175" s="32">
        <v>43011.506499999996</v>
      </c>
      <c r="J175" s="29">
        <v>0.0</v>
      </c>
      <c r="K175" s="33">
        <f t="shared" si="2"/>
        <v>0</v>
      </c>
      <c r="L175" s="33">
        <f t="shared" si="3"/>
        <v>43011.5065</v>
      </c>
    </row>
    <row r="176">
      <c r="A176" s="29">
        <v>172.0</v>
      </c>
      <c r="B176" s="30" t="s">
        <v>639</v>
      </c>
      <c r="C176" s="30" t="s">
        <v>640</v>
      </c>
      <c r="D176" s="31" t="str">
        <f t="shared" si="1"/>
        <v>Supply of Three Phase Submersible Pump 3 HP, Discharge 1200-2800 lph, Head 184-86m without Panel Board (Code: GWDMR173)</v>
      </c>
      <c r="E176" s="29" t="s">
        <v>43</v>
      </c>
      <c r="F176" s="32" t="s">
        <v>44</v>
      </c>
      <c r="G176" s="32" t="s">
        <v>49</v>
      </c>
      <c r="H176" s="32" t="s">
        <v>543</v>
      </c>
      <c r="I176" s="32">
        <v>38391.059499999996</v>
      </c>
      <c r="J176" s="29">
        <v>0.0</v>
      </c>
      <c r="K176" s="33">
        <f t="shared" si="2"/>
        <v>0</v>
      </c>
      <c r="L176" s="33">
        <f t="shared" si="3"/>
        <v>38391.0595</v>
      </c>
    </row>
    <row r="177">
      <c r="A177" s="29">
        <v>173.0</v>
      </c>
      <c r="B177" s="30" t="s">
        <v>642</v>
      </c>
      <c r="C177" s="30" t="s">
        <v>643</v>
      </c>
      <c r="D177" s="31" t="str">
        <f t="shared" si="1"/>
        <v>Supply of Three Phase Submersible Pump 3 HP, Discharge 1200-2800 lph, Head 207-83m without Panel Board (Code: GWDMR174)</v>
      </c>
      <c r="E177" s="29" t="s">
        <v>43</v>
      </c>
      <c r="F177" s="32" t="s">
        <v>44</v>
      </c>
      <c r="G177" s="32" t="s">
        <v>49</v>
      </c>
      <c r="H177" s="32" t="s">
        <v>543</v>
      </c>
      <c r="I177" s="32">
        <v>50417.2305</v>
      </c>
      <c r="J177" s="29">
        <v>0.0</v>
      </c>
      <c r="K177" s="33">
        <f t="shared" si="2"/>
        <v>0</v>
      </c>
      <c r="L177" s="33">
        <f t="shared" si="3"/>
        <v>50417.2305</v>
      </c>
    </row>
    <row r="178">
      <c r="A178" s="29">
        <v>174.0</v>
      </c>
      <c r="B178" s="30" t="s">
        <v>644</v>
      </c>
      <c r="C178" s="30" t="s">
        <v>645</v>
      </c>
      <c r="D178" s="31" t="str">
        <f t="shared" si="1"/>
        <v>Supply of Three Phase Submersible Pump 3 HP, Discharge 1200-2800 lph, Head 245-98m without Panel Board (Code: GWDMR175)</v>
      </c>
      <c r="E178" s="29" t="s">
        <v>43</v>
      </c>
      <c r="F178" s="32" t="s">
        <v>44</v>
      </c>
      <c r="G178" s="32" t="s">
        <v>49</v>
      </c>
      <c r="H178" s="32" t="s">
        <v>543</v>
      </c>
      <c r="I178" s="32">
        <v>53114.2335</v>
      </c>
      <c r="J178" s="29">
        <v>0.0</v>
      </c>
      <c r="K178" s="33">
        <f t="shared" si="2"/>
        <v>0</v>
      </c>
      <c r="L178" s="33">
        <f t="shared" si="3"/>
        <v>53114.2335</v>
      </c>
    </row>
    <row r="179">
      <c r="A179" s="29">
        <v>175.0</v>
      </c>
      <c r="B179" s="30" t="s">
        <v>648</v>
      </c>
      <c r="C179" s="30" t="s">
        <v>649</v>
      </c>
      <c r="D179" s="31" t="str">
        <f t="shared" si="1"/>
        <v>Supply of Three Phase Submersible Pump 5 HP, Discharge 9000-24000 lph, Head 70-23m without Panel Board (Code: GWDMR176)</v>
      </c>
      <c r="E179" s="29" t="s">
        <v>43</v>
      </c>
      <c r="F179" s="32" t="s">
        <v>44</v>
      </c>
      <c r="G179" s="32" t="s">
        <v>49</v>
      </c>
      <c r="H179" s="32" t="s">
        <v>543</v>
      </c>
      <c r="I179" s="32">
        <v>54682.258499999996</v>
      </c>
      <c r="J179" s="29">
        <v>0.0</v>
      </c>
      <c r="K179" s="33">
        <f t="shared" si="2"/>
        <v>0</v>
      </c>
      <c r="L179" s="33">
        <f t="shared" si="3"/>
        <v>54682.2585</v>
      </c>
    </row>
    <row r="180">
      <c r="A180" s="29">
        <v>176.0</v>
      </c>
      <c r="B180" s="30" t="s">
        <v>650</v>
      </c>
      <c r="C180" s="30" t="s">
        <v>652</v>
      </c>
      <c r="D180" s="31" t="str">
        <f t="shared" si="1"/>
        <v>Supply of Three Phase Submersible Pump 5 HP, Discharge 7200-15000 lph, Head 78-41m without Panel Board (Code: GWDMR177)</v>
      </c>
      <c r="E180" s="29" t="s">
        <v>43</v>
      </c>
      <c r="F180" s="32" t="s">
        <v>44</v>
      </c>
      <c r="G180" s="32" t="s">
        <v>49</v>
      </c>
      <c r="H180" s="32" t="s">
        <v>543</v>
      </c>
      <c r="I180" s="32">
        <v>55751.99999999999</v>
      </c>
      <c r="J180" s="29">
        <v>0.0</v>
      </c>
      <c r="K180" s="33">
        <f t="shared" si="2"/>
        <v>0</v>
      </c>
      <c r="L180" s="33">
        <f t="shared" si="3"/>
        <v>55752</v>
      </c>
    </row>
    <row r="181">
      <c r="A181" s="29">
        <v>177.0</v>
      </c>
      <c r="B181" s="30" t="s">
        <v>654</v>
      </c>
      <c r="C181" s="30" t="s">
        <v>655</v>
      </c>
      <c r="D181" s="31" t="str">
        <f t="shared" si="1"/>
        <v>Supply of Three Phase Submersible Pump 5 HP, Discharge 5000-14000 lph, Head 93-50m without Panel Board (Code: GWDMR178)</v>
      </c>
      <c r="E181" s="29" t="s">
        <v>43</v>
      </c>
      <c r="F181" s="32" t="s">
        <v>44</v>
      </c>
      <c r="G181" s="32" t="s">
        <v>49</v>
      </c>
      <c r="H181" s="32" t="s">
        <v>543</v>
      </c>
      <c r="I181" s="32">
        <v>62396.94149999999</v>
      </c>
      <c r="J181" s="29">
        <v>0.0</v>
      </c>
      <c r="K181" s="33">
        <f t="shared" si="2"/>
        <v>0</v>
      </c>
      <c r="L181" s="33">
        <f t="shared" si="3"/>
        <v>62396.9415</v>
      </c>
    </row>
    <row r="182">
      <c r="A182" s="29">
        <v>178.0</v>
      </c>
      <c r="B182" s="30" t="s">
        <v>656</v>
      </c>
      <c r="C182" s="30" t="s">
        <v>657</v>
      </c>
      <c r="D182" s="31" t="str">
        <f t="shared" si="1"/>
        <v>Supply of Three Phase Submersible Pump 5 HP, Discharge 5000-14000 lph, Head 102-55m without Panel Board (Code: GWDMR179)</v>
      </c>
      <c r="E182" s="29" t="s">
        <v>43</v>
      </c>
      <c r="F182" s="32" t="s">
        <v>44</v>
      </c>
      <c r="G182" s="32" t="s">
        <v>49</v>
      </c>
      <c r="H182" s="32" t="s">
        <v>543</v>
      </c>
      <c r="I182" s="32">
        <v>63505.01249999999</v>
      </c>
      <c r="J182" s="29">
        <v>0.0</v>
      </c>
      <c r="K182" s="33">
        <f t="shared" si="2"/>
        <v>0</v>
      </c>
      <c r="L182" s="33">
        <f t="shared" si="3"/>
        <v>63505.0125</v>
      </c>
    </row>
    <row r="183">
      <c r="A183" s="29">
        <v>179.0</v>
      </c>
      <c r="B183" s="30" t="s">
        <v>658</v>
      </c>
      <c r="C183" s="30" t="s">
        <v>659</v>
      </c>
      <c r="D183" s="31" t="str">
        <f t="shared" si="1"/>
        <v>Supply of Three Phase Submersible Pump 5 HP, Discharge 3900-10800 lph, Head 111-49m without Panel Board (Code: GWDMR180)</v>
      </c>
      <c r="E183" s="29" t="s">
        <v>43</v>
      </c>
      <c r="F183" s="32" t="s">
        <v>44</v>
      </c>
      <c r="G183" s="32" t="s">
        <v>49</v>
      </c>
      <c r="H183" s="32" t="s">
        <v>543</v>
      </c>
      <c r="I183" s="32">
        <v>65043.99999999999</v>
      </c>
      <c r="J183" s="29">
        <v>0.0</v>
      </c>
      <c r="K183" s="33">
        <f t="shared" si="2"/>
        <v>0</v>
      </c>
      <c r="L183" s="33">
        <f t="shared" si="3"/>
        <v>65044</v>
      </c>
    </row>
    <row r="184">
      <c r="A184" s="29">
        <v>180.0</v>
      </c>
      <c r="B184" s="30" t="s">
        <v>661</v>
      </c>
      <c r="C184" s="30" t="s">
        <v>662</v>
      </c>
      <c r="D184" s="31" t="str">
        <f t="shared" si="1"/>
        <v>Supply of Three Phase Submersible Pump 5 HP, Discharge 3000-9000 lph, Head 140-72m without Panel Board (Code: GWDMR181)</v>
      </c>
      <c r="E184" s="29" t="s">
        <v>43</v>
      </c>
      <c r="F184" s="32" t="s">
        <v>44</v>
      </c>
      <c r="G184" s="32" t="s">
        <v>49</v>
      </c>
      <c r="H184" s="32" t="s">
        <v>543</v>
      </c>
      <c r="I184" s="32">
        <v>65052.1305</v>
      </c>
      <c r="J184" s="29">
        <v>0.0</v>
      </c>
      <c r="K184" s="33">
        <f t="shared" si="2"/>
        <v>0</v>
      </c>
      <c r="L184" s="33">
        <f t="shared" si="3"/>
        <v>65052.1305</v>
      </c>
    </row>
    <row r="185">
      <c r="A185" s="29">
        <v>181.0</v>
      </c>
      <c r="B185" s="30" t="s">
        <v>663</v>
      </c>
      <c r="C185" s="30" t="s">
        <v>664</v>
      </c>
      <c r="D185" s="31" t="str">
        <f t="shared" si="1"/>
        <v>Supply of Three Phase Submersible Pump 5 HP, Discharge 4000-10000 lph, Head 163-62m without Panel Board (Code: GWDMR182)</v>
      </c>
      <c r="E185" s="29" t="s">
        <v>43</v>
      </c>
      <c r="F185" s="32" t="s">
        <v>44</v>
      </c>
      <c r="G185" s="32" t="s">
        <v>49</v>
      </c>
      <c r="H185" s="32" t="s">
        <v>543</v>
      </c>
      <c r="I185" s="32">
        <v>51301.132</v>
      </c>
      <c r="J185" s="29">
        <v>0.0</v>
      </c>
      <c r="K185" s="33">
        <f t="shared" si="2"/>
        <v>0</v>
      </c>
      <c r="L185" s="33">
        <f t="shared" si="3"/>
        <v>51301.132</v>
      </c>
    </row>
    <row r="186">
      <c r="A186" s="29">
        <v>182.0</v>
      </c>
      <c r="B186" s="30" t="s">
        <v>665</v>
      </c>
      <c r="C186" s="30" t="s">
        <v>666</v>
      </c>
      <c r="D186" s="31" t="str">
        <f t="shared" si="1"/>
        <v>Supply of Three Phase Submersible Pump 5 HP, Discharge 2000-6000 lph, Head 195-120m without Panel Board (Code: GWDMR183)</v>
      </c>
      <c r="E186" s="29" t="s">
        <v>43</v>
      </c>
      <c r="F186" s="32" t="s">
        <v>44</v>
      </c>
      <c r="G186" s="32" t="s">
        <v>49</v>
      </c>
      <c r="H186" s="32" t="s">
        <v>543</v>
      </c>
      <c r="I186" s="32">
        <v>56820.579999999994</v>
      </c>
      <c r="J186" s="29">
        <v>0.0</v>
      </c>
      <c r="K186" s="33">
        <f t="shared" si="2"/>
        <v>0</v>
      </c>
      <c r="L186" s="33">
        <f t="shared" si="3"/>
        <v>56820.58</v>
      </c>
    </row>
    <row r="187">
      <c r="A187" s="29">
        <v>183.0</v>
      </c>
      <c r="B187" s="30" t="s">
        <v>668</v>
      </c>
      <c r="C187" s="30" t="s">
        <v>669</v>
      </c>
      <c r="D187" s="31" t="str">
        <f t="shared" si="1"/>
        <v>Supply of Three Phase Submersible Pump 5 HP, Discharge 2500-6000 lph, Head 245-85m without Panel Board (Code: GWDMR184)</v>
      </c>
      <c r="E187" s="29" t="s">
        <v>43</v>
      </c>
      <c r="F187" s="32" t="s">
        <v>44</v>
      </c>
      <c r="G187" s="32" t="s">
        <v>49</v>
      </c>
      <c r="H187" s="32" t="s">
        <v>543</v>
      </c>
      <c r="I187" s="32">
        <v>54590.49999999999</v>
      </c>
      <c r="J187" s="29">
        <v>0.0</v>
      </c>
      <c r="K187" s="33">
        <f t="shared" si="2"/>
        <v>0</v>
      </c>
      <c r="L187" s="33">
        <f t="shared" si="3"/>
        <v>54590.5</v>
      </c>
    </row>
    <row r="188">
      <c r="A188" s="29">
        <v>184.0</v>
      </c>
      <c r="B188" s="30" t="s">
        <v>671</v>
      </c>
      <c r="C188" s="30" t="s">
        <v>672</v>
      </c>
      <c r="D188" s="31" t="str">
        <f t="shared" si="1"/>
        <v>Supply of Three Phase Submersible Pump 5 HP, Discharge 2500-6000 lph, Head 285-70m without Panel Board (Code: GWDMR185)</v>
      </c>
      <c r="E188" s="29" t="s">
        <v>43</v>
      </c>
      <c r="F188" s="32" t="s">
        <v>44</v>
      </c>
      <c r="G188" s="32" t="s">
        <v>49</v>
      </c>
      <c r="H188" s="32" t="s">
        <v>543</v>
      </c>
      <c r="I188" s="32">
        <v>61559.49999999999</v>
      </c>
      <c r="J188" s="29">
        <v>0.0</v>
      </c>
      <c r="K188" s="33">
        <f t="shared" si="2"/>
        <v>0</v>
      </c>
      <c r="L188" s="33">
        <f t="shared" si="3"/>
        <v>61559.5</v>
      </c>
    </row>
    <row r="189">
      <c r="A189" s="29">
        <v>185.0</v>
      </c>
      <c r="B189" s="30" t="s">
        <v>673</v>
      </c>
      <c r="C189" s="30" t="s">
        <v>674</v>
      </c>
      <c r="D189" s="31" t="str">
        <f t="shared" si="1"/>
        <v>Supply of Three Phase Submersible Pump 5 HP, Discharge 1000-3000 lph, Head 333-183m without Panel Board (Code: GWDMR186)</v>
      </c>
      <c r="E189" s="29" t="s">
        <v>43</v>
      </c>
      <c r="F189" s="32" t="s">
        <v>44</v>
      </c>
      <c r="G189" s="32" t="s">
        <v>49</v>
      </c>
      <c r="H189" s="32" t="s">
        <v>543</v>
      </c>
      <c r="I189" s="32">
        <v>80209.70549999998</v>
      </c>
      <c r="J189" s="29">
        <v>0.0</v>
      </c>
      <c r="K189" s="33">
        <f t="shared" si="2"/>
        <v>0</v>
      </c>
      <c r="L189" s="33">
        <f t="shared" si="3"/>
        <v>80209.7055</v>
      </c>
    </row>
    <row r="190">
      <c r="A190" s="29">
        <v>186.0</v>
      </c>
      <c r="B190" s="30" t="s">
        <v>676</v>
      </c>
      <c r="C190" s="30" t="s">
        <v>677</v>
      </c>
      <c r="D190" s="31" t="str">
        <f t="shared" si="1"/>
        <v>Supply of Three Phase Submersible Pump 7.5 HP, Discharge 12000-30000 lph, Head 74-29m without Panel Board (Code: GWDMR187)</v>
      </c>
      <c r="E190" s="29" t="s">
        <v>43</v>
      </c>
      <c r="F190" s="32" t="s">
        <v>44</v>
      </c>
      <c r="G190" s="32" t="s">
        <v>49</v>
      </c>
      <c r="H190" s="32" t="s">
        <v>543</v>
      </c>
      <c r="I190" s="32">
        <v>61559.49999999999</v>
      </c>
      <c r="J190" s="29">
        <v>0.0</v>
      </c>
      <c r="K190" s="33">
        <f t="shared" si="2"/>
        <v>0</v>
      </c>
      <c r="L190" s="33">
        <f t="shared" si="3"/>
        <v>61559.5</v>
      </c>
    </row>
    <row r="191">
      <c r="A191" s="29">
        <v>187.0</v>
      </c>
      <c r="B191" s="30" t="s">
        <v>678</v>
      </c>
      <c r="C191" s="30" t="s">
        <v>679</v>
      </c>
      <c r="D191" s="31" t="str">
        <f t="shared" si="1"/>
        <v>Supply of Three Phase Submersible Pump 7.5 HP, Discharge 7200-18000 lph, Head 94-65m without Panel Board (Code: GWDMR188)</v>
      </c>
      <c r="E191" s="29" t="s">
        <v>43</v>
      </c>
      <c r="F191" s="32" t="s">
        <v>44</v>
      </c>
      <c r="G191" s="32" t="s">
        <v>49</v>
      </c>
      <c r="H191" s="32" t="s">
        <v>543</v>
      </c>
      <c r="I191" s="32">
        <v>56332.74999999999</v>
      </c>
      <c r="J191" s="29">
        <v>0.0</v>
      </c>
      <c r="K191" s="33">
        <f t="shared" si="2"/>
        <v>0</v>
      </c>
      <c r="L191" s="33">
        <f t="shared" si="3"/>
        <v>56332.75</v>
      </c>
    </row>
    <row r="192">
      <c r="A192" s="29">
        <v>188.0</v>
      </c>
      <c r="B192" s="30" t="s">
        <v>680</v>
      </c>
      <c r="C192" s="30" t="s">
        <v>681</v>
      </c>
      <c r="D192" s="31" t="str">
        <f t="shared" si="1"/>
        <v>Supply of Three Phase Submersible Pump 7.5 HP, Discharge 6000-18000 lph, Head 112-69m without Panel Board (Code: GWDMR189)</v>
      </c>
      <c r="E192" s="29" t="s">
        <v>43</v>
      </c>
      <c r="F192" s="32" t="s">
        <v>44</v>
      </c>
      <c r="G192" s="32" t="s">
        <v>49</v>
      </c>
      <c r="H192" s="32" t="s">
        <v>543</v>
      </c>
      <c r="I192" s="32">
        <v>67216.005</v>
      </c>
      <c r="J192" s="29">
        <v>0.0</v>
      </c>
      <c r="K192" s="33">
        <f t="shared" si="2"/>
        <v>0</v>
      </c>
      <c r="L192" s="33">
        <f t="shared" si="3"/>
        <v>67216.005</v>
      </c>
    </row>
    <row r="193">
      <c r="A193" s="29">
        <v>189.0</v>
      </c>
      <c r="B193" s="30" t="s">
        <v>683</v>
      </c>
      <c r="C193" s="30" t="s">
        <v>684</v>
      </c>
      <c r="D193" s="31" t="str">
        <f t="shared" si="1"/>
        <v>Supply of Three Phase Submersible Pump 7.5 HP, Discharge 5000-14000 lph, Head 140-75m without Panel Board (Code: GWDMR190)</v>
      </c>
      <c r="E193" s="29" t="s">
        <v>43</v>
      </c>
      <c r="F193" s="32" t="s">
        <v>44</v>
      </c>
      <c r="G193" s="32" t="s">
        <v>49</v>
      </c>
      <c r="H193" s="32" t="s">
        <v>543</v>
      </c>
      <c r="I193" s="32">
        <v>72003.70799999998</v>
      </c>
      <c r="J193" s="29">
        <v>0.0</v>
      </c>
      <c r="K193" s="33">
        <f t="shared" si="2"/>
        <v>0</v>
      </c>
      <c r="L193" s="33">
        <f t="shared" si="3"/>
        <v>72003.708</v>
      </c>
    </row>
    <row r="194">
      <c r="A194" s="29">
        <v>190.0</v>
      </c>
      <c r="B194" s="30" t="s">
        <v>685</v>
      </c>
      <c r="C194" s="30" t="s">
        <v>686</v>
      </c>
      <c r="D194" s="31" t="str">
        <f t="shared" si="1"/>
        <v>Supply of Three Phase Submersible Pump 7.5 HP, Discharge 5000-14000 lph, Head 158-85m without Panel Board (Code: GWDMR191)</v>
      </c>
      <c r="E194" s="29" t="s">
        <v>43</v>
      </c>
      <c r="F194" s="32" t="s">
        <v>44</v>
      </c>
      <c r="G194" s="32" t="s">
        <v>49</v>
      </c>
      <c r="H194" s="32" t="s">
        <v>543</v>
      </c>
      <c r="I194" s="32">
        <v>74094.408</v>
      </c>
      <c r="J194" s="29">
        <v>0.0</v>
      </c>
      <c r="K194" s="33">
        <f t="shared" si="2"/>
        <v>0</v>
      </c>
      <c r="L194" s="33">
        <f t="shared" si="3"/>
        <v>74094.408</v>
      </c>
    </row>
    <row r="195">
      <c r="A195" s="29">
        <v>191.0</v>
      </c>
      <c r="B195" s="30" t="s">
        <v>689</v>
      </c>
      <c r="C195" s="30" t="s">
        <v>690</v>
      </c>
      <c r="D195" s="31" t="str">
        <f t="shared" si="1"/>
        <v>Supply of Three Phase Submersible Pump 7.5 HP, Discharge 3000-9000 lph, Head 214-110m without Panel Board (Code: GWDMR192)</v>
      </c>
      <c r="E195" s="29" t="s">
        <v>43</v>
      </c>
      <c r="F195" s="32" t="s">
        <v>44</v>
      </c>
      <c r="G195" s="32" t="s">
        <v>49</v>
      </c>
      <c r="H195" s="32" t="s">
        <v>543</v>
      </c>
      <c r="I195" s="32">
        <v>76598.602</v>
      </c>
      <c r="J195" s="29">
        <v>0.0</v>
      </c>
      <c r="K195" s="33">
        <f t="shared" si="2"/>
        <v>0</v>
      </c>
      <c r="L195" s="33">
        <f t="shared" si="3"/>
        <v>76598.602</v>
      </c>
    </row>
    <row r="196">
      <c r="A196" s="29">
        <v>192.0</v>
      </c>
      <c r="B196" s="30" t="s">
        <v>691</v>
      </c>
      <c r="C196" s="30" t="s">
        <v>692</v>
      </c>
      <c r="D196" s="31" t="str">
        <f t="shared" si="1"/>
        <v>32 A DP switch with indicator modular (MR1017) (Code: GWDMR193)</v>
      </c>
      <c r="E196" s="29" t="s">
        <v>43</v>
      </c>
      <c r="F196" s="32" t="s">
        <v>44</v>
      </c>
      <c r="G196" s="32" t="s">
        <v>49</v>
      </c>
      <c r="H196" s="32" t="s">
        <v>543</v>
      </c>
      <c r="I196" s="32">
        <v>432.0</v>
      </c>
      <c r="J196" s="29">
        <v>0.0</v>
      </c>
      <c r="K196" s="33">
        <f t="shared" si="2"/>
        <v>0</v>
      </c>
      <c r="L196" s="33">
        <f t="shared" si="3"/>
        <v>432</v>
      </c>
    </row>
    <row r="197">
      <c r="A197" s="29">
        <v>193.0</v>
      </c>
      <c r="B197" s="30" t="s">
        <v>694</v>
      </c>
      <c r="C197" s="30" t="s">
        <v>695</v>
      </c>
      <c r="D197" s="31" t="str">
        <f t="shared" si="1"/>
        <v>S&amp;F Digital Timer Switch (Code: GWDMR194)</v>
      </c>
      <c r="E197" s="29" t="s">
        <v>43</v>
      </c>
      <c r="F197" s="32" t="s">
        <v>44</v>
      </c>
      <c r="G197" s="32" t="s">
        <v>49</v>
      </c>
      <c r="H197" s="32" t="s">
        <v>696</v>
      </c>
      <c r="I197" s="32">
        <v>6500.0</v>
      </c>
      <c r="J197" s="29">
        <v>0.0</v>
      </c>
      <c r="K197" s="33">
        <f t="shared" si="2"/>
        <v>0</v>
      </c>
      <c r="L197" s="33">
        <f t="shared" si="3"/>
        <v>6500</v>
      </c>
    </row>
  </sheetData>
  <mergeCells count="3">
    <mergeCell ref="A1:I2"/>
    <mergeCell ref="J1:K1"/>
    <mergeCell ref="J2:K2"/>
  </mergeCells>
  <dataValidations>
    <dataValidation type="list" allowBlank="1" showErrorMessage="1" sqref="J2">
      <formula1>District</formula1>
    </dataValidation>
  </dataValidations>
  <printOptions/>
  <pageMargins bottom="0.75" footer="0.0" header="0.0" left="0.7" right="0.7" top="0.75"/>
  <pageSetup fitToHeight="0" orientation="landscape"/>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15.0"/>
    <col customWidth="1" min="2" max="2" width="45.71"/>
    <col customWidth="1" min="3" max="3" width="10.57"/>
    <col customWidth="1" min="4" max="4" width="11.14"/>
    <col customWidth="1" min="5" max="5" width="7.86"/>
    <col customWidth="1" min="6" max="6" width="14.43"/>
  </cols>
  <sheetData>
    <row r="1">
      <c r="A1" s="1" t="s">
        <v>0</v>
      </c>
      <c r="B1" s="2"/>
      <c r="C1" s="2"/>
      <c r="D1" s="2"/>
      <c r="E1" s="2"/>
      <c r="F1" s="3"/>
    </row>
    <row r="2">
      <c r="A2" s="4">
        <v>0.0</v>
      </c>
      <c r="B2" s="5" t="s">
        <v>7</v>
      </c>
      <c r="C2" s="2"/>
      <c r="D2" s="2"/>
      <c r="E2" s="2"/>
      <c r="F2" s="3"/>
    </row>
    <row r="3">
      <c r="A3" s="4" t="s">
        <v>4</v>
      </c>
      <c r="B3" s="4" t="s">
        <v>6</v>
      </c>
      <c r="C3" s="4" t="s">
        <v>8</v>
      </c>
      <c r="D3" s="4" t="s">
        <v>9</v>
      </c>
      <c r="E3" s="4" t="s">
        <v>10</v>
      </c>
      <c r="F3" s="8" t="s">
        <v>11</v>
      </c>
    </row>
    <row r="4">
      <c r="A4" s="11"/>
      <c r="B4" s="18" t="s">
        <v>15</v>
      </c>
      <c r="C4" s="11"/>
      <c r="D4" s="11"/>
      <c r="E4" s="11"/>
      <c r="F4" s="19"/>
    </row>
    <row r="5">
      <c r="A5" s="20"/>
      <c r="B5" s="15" t="s">
        <v>17</v>
      </c>
      <c r="C5" s="20"/>
      <c r="D5" s="20"/>
      <c r="E5" s="20"/>
      <c r="F5" s="20"/>
    </row>
    <row r="6">
      <c r="A6" s="22">
        <v>293.0</v>
      </c>
      <c r="B6" s="18" t="s">
        <v>20</v>
      </c>
      <c r="C6" s="22" t="s">
        <v>21</v>
      </c>
      <c r="D6" s="22">
        <v>1.0</v>
      </c>
      <c r="E6" s="22">
        <v>1300.0</v>
      </c>
      <c r="F6" s="24">
        <f>D6*E6</f>
        <v>1300</v>
      </c>
    </row>
    <row r="7">
      <c r="A7" s="23"/>
      <c r="B7" s="15" t="s">
        <v>23</v>
      </c>
      <c r="C7" s="23"/>
      <c r="D7" s="23"/>
      <c r="E7" s="23"/>
      <c r="F7" s="24"/>
    </row>
    <row r="8">
      <c r="A8" s="22">
        <v>2206.0</v>
      </c>
      <c r="B8" s="18" t="s">
        <v>24</v>
      </c>
      <c r="C8" s="22" t="s">
        <v>21</v>
      </c>
      <c r="D8" s="22">
        <v>1.0</v>
      </c>
      <c r="E8" s="22">
        <v>178.19</v>
      </c>
      <c r="F8" s="24">
        <f>D8*E8</f>
        <v>178.19</v>
      </c>
    </row>
    <row r="9">
      <c r="A9" s="23">
        <v>115.0</v>
      </c>
      <c r="B9" s="15" t="s">
        <v>26</v>
      </c>
      <c r="C9" s="23" t="s">
        <v>27</v>
      </c>
      <c r="D9" s="22">
        <v>0.4</v>
      </c>
      <c r="E9" s="22">
        <v>645.0</v>
      </c>
      <c r="F9" s="24">
        <f>E9*D9</f>
        <v>258</v>
      </c>
    </row>
    <row r="10">
      <c r="A10" s="23"/>
      <c r="B10" s="28" t="s">
        <v>31</v>
      </c>
      <c r="C10" s="23"/>
      <c r="D10" s="23"/>
      <c r="E10" s="23"/>
      <c r="F10" s="24">
        <f>SUM(F6:F9)</f>
        <v>1736.19</v>
      </c>
    </row>
    <row r="11">
      <c r="A11" s="23"/>
      <c r="B11" s="28" t="s">
        <v>40</v>
      </c>
      <c r="C11" s="23"/>
      <c r="D11" s="23"/>
      <c r="E11" s="23"/>
      <c r="F11" s="24">
        <f>F10*1%</f>
        <v>17.3619</v>
      </c>
    </row>
    <row r="12">
      <c r="A12" s="23"/>
      <c r="B12" s="28" t="s">
        <v>42</v>
      </c>
      <c r="C12" s="23"/>
      <c r="D12" s="23"/>
      <c r="E12" s="23"/>
      <c r="F12" s="24">
        <f>SUM(F10:F11)</f>
        <v>1753.5519</v>
      </c>
    </row>
    <row r="13">
      <c r="A13" s="23"/>
      <c r="B13" s="28" t="s">
        <v>47</v>
      </c>
      <c r="C13" s="23"/>
      <c r="D13" s="23"/>
      <c r="E13" s="23"/>
      <c r="F13" s="24">
        <f>F12*15%</f>
        <v>263.032785</v>
      </c>
    </row>
    <row r="14">
      <c r="A14" s="23"/>
      <c r="B14" s="28" t="s">
        <v>42</v>
      </c>
      <c r="C14" s="23"/>
      <c r="D14" s="23"/>
      <c r="E14" s="23"/>
      <c r="F14" s="24">
        <f>SUM(F12:F13)</f>
        <v>2016.584685</v>
      </c>
    </row>
    <row r="15">
      <c r="A15" s="23"/>
      <c r="B15" s="34" t="s">
        <v>51</v>
      </c>
      <c r="C15" s="23"/>
      <c r="D15" s="23"/>
      <c r="E15" s="23"/>
      <c r="F15" s="24">
        <f>F14</f>
        <v>2016.584685</v>
      </c>
    </row>
    <row r="16">
      <c r="A16" s="23"/>
      <c r="B16" s="28" t="s">
        <v>54</v>
      </c>
      <c r="C16" s="23"/>
      <c r="D16" s="23"/>
      <c r="E16" s="23"/>
      <c r="F16" s="35">
        <f>MROUND(F15, 0.05)</f>
        <v>2016.6</v>
      </c>
    </row>
    <row r="17">
      <c r="A17" s="36" t="str">
        <f>CONCATENATE("Say ",F16," x Cost Index")</f>
        <v>Say 2016.6 x Cost Index</v>
      </c>
      <c r="B17" s="2"/>
      <c r="C17" s="2"/>
      <c r="D17" s="2"/>
      <c r="E17" s="2"/>
      <c r="F17" s="3"/>
    </row>
    <row r="18">
      <c r="A18" s="37">
        <v>0.0</v>
      </c>
      <c r="B18" s="39" t="s">
        <v>70</v>
      </c>
      <c r="C18" s="2"/>
      <c r="D18" s="2"/>
      <c r="E18" s="2"/>
      <c r="F18" s="3"/>
    </row>
    <row r="19">
      <c r="A19" s="37" t="s">
        <v>4</v>
      </c>
      <c r="B19" s="37" t="s">
        <v>6</v>
      </c>
      <c r="C19" s="37" t="s">
        <v>8</v>
      </c>
      <c r="D19" s="37" t="s">
        <v>9</v>
      </c>
      <c r="E19" s="37" t="s">
        <v>10</v>
      </c>
      <c r="F19" s="40" t="s">
        <v>11</v>
      </c>
    </row>
    <row r="20">
      <c r="A20" s="41"/>
      <c r="B20" s="42" t="s">
        <v>15</v>
      </c>
      <c r="C20" s="41"/>
      <c r="D20" s="41"/>
      <c r="E20" s="41"/>
      <c r="F20" s="43"/>
    </row>
    <row r="21">
      <c r="A21" s="20"/>
      <c r="B21" s="44" t="s">
        <v>17</v>
      </c>
      <c r="C21" s="20"/>
      <c r="D21" s="20"/>
      <c r="E21" s="20"/>
      <c r="F21" s="20"/>
    </row>
    <row r="22">
      <c r="A22" s="45">
        <v>294.0</v>
      </c>
      <c r="B22" s="42" t="s">
        <v>84</v>
      </c>
      <c r="C22" s="45" t="s">
        <v>21</v>
      </c>
      <c r="D22" s="45">
        <v>1.0</v>
      </c>
      <c r="E22" s="45">
        <v>1350.0</v>
      </c>
      <c r="F22" s="46">
        <f>D22*E22</f>
        <v>1350</v>
      </c>
    </row>
    <row r="23">
      <c r="A23" s="47"/>
      <c r="B23" s="44" t="s">
        <v>23</v>
      </c>
      <c r="C23" s="47"/>
      <c r="D23" s="47"/>
      <c r="E23" s="47"/>
      <c r="F23" s="46"/>
    </row>
    <row r="24">
      <c r="A24" s="45">
        <v>2202.0</v>
      </c>
      <c r="B24" s="42" t="s">
        <v>95</v>
      </c>
      <c r="C24" s="45" t="s">
        <v>21</v>
      </c>
      <c r="D24" s="45">
        <v>1.0</v>
      </c>
      <c r="E24" s="45">
        <v>163.93</v>
      </c>
      <c r="F24" s="46">
        <f>D24*E24</f>
        <v>163.93</v>
      </c>
    </row>
    <row r="25">
      <c r="A25" s="47">
        <v>115.0</v>
      </c>
      <c r="B25" s="44" t="s">
        <v>26</v>
      </c>
      <c r="C25" s="47" t="s">
        <v>27</v>
      </c>
      <c r="D25" s="45">
        <v>0.4</v>
      </c>
      <c r="E25" s="45">
        <v>645.0</v>
      </c>
      <c r="F25" s="46">
        <f>E25*D25</f>
        <v>258</v>
      </c>
    </row>
    <row r="26">
      <c r="A26" s="47"/>
      <c r="B26" s="49" t="s">
        <v>31</v>
      </c>
      <c r="C26" s="47"/>
      <c r="D26" s="47"/>
      <c r="E26" s="47"/>
      <c r="F26" s="46">
        <f>SUM(F22:F25)</f>
        <v>1771.93</v>
      </c>
    </row>
    <row r="27">
      <c r="A27" s="47"/>
      <c r="B27" s="49" t="s">
        <v>40</v>
      </c>
      <c r="C27" s="47"/>
      <c r="D27" s="47"/>
      <c r="E27" s="47"/>
      <c r="F27" s="46">
        <f>F26*1%</f>
        <v>17.7193</v>
      </c>
    </row>
    <row r="28">
      <c r="A28" s="47"/>
      <c r="B28" s="49" t="s">
        <v>42</v>
      </c>
      <c r="C28" s="47"/>
      <c r="D28" s="47"/>
      <c r="E28" s="47"/>
      <c r="F28" s="46">
        <f>SUM(F26:F27)</f>
        <v>1789.6493</v>
      </c>
    </row>
    <row r="29">
      <c r="A29" s="47"/>
      <c r="B29" s="49" t="s">
        <v>47</v>
      </c>
      <c r="C29" s="47"/>
      <c r="D29" s="47"/>
      <c r="E29" s="47"/>
      <c r="F29" s="46">
        <f>F28*15%</f>
        <v>268.447395</v>
      </c>
    </row>
    <row r="30">
      <c r="A30" s="47"/>
      <c r="B30" s="49" t="s">
        <v>42</v>
      </c>
      <c r="C30" s="47"/>
      <c r="D30" s="47"/>
      <c r="E30" s="47"/>
      <c r="F30" s="46">
        <f>SUM(F28:F29)</f>
        <v>2058.096695</v>
      </c>
    </row>
    <row r="31">
      <c r="A31" s="47"/>
      <c r="B31" s="50" t="s">
        <v>51</v>
      </c>
      <c r="C31" s="47"/>
      <c r="D31" s="47"/>
      <c r="E31" s="47"/>
      <c r="F31" s="46">
        <f>F30</f>
        <v>2058.096695</v>
      </c>
    </row>
    <row r="32">
      <c r="A32" s="47"/>
      <c r="B32" s="49" t="s">
        <v>54</v>
      </c>
      <c r="C32" s="47"/>
      <c r="D32" s="47"/>
      <c r="E32" s="47"/>
      <c r="F32" s="51">
        <f>MROUND(F31, 0.05)</f>
        <v>2058.1</v>
      </c>
    </row>
    <row r="33">
      <c r="A33" s="1" t="str">
        <f>CONCATENATE("Say ",F32," x Cost Index")</f>
        <v>Say 2058.1 x Cost Index</v>
      </c>
      <c r="B33" s="2"/>
      <c r="C33" s="2"/>
      <c r="D33" s="2"/>
      <c r="E33" s="2"/>
      <c r="F33" s="3"/>
    </row>
    <row r="34">
      <c r="A34" s="4">
        <v>0.0</v>
      </c>
      <c r="B34" s="5" t="s">
        <v>129</v>
      </c>
      <c r="C34" s="2"/>
      <c r="D34" s="2"/>
      <c r="E34" s="2"/>
      <c r="F34" s="3"/>
    </row>
    <row r="35">
      <c r="A35" s="4" t="s">
        <v>4</v>
      </c>
      <c r="B35" s="4" t="s">
        <v>6</v>
      </c>
      <c r="C35" s="4" t="s">
        <v>8</v>
      </c>
      <c r="D35" s="4" t="s">
        <v>9</v>
      </c>
      <c r="E35" s="4" t="s">
        <v>10</v>
      </c>
      <c r="F35" s="8" t="s">
        <v>11</v>
      </c>
    </row>
    <row r="36">
      <c r="A36" s="11"/>
      <c r="B36" s="18" t="s">
        <v>15</v>
      </c>
      <c r="C36" s="11"/>
      <c r="D36" s="11"/>
      <c r="E36" s="11"/>
      <c r="F36" s="19"/>
    </row>
    <row r="37">
      <c r="A37" s="20"/>
      <c r="B37" s="15" t="s">
        <v>17</v>
      </c>
      <c r="C37" s="20"/>
      <c r="D37" s="20"/>
      <c r="E37" s="20"/>
      <c r="F37" s="20"/>
    </row>
    <row r="38">
      <c r="A38" s="22" t="s">
        <v>140</v>
      </c>
      <c r="B38" s="18" t="s">
        <v>141</v>
      </c>
      <c r="C38" s="22" t="s">
        <v>21</v>
      </c>
      <c r="D38" s="22">
        <v>1.0</v>
      </c>
      <c r="E38" s="22">
        <v>1400.0</v>
      </c>
      <c r="F38" s="24">
        <f>D38*E38</f>
        <v>1400</v>
      </c>
    </row>
    <row r="39">
      <c r="A39" s="23"/>
      <c r="B39" s="15" t="s">
        <v>23</v>
      </c>
      <c r="C39" s="23"/>
      <c r="D39" s="23"/>
      <c r="E39" s="23"/>
      <c r="F39" s="24"/>
    </row>
    <row r="40">
      <c r="A40" s="22">
        <v>2202.0</v>
      </c>
      <c r="B40" s="18" t="s">
        <v>95</v>
      </c>
      <c r="C40" s="22" t="s">
        <v>21</v>
      </c>
      <c r="D40" s="22">
        <v>1.0</v>
      </c>
      <c r="E40" s="22">
        <v>163.93</v>
      </c>
      <c r="F40" s="24">
        <f>D40*E40</f>
        <v>163.93</v>
      </c>
    </row>
    <row r="41">
      <c r="A41" s="23">
        <v>115.0</v>
      </c>
      <c r="B41" s="15" t="s">
        <v>26</v>
      </c>
      <c r="C41" s="23" t="s">
        <v>27</v>
      </c>
      <c r="D41" s="22">
        <v>0.4</v>
      </c>
      <c r="E41" s="22">
        <v>645.0</v>
      </c>
      <c r="F41" s="24">
        <f>E41*D41</f>
        <v>258</v>
      </c>
    </row>
    <row r="42">
      <c r="A42" s="23"/>
      <c r="B42" s="28" t="s">
        <v>31</v>
      </c>
      <c r="C42" s="23"/>
      <c r="D42" s="23"/>
      <c r="E42" s="23"/>
      <c r="F42" s="24">
        <f>SUM(F38:F41)</f>
        <v>1821.93</v>
      </c>
    </row>
    <row r="43">
      <c r="A43" s="23"/>
      <c r="B43" s="28" t="s">
        <v>40</v>
      </c>
      <c r="C43" s="23"/>
      <c r="D43" s="23"/>
      <c r="E43" s="23"/>
      <c r="F43" s="24">
        <f>F42*1%</f>
        <v>18.2193</v>
      </c>
    </row>
    <row r="44">
      <c r="A44" s="23"/>
      <c r="B44" s="28" t="s">
        <v>42</v>
      </c>
      <c r="C44" s="23"/>
      <c r="D44" s="23"/>
      <c r="E44" s="23"/>
      <c r="F44" s="24">
        <f>SUM(F42:F43)</f>
        <v>1840.1493</v>
      </c>
    </row>
    <row r="45">
      <c r="A45" s="23"/>
      <c r="B45" s="28" t="s">
        <v>47</v>
      </c>
      <c r="C45" s="23"/>
      <c r="D45" s="23"/>
      <c r="E45" s="23"/>
      <c r="F45" s="24">
        <f>F44*15%</f>
        <v>276.022395</v>
      </c>
    </row>
    <row r="46">
      <c r="A46" s="23"/>
      <c r="B46" s="28" t="s">
        <v>42</v>
      </c>
      <c r="C46" s="23"/>
      <c r="D46" s="23"/>
      <c r="E46" s="23"/>
      <c r="F46" s="24">
        <f>SUM(F44:F45)</f>
        <v>2116.171695</v>
      </c>
    </row>
    <row r="47">
      <c r="A47" s="23"/>
      <c r="B47" s="34" t="s">
        <v>51</v>
      </c>
      <c r="C47" s="23"/>
      <c r="D47" s="23"/>
      <c r="E47" s="23"/>
      <c r="F47" s="24">
        <f>F46</f>
        <v>2116.171695</v>
      </c>
    </row>
    <row r="48">
      <c r="A48" s="23"/>
      <c r="B48" s="28" t="s">
        <v>54</v>
      </c>
      <c r="C48" s="23"/>
      <c r="D48" s="23"/>
      <c r="E48" s="23"/>
      <c r="F48" s="35">
        <f>MROUND(F47, 0.05)</f>
        <v>2116.15</v>
      </c>
    </row>
    <row r="49">
      <c r="A49" s="36" t="str">
        <f>CONCATENATE("Say ",F48," x Cost Index")</f>
        <v>Say 2116.15 x Cost Index</v>
      </c>
      <c r="B49" s="2"/>
      <c r="C49" s="2"/>
      <c r="D49" s="2"/>
      <c r="E49" s="2"/>
      <c r="F49" s="3"/>
    </row>
    <row r="50">
      <c r="A50" s="37">
        <v>0.0</v>
      </c>
      <c r="B50" s="39" t="s">
        <v>176</v>
      </c>
      <c r="C50" s="2"/>
      <c r="D50" s="2"/>
      <c r="E50" s="2"/>
      <c r="F50" s="3"/>
    </row>
    <row r="51">
      <c r="A51" s="37" t="s">
        <v>4</v>
      </c>
      <c r="B51" s="37" t="s">
        <v>6</v>
      </c>
      <c r="C51" s="37" t="s">
        <v>8</v>
      </c>
      <c r="D51" s="37" t="s">
        <v>9</v>
      </c>
      <c r="E51" s="37" t="s">
        <v>10</v>
      </c>
      <c r="F51" s="40" t="s">
        <v>11</v>
      </c>
    </row>
    <row r="52">
      <c r="A52" s="41"/>
      <c r="B52" s="42" t="s">
        <v>15</v>
      </c>
      <c r="C52" s="41"/>
      <c r="D52" s="41"/>
      <c r="E52" s="41"/>
      <c r="F52" s="43"/>
    </row>
    <row r="53">
      <c r="A53" s="20"/>
      <c r="B53" s="44" t="s">
        <v>17</v>
      </c>
      <c r="C53" s="20"/>
      <c r="D53" s="20"/>
      <c r="E53" s="20"/>
      <c r="F53" s="20"/>
    </row>
    <row r="54">
      <c r="A54" s="45">
        <v>982.0</v>
      </c>
      <c r="B54" s="42" t="s">
        <v>187</v>
      </c>
      <c r="C54" s="45" t="s">
        <v>21</v>
      </c>
      <c r="D54" s="45">
        <v>1.0</v>
      </c>
      <c r="E54" s="45">
        <v>1500.0</v>
      </c>
      <c r="F54" s="46">
        <f>D54*E54</f>
        <v>1500</v>
      </c>
    </row>
    <row r="55">
      <c r="A55" s="47"/>
      <c r="B55" s="44" t="s">
        <v>23</v>
      </c>
      <c r="C55" s="47"/>
      <c r="D55" s="47"/>
      <c r="E55" s="47"/>
      <c r="F55" s="46"/>
    </row>
    <row r="56">
      <c r="A56" s="45">
        <v>2203.0</v>
      </c>
      <c r="B56" s="42" t="s">
        <v>191</v>
      </c>
      <c r="C56" s="45" t="s">
        <v>21</v>
      </c>
      <c r="D56" s="45">
        <v>1.0</v>
      </c>
      <c r="E56" s="45">
        <v>163.93</v>
      </c>
      <c r="F56" s="46">
        <f>D56*E56</f>
        <v>163.93</v>
      </c>
    </row>
    <row r="57">
      <c r="A57" s="47">
        <v>115.0</v>
      </c>
      <c r="B57" s="44" t="s">
        <v>26</v>
      </c>
      <c r="C57" s="47" t="s">
        <v>27</v>
      </c>
      <c r="D57" s="45">
        <v>0.6</v>
      </c>
      <c r="E57" s="45">
        <v>645.0</v>
      </c>
      <c r="F57" s="46">
        <f>E57*D57</f>
        <v>387</v>
      </c>
    </row>
    <row r="58">
      <c r="A58" s="47"/>
      <c r="B58" s="49" t="s">
        <v>31</v>
      </c>
      <c r="C58" s="47"/>
      <c r="D58" s="47"/>
      <c r="E58" s="47"/>
      <c r="F58" s="46">
        <f>SUM(F54:F57)</f>
        <v>2050.93</v>
      </c>
    </row>
    <row r="59">
      <c r="A59" s="47"/>
      <c r="B59" s="49" t="s">
        <v>40</v>
      </c>
      <c r="C59" s="47"/>
      <c r="D59" s="47"/>
      <c r="E59" s="47"/>
      <c r="F59" s="46">
        <f>F58*1%</f>
        <v>20.5093</v>
      </c>
    </row>
    <row r="60">
      <c r="A60" s="47"/>
      <c r="B60" s="49" t="s">
        <v>42</v>
      </c>
      <c r="C60" s="47"/>
      <c r="D60" s="47"/>
      <c r="E60" s="47"/>
      <c r="F60" s="46">
        <f>SUM(F58:F59)</f>
        <v>2071.4393</v>
      </c>
    </row>
    <row r="61">
      <c r="A61" s="47"/>
      <c r="B61" s="49" t="s">
        <v>47</v>
      </c>
      <c r="C61" s="47"/>
      <c r="D61" s="47"/>
      <c r="E61" s="47"/>
      <c r="F61" s="46">
        <f>F60*15%</f>
        <v>310.715895</v>
      </c>
    </row>
    <row r="62">
      <c r="A62" s="47"/>
      <c r="B62" s="49" t="s">
        <v>42</v>
      </c>
      <c r="C62" s="47"/>
      <c r="D62" s="47"/>
      <c r="E62" s="47"/>
      <c r="F62" s="46">
        <f>SUM(F60:F61)</f>
        <v>2382.155195</v>
      </c>
    </row>
    <row r="63">
      <c r="A63" s="47"/>
      <c r="B63" s="50" t="s">
        <v>51</v>
      </c>
      <c r="C63" s="47"/>
      <c r="D63" s="47"/>
      <c r="E63" s="47"/>
      <c r="F63" s="46">
        <f>F62</f>
        <v>2382.155195</v>
      </c>
    </row>
    <row r="64">
      <c r="A64" s="47"/>
      <c r="B64" s="49" t="s">
        <v>54</v>
      </c>
      <c r="C64" s="47"/>
      <c r="D64" s="47"/>
      <c r="E64" s="47"/>
      <c r="F64" s="51">
        <f>MROUND(F63, 0.05)</f>
        <v>2382.15</v>
      </c>
    </row>
    <row r="65">
      <c r="A65" s="1" t="str">
        <f>CONCATENATE("Say ",F64," x Cost Index")</f>
        <v>Say 2382.15 x Cost Index</v>
      </c>
      <c r="B65" s="2"/>
      <c r="C65" s="2"/>
      <c r="D65" s="2"/>
      <c r="E65" s="2"/>
      <c r="F65" s="3"/>
    </row>
    <row r="66">
      <c r="A66" s="4">
        <v>0.0</v>
      </c>
      <c r="B66" s="5" t="s">
        <v>223</v>
      </c>
      <c r="C66" s="2"/>
      <c r="D66" s="2"/>
      <c r="E66" s="2"/>
      <c r="F66" s="3"/>
    </row>
    <row r="67">
      <c r="A67" s="4" t="s">
        <v>4</v>
      </c>
      <c r="B67" s="4" t="s">
        <v>6</v>
      </c>
      <c r="C67" s="4" t="s">
        <v>8</v>
      </c>
      <c r="D67" s="4" t="s">
        <v>9</v>
      </c>
      <c r="E67" s="4" t="s">
        <v>10</v>
      </c>
      <c r="F67" s="8" t="s">
        <v>11</v>
      </c>
    </row>
    <row r="68">
      <c r="A68" s="11"/>
      <c r="B68" s="18" t="s">
        <v>227</v>
      </c>
      <c r="C68" s="11"/>
      <c r="D68" s="11"/>
      <c r="E68" s="11"/>
      <c r="F68" s="19"/>
    </row>
    <row r="69">
      <c r="A69" s="20"/>
      <c r="B69" s="15" t="s">
        <v>17</v>
      </c>
      <c r="C69" s="20"/>
      <c r="D69" s="20"/>
      <c r="E69" s="20"/>
      <c r="F69" s="20"/>
    </row>
    <row r="70">
      <c r="A70" s="22" t="s">
        <v>239</v>
      </c>
      <c r="B70" s="18" t="s">
        <v>240</v>
      </c>
      <c r="C70" s="22" t="s">
        <v>242</v>
      </c>
      <c r="D70" s="22">
        <v>1.0</v>
      </c>
      <c r="E70" s="22">
        <v>675.0</v>
      </c>
      <c r="F70" s="24">
        <f>D70*E70</f>
        <v>675</v>
      </c>
    </row>
    <row r="71">
      <c r="A71" s="23"/>
      <c r="B71" s="15" t="s">
        <v>23</v>
      </c>
      <c r="C71" s="23"/>
      <c r="D71" s="23"/>
      <c r="E71" s="23"/>
      <c r="F71" s="24"/>
    </row>
    <row r="72">
      <c r="A72" s="22">
        <v>2200.0</v>
      </c>
      <c r="B72" s="18" t="s">
        <v>248</v>
      </c>
      <c r="C72" s="22" t="s">
        <v>249</v>
      </c>
      <c r="D72" s="22">
        <v>0.1</v>
      </c>
      <c r="E72" s="22">
        <v>187.0</v>
      </c>
      <c r="F72" s="24">
        <f>D72*E72</f>
        <v>18.7</v>
      </c>
    </row>
    <row r="73">
      <c r="A73" s="23">
        <v>115.0</v>
      </c>
      <c r="B73" s="15" t="s">
        <v>26</v>
      </c>
      <c r="C73" s="23" t="s">
        <v>27</v>
      </c>
      <c r="D73" s="22">
        <v>0.6</v>
      </c>
      <c r="E73" s="22">
        <v>645.0</v>
      </c>
      <c r="F73" s="24">
        <f>E73*D73</f>
        <v>387</v>
      </c>
    </row>
    <row r="74">
      <c r="A74" s="23"/>
      <c r="B74" s="28" t="s">
        <v>31</v>
      </c>
      <c r="C74" s="23"/>
      <c r="D74" s="23"/>
      <c r="E74" s="23"/>
      <c r="F74" s="24">
        <f>SUM(F70:F73)</f>
        <v>1080.7</v>
      </c>
    </row>
    <row r="75">
      <c r="A75" s="23"/>
      <c r="B75" s="28" t="s">
        <v>40</v>
      </c>
      <c r="C75" s="23"/>
      <c r="D75" s="23"/>
      <c r="E75" s="23"/>
      <c r="F75" s="24">
        <f>F74*1%</f>
        <v>10.807</v>
      </c>
    </row>
    <row r="76">
      <c r="A76" s="23"/>
      <c r="B76" s="28" t="s">
        <v>42</v>
      </c>
      <c r="C76" s="23"/>
      <c r="D76" s="23"/>
      <c r="E76" s="23"/>
      <c r="F76" s="24">
        <f>SUM(F74:F75)</f>
        <v>1091.507</v>
      </c>
    </row>
    <row r="77">
      <c r="A77" s="23"/>
      <c r="B77" s="28" t="s">
        <v>47</v>
      </c>
      <c r="C77" s="23"/>
      <c r="D77" s="23"/>
      <c r="E77" s="23"/>
      <c r="F77" s="24">
        <f>F76*15%</f>
        <v>163.72605</v>
      </c>
    </row>
    <row r="78">
      <c r="A78" s="23"/>
      <c r="B78" s="28" t="s">
        <v>42</v>
      </c>
      <c r="C78" s="23"/>
      <c r="D78" s="23"/>
      <c r="E78" s="23"/>
      <c r="F78" s="24">
        <f>SUM(F76:F77)</f>
        <v>1255.23305</v>
      </c>
    </row>
    <row r="79">
      <c r="A79" s="23"/>
      <c r="B79" s="34" t="s">
        <v>270</v>
      </c>
      <c r="C79" s="23"/>
      <c r="D79" s="23"/>
      <c r="E79" s="23"/>
      <c r="F79" s="24">
        <f>F78</f>
        <v>1255.23305</v>
      </c>
    </row>
    <row r="80">
      <c r="A80" s="23"/>
      <c r="B80" s="34" t="s">
        <v>271</v>
      </c>
      <c r="C80" s="23"/>
      <c r="D80" s="23"/>
      <c r="E80" s="23"/>
      <c r="F80" s="35">
        <f>F79/100</f>
        <v>12.5523305</v>
      </c>
    </row>
    <row r="81">
      <c r="A81" s="23"/>
      <c r="B81" s="34" t="s">
        <v>273</v>
      </c>
      <c r="C81" s="23"/>
      <c r="D81" s="23"/>
      <c r="E81" s="23"/>
      <c r="F81" s="35">
        <f>F80*200</f>
        <v>2510.4661</v>
      </c>
    </row>
    <row r="82">
      <c r="A82" s="23"/>
      <c r="B82" s="28" t="s">
        <v>54</v>
      </c>
      <c r="C82" s="23"/>
      <c r="D82" s="23"/>
      <c r="E82" s="23"/>
      <c r="F82" s="35">
        <f>MROUND(F81, 0.05)</f>
        <v>2510.45</v>
      </c>
    </row>
    <row r="83">
      <c r="A83" s="36" t="str">
        <f>CONCATENATE("Say ",F82," x Cost Index")</f>
        <v>Say 2510.45 x Cost Index</v>
      </c>
      <c r="B83" s="2"/>
      <c r="C83" s="2"/>
      <c r="D83" s="2"/>
      <c r="E83" s="2"/>
      <c r="F83" s="3"/>
    </row>
  </sheetData>
  <mergeCells count="36">
    <mergeCell ref="A1:F1"/>
    <mergeCell ref="B2:F2"/>
    <mergeCell ref="A4:A5"/>
    <mergeCell ref="C4:C5"/>
    <mergeCell ref="D4:D5"/>
    <mergeCell ref="E4:E5"/>
    <mergeCell ref="F4:F5"/>
    <mergeCell ref="A17:F17"/>
    <mergeCell ref="B18:F18"/>
    <mergeCell ref="A20:A21"/>
    <mergeCell ref="C20:C21"/>
    <mergeCell ref="D20:D21"/>
    <mergeCell ref="E20:E21"/>
    <mergeCell ref="F20:F21"/>
    <mergeCell ref="A33:F33"/>
    <mergeCell ref="B34:F34"/>
    <mergeCell ref="A36:A37"/>
    <mergeCell ref="C36:C37"/>
    <mergeCell ref="D36:D37"/>
    <mergeCell ref="E36:E37"/>
    <mergeCell ref="F36:F37"/>
    <mergeCell ref="A65:F65"/>
    <mergeCell ref="B66:F66"/>
    <mergeCell ref="A68:A69"/>
    <mergeCell ref="C68:C69"/>
    <mergeCell ref="D68:D69"/>
    <mergeCell ref="E68:E69"/>
    <mergeCell ref="F68:F69"/>
    <mergeCell ref="A83:F83"/>
    <mergeCell ref="A49:F49"/>
    <mergeCell ref="B50:F50"/>
    <mergeCell ref="A52:A53"/>
    <mergeCell ref="C52:C53"/>
    <mergeCell ref="D52:D53"/>
    <mergeCell ref="E52:E53"/>
    <mergeCell ref="F52:F53"/>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15.0"/>
    <col customWidth="1" min="2" max="2" width="45.71"/>
    <col customWidth="1" min="3" max="3" width="7.71"/>
    <col customWidth="1" min="4" max="4" width="11.14"/>
    <col customWidth="1" min="5" max="5" width="6.29"/>
    <col customWidth="1" min="6" max="6" width="14.43"/>
  </cols>
  <sheetData>
    <row r="1">
      <c r="A1" s="1" t="s">
        <v>1</v>
      </c>
      <c r="B1" s="2"/>
      <c r="C1" s="2"/>
      <c r="D1" s="2"/>
      <c r="E1" s="2"/>
      <c r="F1" s="3"/>
    </row>
    <row r="2">
      <c r="A2" s="4">
        <v>0.0</v>
      </c>
      <c r="B2" s="5" t="s">
        <v>2</v>
      </c>
      <c r="C2" s="2"/>
      <c r="D2" s="2"/>
      <c r="E2" s="2"/>
      <c r="F2" s="3"/>
    </row>
    <row r="3">
      <c r="A3" s="4" t="s">
        <v>4</v>
      </c>
      <c r="B3" s="4" t="s">
        <v>6</v>
      </c>
      <c r="C3" s="4" t="s">
        <v>8</v>
      </c>
      <c r="D3" s="4" t="s">
        <v>9</v>
      </c>
      <c r="E3" s="4" t="s">
        <v>10</v>
      </c>
      <c r="F3" s="8" t="s">
        <v>11</v>
      </c>
    </row>
    <row r="4">
      <c r="A4" s="11"/>
      <c r="B4" s="15" t="s">
        <v>14</v>
      </c>
      <c r="C4" s="11"/>
      <c r="D4" s="11"/>
      <c r="E4" s="11"/>
      <c r="F4" s="19"/>
    </row>
    <row r="5">
      <c r="A5" s="20"/>
      <c r="B5" s="15" t="s">
        <v>17</v>
      </c>
      <c r="C5" s="20"/>
      <c r="D5" s="20"/>
      <c r="E5" s="20"/>
      <c r="F5" s="20"/>
    </row>
    <row r="6">
      <c r="A6" s="22" t="s">
        <v>18</v>
      </c>
      <c r="B6" s="18" t="s">
        <v>19</v>
      </c>
      <c r="C6" s="23" t="s">
        <v>22</v>
      </c>
      <c r="D6" s="23">
        <v>100.0</v>
      </c>
      <c r="E6" s="23">
        <f t="array" ref="E6">IFERROR(INDEX(LMRRates,MATCH(A6,LMRCodes,0), ), )</f>
        <v>281</v>
      </c>
      <c r="F6" s="24">
        <f>D6*E6</f>
        <v>28100</v>
      </c>
    </row>
    <row r="7">
      <c r="A7" s="23"/>
      <c r="B7" s="28" t="s">
        <v>31</v>
      </c>
      <c r="C7" s="23"/>
      <c r="D7" s="23"/>
      <c r="E7" s="23"/>
      <c r="F7" s="24">
        <f>SUM(F6)</f>
        <v>28100</v>
      </c>
    </row>
    <row r="8">
      <c r="A8" s="23"/>
      <c r="B8" s="28" t="s">
        <v>40</v>
      </c>
      <c r="C8" s="23"/>
      <c r="D8" s="23"/>
      <c r="E8" s="23"/>
      <c r="F8" s="24">
        <f>F7*1/100</f>
        <v>281</v>
      </c>
    </row>
    <row r="9">
      <c r="A9" s="23"/>
      <c r="B9" s="28" t="s">
        <v>42</v>
      </c>
      <c r="C9" s="23"/>
      <c r="D9" s="23"/>
      <c r="E9" s="23"/>
      <c r="F9" s="24">
        <f>SUM(F7:F8)</f>
        <v>28381</v>
      </c>
    </row>
    <row r="10">
      <c r="A10" s="23"/>
      <c r="B10" s="28" t="s">
        <v>47</v>
      </c>
      <c r="C10" s="23"/>
      <c r="D10" s="23"/>
      <c r="E10" s="23"/>
      <c r="F10" s="24">
        <f>F9*0.15</f>
        <v>4257.15</v>
      </c>
    </row>
    <row r="11">
      <c r="A11" s="23"/>
      <c r="B11" s="28" t="s">
        <v>42</v>
      </c>
      <c r="C11" s="23"/>
      <c r="D11" s="23"/>
      <c r="E11" s="23"/>
      <c r="F11" s="24">
        <f>SUM(F9:F10)</f>
        <v>32638.15</v>
      </c>
    </row>
    <row r="12">
      <c r="A12" s="23"/>
      <c r="B12" s="28" t="s">
        <v>73</v>
      </c>
      <c r="C12" s="23"/>
      <c r="D12" s="23"/>
      <c r="E12" s="23"/>
      <c r="F12" s="24">
        <f>F11</f>
        <v>32638.15</v>
      </c>
    </row>
    <row r="13">
      <c r="A13" s="23"/>
      <c r="B13" s="28" t="s">
        <v>76</v>
      </c>
      <c r="C13" s="23"/>
      <c r="D13" s="23"/>
      <c r="E13" s="23"/>
      <c r="F13" s="35">
        <f>MROUND((F12/100), 0.05)</f>
        <v>326.4</v>
      </c>
    </row>
    <row r="14">
      <c r="A14" s="23"/>
      <c r="B14" s="15" t="s">
        <v>23</v>
      </c>
      <c r="C14" s="23"/>
      <c r="D14" s="23"/>
      <c r="E14" s="23"/>
      <c r="F14" s="24"/>
    </row>
    <row r="15">
      <c r="A15" s="23">
        <v>2321.0</v>
      </c>
      <c r="B15" s="15" t="s">
        <v>89</v>
      </c>
      <c r="C15" s="23" t="s">
        <v>91</v>
      </c>
      <c r="D15" s="23">
        <v>50.0</v>
      </c>
      <c r="E15" s="22">
        <v>597.0</v>
      </c>
      <c r="F15" s="24">
        <f>E15/2</f>
        <v>298.5</v>
      </c>
    </row>
    <row r="16">
      <c r="A16" s="23">
        <v>114.0</v>
      </c>
      <c r="B16" s="15" t="s">
        <v>97</v>
      </c>
      <c r="C16" s="23" t="s">
        <v>27</v>
      </c>
      <c r="D16" s="23">
        <v>0.5</v>
      </c>
      <c r="E16" s="22">
        <v>645.0</v>
      </c>
      <c r="F16" s="24">
        <f t="shared" ref="F16:F18" si="1">E16*D16</f>
        <v>322.5</v>
      </c>
    </row>
    <row r="17">
      <c r="A17" s="23">
        <v>115.0</v>
      </c>
      <c r="B17" s="15" t="s">
        <v>26</v>
      </c>
      <c r="C17" s="23" t="s">
        <v>27</v>
      </c>
      <c r="D17" s="23">
        <v>0.5</v>
      </c>
      <c r="E17" s="22">
        <v>645.0</v>
      </c>
      <c r="F17" s="24">
        <f t="shared" si="1"/>
        <v>322.5</v>
      </c>
    </row>
    <row r="18">
      <c r="A18" s="23">
        <v>9999.0</v>
      </c>
      <c r="B18" s="15" t="s">
        <v>106</v>
      </c>
      <c r="C18" s="23" t="s">
        <v>107</v>
      </c>
      <c r="D18" s="23">
        <v>10.07</v>
      </c>
      <c r="E18" s="22">
        <v>2.12</v>
      </c>
      <c r="F18" s="24">
        <f t="shared" si="1"/>
        <v>21.3484</v>
      </c>
    </row>
    <row r="19">
      <c r="A19" s="23"/>
      <c r="B19" s="28" t="s">
        <v>31</v>
      </c>
      <c r="C19" s="23"/>
      <c r="D19" s="23"/>
      <c r="E19" s="23"/>
      <c r="F19" s="24">
        <f>SUM(F15:F18)</f>
        <v>964.8484</v>
      </c>
    </row>
    <row r="20">
      <c r="A20" s="23"/>
      <c r="B20" s="28" t="s">
        <v>40</v>
      </c>
      <c r="C20" s="23"/>
      <c r="D20" s="23"/>
      <c r="E20" s="23"/>
      <c r="F20" s="24">
        <f>F19*0.01</f>
        <v>9.648484</v>
      </c>
    </row>
    <row r="21">
      <c r="A21" s="23"/>
      <c r="B21" s="28" t="s">
        <v>42</v>
      </c>
      <c r="C21" s="23"/>
      <c r="D21" s="23"/>
      <c r="E21" s="23"/>
      <c r="F21" s="24">
        <f>SUM(F19:F20)</f>
        <v>974.496884</v>
      </c>
    </row>
    <row r="22">
      <c r="A22" s="23"/>
      <c r="B22" s="28" t="s">
        <v>47</v>
      </c>
      <c r="C22" s="23"/>
      <c r="D22" s="23"/>
      <c r="E22" s="23"/>
      <c r="F22" s="24">
        <f>F21*0.15</f>
        <v>146.1745326</v>
      </c>
    </row>
    <row r="23">
      <c r="A23" s="23"/>
      <c r="B23" s="28" t="s">
        <v>42</v>
      </c>
      <c r="C23" s="23"/>
      <c r="D23" s="23"/>
      <c r="E23" s="23"/>
      <c r="F23" s="24">
        <f>SUM(F21:F22)</f>
        <v>1120.671417</v>
      </c>
    </row>
    <row r="24">
      <c r="A24" s="23"/>
      <c r="B24" s="28" t="s">
        <v>134</v>
      </c>
      <c r="C24" s="23"/>
      <c r="D24" s="23"/>
      <c r="E24" s="23"/>
      <c r="F24" s="24">
        <f>F23</f>
        <v>1120.671417</v>
      </c>
    </row>
    <row r="25">
      <c r="A25" s="23"/>
      <c r="B25" s="28" t="s">
        <v>76</v>
      </c>
      <c r="C25" s="23"/>
      <c r="D25" s="23"/>
      <c r="E25" s="23"/>
      <c r="F25" s="35">
        <f>F24/100</f>
        <v>11.20671417</v>
      </c>
    </row>
    <row r="26">
      <c r="A26" s="23"/>
      <c r="B26" s="28" t="s">
        <v>54</v>
      </c>
      <c r="C26" s="23"/>
      <c r="D26" s="23"/>
      <c r="E26" s="23"/>
      <c r="F26" s="35">
        <f>MROUND(F25, 0.05)</f>
        <v>11.2</v>
      </c>
    </row>
    <row r="27">
      <c r="A27" s="36" t="str">
        <f>CONCATENATE("Say ",F13," + ",F26," x Cost Index")</f>
        <v>Say 326.4 + 11.2 x Cost Index</v>
      </c>
      <c r="B27" s="2"/>
      <c r="C27" s="2"/>
      <c r="D27" s="2"/>
      <c r="E27" s="2"/>
      <c r="F27" s="3"/>
    </row>
    <row r="28">
      <c r="A28" s="37">
        <v>0.0</v>
      </c>
      <c r="B28" s="39" t="s">
        <v>162</v>
      </c>
      <c r="C28" s="2"/>
      <c r="D28" s="2"/>
      <c r="E28" s="2"/>
      <c r="F28" s="3"/>
    </row>
    <row r="29">
      <c r="A29" s="37" t="s">
        <v>4</v>
      </c>
      <c r="B29" s="37" t="s">
        <v>6</v>
      </c>
      <c r="C29" s="37" t="s">
        <v>8</v>
      </c>
      <c r="D29" s="37" t="s">
        <v>9</v>
      </c>
      <c r="E29" s="37" t="s">
        <v>10</v>
      </c>
      <c r="F29" s="40" t="s">
        <v>11</v>
      </c>
    </row>
    <row r="30">
      <c r="A30" s="41"/>
      <c r="B30" s="44" t="s">
        <v>14</v>
      </c>
      <c r="C30" s="41"/>
      <c r="D30" s="41"/>
      <c r="E30" s="41"/>
      <c r="F30" s="43"/>
    </row>
    <row r="31">
      <c r="A31" s="20"/>
      <c r="B31" s="44" t="s">
        <v>17</v>
      </c>
      <c r="C31" s="20"/>
      <c r="D31" s="20"/>
      <c r="E31" s="20"/>
      <c r="F31" s="20"/>
    </row>
    <row r="32">
      <c r="A32" s="45" t="s">
        <v>183</v>
      </c>
      <c r="B32" s="42" t="s">
        <v>188</v>
      </c>
      <c r="C32" s="47" t="s">
        <v>22</v>
      </c>
      <c r="D32" s="47">
        <v>100.0</v>
      </c>
      <c r="E32" s="45">
        <f t="array" ref="E32">IFERROR(INDEX(LMRRates,MATCH(A32,LMRCodes,0), ), )</f>
        <v>398</v>
      </c>
      <c r="F32" s="46">
        <f>D32*E32</f>
        <v>39800</v>
      </c>
    </row>
    <row r="33">
      <c r="A33" s="47"/>
      <c r="B33" s="49" t="s">
        <v>31</v>
      </c>
      <c r="C33" s="47"/>
      <c r="D33" s="47"/>
      <c r="E33" s="47"/>
      <c r="F33" s="46">
        <f>SUM(F32)</f>
        <v>39800</v>
      </c>
    </row>
    <row r="34">
      <c r="A34" s="47"/>
      <c r="B34" s="49" t="s">
        <v>40</v>
      </c>
      <c r="C34" s="47"/>
      <c r="D34" s="47"/>
      <c r="E34" s="47"/>
      <c r="F34" s="46">
        <f>F33*0.01</f>
        <v>398</v>
      </c>
    </row>
    <row r="35">
      <c r="A35" s="47"/>
      <c r="B35" s="49" t="s">
        <v>42</v>
      </c>
      <c r="C35" s="47"/>
      <c r="D35" s="47"/>
      <c r="E35" s="47"/>
      <c r="F35" s="46">
        <f>SUM(F33:F34)</f>
        <v>40198</v>
      </c>
    </row>
    <row r="36">
      <c r="A36" s="47"/>
      <c r="B36" s="49" t="s">
        <v>47</v>
      </c>
      <c r="C36" s="47"/>
      <c r="D36" s="47"/>
      <c r="E36" s="47"/>
      <c r="F36" s="46">
        <f>F35*0.15</f>
        <v>6029.7</v>
      </c>
    </row>
    <row r="37">
      <c r="A37" s="47"/>
      <c r="B37" s="49" t="s">
        <v>42</v>
      </c>
      <c r="C37" s="47"/>
      <c r="D37" s="47"/>
      <c r="E37" s="47"/>
      <c r="F37" s="46">
        <f>SUM(F35:F36)</f>
        <v>46227.7</v>
      </c>
    </row>
    <row r="38">
      <c r="A38" s="47"/>
      <c r="B38" s="49" t="s">
        <v>73</v>
      </c>
      <c r="C38" s="47"/>
      <c r="D38" s="47"/>
      <c r="E38" s="47"/>
      <c r="F38" s="46">
        <f>F37</f>
        <v>46227.7</v>
      </c>
    </row>
    <row r="39">
      <c r="A39" s="47"/>
      <c r="B39" s="49" t="s">
        <v>76</v>
      </c>
      <c r="C39" s="47"/>
      <c r="D39" s="47"/>
      <c r="E39" s="47"/>
      <c r="F39" s="51">
        <f>MROUND((F38/100), 0.05)</f>
        <v>462.3</v>
      </c>
    </row>
    <row r="40">
      <c r="A40" s="47"/>
      <c r="B40" s="44" t="s">
        <v>23</v>
      </c>
      <c r="C40" s="47"/>
      <c r="D40" s="47"/>
      <c r="E40" s="47"/>
      <c r="F40" s="46"/>
    </row>
    <row r="41">
      <c r="A41" s="47">
        <v>2321.0</v>
      </c>
      <c r="B41" s="44" t="s">
        <v>89</v>
      </c>
      <c r="C41" s="47" t="s">
        <v>91</v>
      </c>
      <c r="D41" s="47">
        <v>50.0</v>
      </c>
      <c r="E41" s="45">
        <v>597.0</v>
      </c>
      <c r="F41" s="46">
        <f>E41/2</f>
        <v>298.5</v>
      </c>
    </row>
    <row r="42">
      <c r="A42" s="47">
        <v>114.0</v>
      </c>
      <c r="B42" s="44" t="s">
        <v>97</v>
      </c>
      <c r="C42" s="47" t="s">
        <v>27</v>
      </c>
      <c r="D42" s="47">
        <v>0.5</v>
      </c>
      <c r="E42" s="45">
        <v>645.0</v>
      </c>
      <c r="F42" s="46">
        <f t="shared" ref="F42:F44" si="2">D42*E42</f>
        <v>322.5</v>
      </c>
    </row>
    <row r="43">
      <c r="A43" s="47">
        <v>115.0</v>
      </c>
      <c r="B43" s="44" t="s">
        <v>26</v>
      </c>
      <c r="C43" s="47" t="s">
        <v>27</v>
      </c>
      <c r="D43" s="47">
        <v>0.5</v>
      </c>
      <c r="E43" s="45">
        <v>645.0</v>
      </c>
      <c r="F43" s="46">
        <f t="shared" si="2"/>
        <v>322.5</v>
      </c>
    </row>
    <row r="44">
      <c r="A44" s="47">
        <v>9999.0</v>
      </c>
      <c r="B44" s="44" t="s">
        <v>106</v>
      </c>
      <c r="C44" s="47" t="s">
        <v>107</v>
      </c>
      <c r="D44" s="47">
        <v>10.07</v>
      </c>
      <c r="E44" s="45">
        <v>2.12</v>
      </c>
      <c r="F44" s="46">
        <f t="shared" si="2"/>
        <v>21.3484</v>
      </c>
    </row>
    <row r="45">
      <c r="A45" s="47"/>
      <c r="B45" s="49" t="s">
        <v>31</v>
      </c>
      <c r="C45" s="47"/>
      <c r="D45" s="47"/>
      <c r="E45" s="47"/>
      <c r="F45" s="46">
        <f>SUM(F41:F44)</f>
        <v>964.8484</v>
      </c>
    </row>
    <row r="46">
      <c r="A46" s="47"/>
      <c r="B46" s="49" t="s">
        <v>40</v>
      </c>
      <c r="C46" s="47"/>
      <c r="D46" s="47"/>
      <c r="E46" s="47"/>
      <c r="F46" s="46">
        <f>F45*0.01</f>
        <v>9.648484</v>
      </c>
    </row>
    <row r="47">
      <c r="A47" s="47"/>
      <c r="B47" s="49" t="s">
        <v>42</v>
      </c>
      <c r="C47" s="47"/>
      <c r="D47" s="47"/>
      <c r="E47" s="47"/>
      <c r="F47" s="46">
        <f>SUM(F45:F46)</f>
        <v>974.496884</v>
      </c>
    </row>
    <row r="48">
      <c r="A48" s="47"/>
      <c r="B48" s="49" t="s">
        <v>47</v>
      </c>
      <c r="C48" s="47"/>
      <c r="D48" s="47"/>
      <c r="E48" s="47"/>
      <c r="F48" s="46">
        <f>F47*0.15</f>
        <v>146.1745326</v>
      </c>
    </row>
    <row r="49">
      <c r="A49" s="47"/>
      <c r="B49" s="49" t="s">
        <v>42</v>
      </c>
      <c r="C49" s="47"/>
      <c r="D49" s="47"/>
      <c r="E49" s="47"/>
      <c r="F49" s="46">
        <f>SUM(F47:F48)</f>
        <v>1120.671417</v>
      </c>
    </row>
    <row r="50">
      <c r="A50" s="47"/>
      <c r="B50" s="49" t="s">
        <v>134</v>
      </c>
      <c r="C50" s="47"/>
      <c r="D50" s="47"/>
      <c r="E50" s="47"/>
      <c r="F50" s="46">
        <f>F49</f>
        <v>1120.671417</v>
      </c>
    </row>
    <row r="51">
      <c r="A51" s="47"/>
      <c r="B51" s="49" t="s">
        <v>76</v>
      </c>
      <c r="C51" s="47"/>
      <c r="D51" s="47"/>
      <c r="E51" s="47"/>
      <c r="F51" s="51">
        <f>F50/100</f>
        <v>11.20671417</v>
      </c>
    </row>
    <row r="52">
      <c r="A52" s="47"/>
      <c r="B52" s="49" t="s">
        <v>54</v>
      </c>
      <c r="C52" s="47"/>
      <c r="D52" s="47"/>
      <c r="E52" s="47"/>
      <c r="F52" s="51">
        <f>MROUND(F51, 0.05)</f>
        <v>11.2</v>
      </c>
    </row>
    <row r="53">
      <c r="A53" s="36" t="str">
        <f>CONCATENATE("Say ",F39," + ",F52," x Cost Index")</f>
        <v>Say 462.3 + 11.2 x Cost Index</v>
      </c>
      <c r="B53" s="2"/>
      <c r="C53" s="2"/>
      <c r="D53" s="2"/>
      <c r="E53" s="2"/>
      <c r="F53" s="3"/>
    </row>
    <row r="54">
      <c r="A54" s="4">
        <v>0.0</v>
      </c>
      <c r="B54" s="5" t="s">
        <v>302</v>
      </c>
      <c r="C54" s="2"/>
      <c r="D54" s="2"/>
      <c r="E54" s="2"/>
      <c r="F54" s="3"/>
    </row>
    <row r="55">
      <c r="A55" s="4" t="s">
        <v>4</v>
      </c>
      <c r="B55" s="4" t="s">
        <v>6</v>
      </c>
      <c r="C55" s="4" t="s">
        <v>8</v>
      </c>
      <c r="D55" s="4" t="s">
        <v>9</v>
      </c>
      <c r="E55" s="4" t="s">
        <v>10</v>
      </c>
      <c r="F55" s="8" t="s">
        <v>11</v>
      </c>
    </row>
    <row r="56">
      <c r="A56" s="11"/>
      <c r="B56" s="15" t="s">
        <v>14</v>
      </c>
      <c r="C56" s="11"/>
      <c r="D56" s="11"/>
      <c r="E56" s="11"/>
      <c r="F56" s="19"/>
    </row>
    <row r="57">
      <c r="A57" s="20"/>
      <c r="B57" s="15" t="s">
        <v>17</v>
      </c>
      <c r="C57" s="20"/>
      <c r="D57" s="20"/>
      <c r="E57" s="20"/>
      <c r="F57" s="20"/>
    </row>
    <row r="58">
      <c r="A58" s="22" t="s">
        <v>320</v>
      </c>
      <c r="B58" s="18" t="s">
        <v>321</v>
      </c>
      <c r="C58" s="23" t="s">
        <v>22</v>
      </c>
      <c r="D58" s="23">
        <v>100.0</v>
      </c>
      <c r="E58" s="22">
        <f t="array" ref="E58">IFERROR(INDEX(LMRRates,MATCH(A58,LMRCodes,0), ), )</f>
        <v>387</v>
      </c>
      <c r="F58" s="24">
        <f>D58*E58</f>
        <v>38700</v>
      </c>
    </row>
    <row r="59">
      <c r="A59" s="23"/>
      <c r="B59" s="28" t="s">
        <v>31</v>
      </c>
      <c r="C59" s="23"/>
      <c r="D59" s="23"/>
      <c r="E59" s="23"/>
      <c r="F59" s="24">
        <f>SUM(F58)</f>
        <v>38700</v>
      </c>
    </row>
    <row r="60">
      <c r="A60" s="23"/>
      <c r="B60" s="28" t="s">
        <v>40</v>
      </c>
      <c r="C60" s="23"/>
      <c r="D60" s="23"/>
      <c r="E60" s="23"/>
      <c r="F60" s="24">
        <f>F59*0.01</f>
        <v>387</v>
      </c>
    </row>
    <row r="61">
      <c r="A61" s="23"/>
      <c r="B61" s="28" t="s">
        <v>42</v>
      </c>
      <c r="C61" s="23"/>
      <c r="D61" s="23"/>
      <c r="E61" s="23"/>
      <c r="F61" s="24">
        <f>SUM(F59:F60)</f>
        <v>39087</v>
      </c>
    </row>
    <row r="62">
      <c r="A62" s="23">
        <v>114.0</v>
      </c>
      <c r="B62" s="28" t="s">
        <v>47</v>
      </c>
      <c r="C62" s="23"/>
      <c r="D62" s="23"/>
      <c r="E62" s="23"/>
      <c r="F62" s="24">
        <f>F61*0.15</f>
        <v>5863.05</v>
      </c>
    </row>
    <row r="63">
      <c r="A63" s="23">
        <v>115.0</v>
      </c>
      <c r="B63" s="28" t="s">
        <v>42</v>
      </c>
      <c r="C63" s="23"/>
      <c r="D63" s="23"/>
      <c r="E63" s="23"/>
      <c r="F63" s="24">
        <f>SUM(F61:F62)</f>
        <v>44950.05</v>
      </c>
    </row>
    <row r="64">
      <c r="A64" s="23">
        <v>9999.0</v>
      </c>
      <c r="B64" s="28" t="s">
        <v>73</v>
      </c>
      <c r="C64" s="23"/>
      <c r="D64" s="23"/>
      <c r="E64" s="23"/>
      <c r="F64" s="24">
        <f>F63</f>
        <v>44950.05</v>
      </c>
    </row>
    <row r="65">
      <c r="A65" s="23"/>
      <c r="B65" s="28" t="s">
        <v>76</v>
      </c>
      <c r="C65" s="23"/>
      <c r="D65" s="23"/>
      <c r="E65" s="23"/>
      <c r="F65" s="35">
        <f>MROUND((F64/100), 0.05)</f>
        <v>449.5</v>
      </c>
    </row>
    <row r="66">
      <c r="A66" s="23"/>
      <c r="B66" s="15" t="s">
        <v>23</v>
      </c>
      <c r="C66" s="23"/>
      <c r="D66" s="23"/>
      <c r="E66" s="23"/>
      <c r="F66" s="24"/>
    </row>
    <row r="67">
      <c r="A67" s="23">
        <v>2321.0</v>
      </c>
      <c r="B67" s="15" t="s">
        <v>89</v>
      </c>
      <c r="C67" s="23" t="s">
        <v>91</v>
      </c>
      <c r="D67" s="23">
        <v>50.0</v>
      </c>
      <c r="E67" s="22">
        <v>597.0</v>
      </c>
      <c r="F67" s="24">
        <f>E67/2</f>
        <v>298.5</v>
      </c>
    </row>
    <row r="68">
      <c r="A68" s="23">
        <v>114.0</v>
      </c>
      <c r="B68" s="15" t="s">
        <v>97</v>
      </c>
      <c r="C68" s="23" t="s">
        <v>27</v>
      </c>
      <c r="D68" s="23">
        <v>0.5</v>
      </c>
      <c r="E68" s="22">
        <v>645.0</v>
      </c>
      <c r="F68" s="24">
        <f t="shared" ref="F68:F70" si="3">D68*E68</f>
        <v>322.5</v>
      </c>
    </row>
    <row r="69">
      <c r="A69" s="23">
        <v>115.0</v>
      </c>
      <c r="B69" s="15" t="s">
        <v>26</v>
      </c>
      <c r="C69" s="23" t="s">
        <v>27</v>
      </c>
      <c r="D69" s="23">
        <v>0.5</v>
      </c>
      <c r="E69" s="22">
        <v>645.0</v>
      </c>
      <c r="F69" s="24">
        <f t="shared" si="3"/>
        <v>322.5</v>
      </c>
    </row>
    <row r="70">
      <c r="A70" s="23">
        <v>9999.0</v>
      </c>
      <c r="B70" s="15" t="s">
        <v>106</v>
      </c>
      <c r="C70" s="23" t="s">
        <v>107</v>
      </c>
      <c r="D70" s="23">
        <v>10.07</v>
      </c>
      <c r="E70" s="22">
        <v>2.12</v>
      </c>
      <c r="F70" s="24">
        <f t="shared" si="3"/>
        <v>21.3484</v>
      </c>
    </row>
    <row r="71">
      <c r="A71" s="23"/>
      <c r="B71" s="28" t="s">
        <v>31</v>
      </c>
      <c r="C71" s="23"/>
      <c r="D71" s="23"/>
      <c r="E71" s="23"/>
      <c r="F71" s="24">
        <f>SUM(F67:F70)</f>
        <v>964.8484</v>
      </c>
    </row>
    <row r="72">
      <c r="A72" s="23"/>
      <c r="B72" s="28" t="s">
        <v>40</v>
      </c>
      <c r="C72" s="23"/>
      <c r="D72" s="23"/>
      <c r="E72" s="23"/>
      <c r="F72" s="24">
        <f>F71*0.01</f>
        <v>9.648484</v>
      </c>
    </row>
    <row r="73">
      <c r="A73" s="23"/>
      <c r="B73" s="28" t="s">
        <v>42</v>
      </c>
      <c r="C73" s="23"/>
      <c r="D73" s="23"/>
      <c r="E73" s="23"/>
      <c r="F73" s="24">
        <f>SUM(F71:F72)</f>
        <v>974.496884</v>
      </c>
    </row>
    <row r="74">
      <c r="A74" s="23"/>
      <c r="B74" s="28" t="s">
        <v>47</v>
      </c>
      <c r="C74" s="23"/>
      <c r="D74" s="23"/>
      <c r="E74" s="23"/>
      <c r="F74" s="24">
        <f>F73*0.15</f>
        <v>146.1745326</v>
      </c>
    </row>
    <row r="75">
      <c r="A75" s="23"/>
      <c r="B75" s="28" t="s">
        <v>42</v>
      </c>
      <c r="C75" s="23"/>
      <c r="D75" s="23"/>
      <c r="E75" s="23"/>
      <c r="F75" s="24">
        <f>SUM(F73:F74)</f>
        <v>1120.671417</v>
      </c>
    </row>
    <row r="76">
      <c r="A76" s="23"/>
      <c r="B76" s="28" t="s">
        <v>134</v>
      </c>
      <c r="C76" s="23"/>
      <c r="D76" s="23"/>
      <c r="E76" s="23"/>
      <c r="F76" s="24">
        <f>F75</f>
        <v>1120.671417</v>
      </c>
    </row>
    <row r="77">
      <c r="A77" s="23"/>
      <c r="B77" s="28" t="s">
        <v>76</v>
      </c>
      <c r="C77" s="23"/>
      <c r="D77" s="23"/>
      <c r="E77" s="23"/>
      <c r="F77" s="35">
        <f>F76/100</f>
        <v>11.20671417</v>
      </c>
    </row>
    <row r="78">
      <c r="A78" s="23"/>
      <c r="B78" s="28" t="s">
        <v>54</v>
      </c>
      <c r="C78" s="23"/>
      <c r="D78" s="23"/>
      <c r="E78" s="23"/>
      <c r="F78" s="35">
        <f>MROUND(F77, 0.05)</f>
        <v>11.2</v>
      </c>
    </row>
    <row r="79">
      <c r="A79" s="36" t="str">
        <f>CONCATENATE("Say ",F65," + ",F78," x Cost Index")</f>
        <v>Say 449.5 + 11.2 x Cost Index</v>
      </c>
      <c r="B79" s="2"/>
      <c r="C79" s="2"/>
      <c r="D79" s="2"/>
      <c r="E79" s="2"/>
      <c r="F79" s="3"/>
    </row>
    <row r="80">
      <c r="A80" s="37">
        <v>0.0</v>
      </c>
      <c r="B80" s="39" t="s">
        <v>353</v>
      </c>
      <c r="C80" s="2"/>
      <c r="D80" s="2"/>
      <c r="E80" s="2"/>
      <c r="F80" s="3"/>
    </row>
    <row r="81">
      <c r="A81" s="37" t="s">
        <v>4</v>
      </c>
      <c r="B81" s="37" t="s">
        <v>6</v>
      </c>
      <c r="C81" s="37" t="s">
        <v>8</v>
      </c>
      <c r="D81" s="37" t="s">
        <v>9</v>
      </c>
      <c r="E81" s="37" t="s">
        <v>10</v>
      </c>
      <c r="F81" s="40" t="s">
        <v>11</v>
      </c>
    </row>
    <row r="82">
      <c r="A82" s="41"/>
      <c r="B82" s="44" t="s">
        <v>14</v>
      </c>
      <c r="C82" s="41"/>
      <c r="D82" s="41"/>
      <c r="E82" s="41"/>
      <c r="F82" s="43"/>
    </row>
    <row r="83">
      <c r="A83" s="20"/>
      <c r="B83" s="44" t="s">
        <v>17</v>
      </c>
      <c r="C83" s="20"/>
      <c r="D83" s="20"/>
      <c r="E83" s="20"/>
      <c r="F83" s="20"/>
    </row>
    <row r="84">
      <c r="A84" s="45" t="s">
        <v>364</v>
      </c>
      <c r="B84" s="42" t="s">
        <v>366</v>
      </c>
      <c r="C84" s="47" t="s">
        <v>22</v>
      </c>
      <c r="D84" s="47">
        <v>100.0</v>
      </c>
      <c r="E84" s="47">
        <f t="array" ref="E84">IFERROR(INDEX(DerivedRates,MATCH(A84,DerivedCodes,0), ), )</f>
        <v>487</v>
      </c>
      <c r="F84" s="46">
        <f>D84*E84</f>
        <v>48700</v>
      </c>
    </row>
    <row r="85">
      <c r="A85" s="47"/>
      <c r="B85" s="49" t="s">
        <v>31</v>
      </c>
      <c r="C85" s="47"/>
      <c r="D85" s="47"/>
      <c r="E85" s="47"/>
      <c r="F85" s="46">
        <f>SUM(F84)</f>
        <v>48700</v>
      </c>
    </row>
    <row r="86">
      <c r="A86" s="47"/>
      <c r="B86" s="49" t="s">
        <v>40</v>
      </c>
      <c r="C86" s="47"/>
      <c r="D86" s="47"/>
      <c r="E86" s="47"/>
      <c r="F86" s="46">
        <f>F85*0.01</f>
        <v>487</v>
      </c>
    </row>
    <row r="87">
      <c r="A87" s="47"/>
      <c r="B87" s="49" t="s">
        <v>42</v>
      </c>
      <c r="C87" s="47"/>
      <c r="D87" s="47"/>
      <c r="E87" s="47"/>
      <c r="F87" s="46">
        <f>SUM(F85:F86)</f>
        <v>49187</v>
      </c>
    </row>
    <row r="88">
      <c r="A88" s="47"/>
      <c r="B88" s="49" t="s">
        <v>47</v>
      </c>
      <c r="C88" s="47"/>
      <c r="D88" s="47"/>
      <c r="E88" s="47"/>
      <c r="F88" s="46">
        <f>F87*0.15</f>
        <v>7378.05</v>
      </c>
    </row>
    <row r="89">
      <c r="A89" s="47"/>
      <c r="B89" s="49" t="s">
        <v>42</v>
      </c>
      <c r="C89" s="47"/>
      <c r="D89" s="47"/>
      <c r="E89" s="47"/>
      <c r="F89" s="46">
        <f>SUM(F87:F88)</f>
        <v>56565.05</v>
      </c>
    </row>
    <row r="90">
      <c r="A90" s="47"/>
      <c r="B90" s="49" t="s">
        <v>73</v>
      </c>
      <c r="C90" s="47"/>
      <c r="D90" s="47"/>
      <c r="E90" s="47"/>
      <c r="F90" s="46">
        <f>F89</f>
        <v>56565.05</v>
      </c>
    </row>
    <row r="91">
      <c r="A91" s="47"/>
      <c r="B91" s="49" t="s">
        <v>76</v>
      </c>
      <c r="C91" s="47"/>
      <c r="D91" s="47"/>
      <c r="E91" s="47"/>
      <c r="F91" s="51">
        <f>MROUND((F90/100), 0.05)</f>
        <v>565.65</v>
      </c>
    </row>
    <row r="92">
      <c r="A92" s="47"/>
      <c r="B92" s="44" t="s">
        <v>23</v>
      </c>
      <c r="C92" s="47"/>
      <c r="D92" s="47"/>
      <c r="E92" s="47"/>
      <c r="F92" s="46"/>
    </row>
    <row r="93">
      <c r="A93" s="47">
        <v>2321.0</v>
      </c>
      <c r="B93" s="44" t="s">
        <v>89</v>
      </c>
      <c r="C93" s="47" t="s">
        <v>91</v>
      </c>
      <c r="D93" s="47">
        <v>50.0</v>
      </c>
      <c r="E93" s="45">
        <v>597.0</v>
      </c>
      <c r="F93" s="46">
        <f>E93/2</f>
        <v>298.5</v>
      </c>
    </row>
    <row r="94">
      <c r="A94" s="47">
        <v>114.0</v>
      </c>
      <c r="B94" s="44" t="s">
        <v>97</v>
      </c>
      <c r="C94" s="47" t="s">
        <v>27</v>
      </c>
      <c r="D94" s="47">
        <v>0.5</v>
      </c>
      <c r="E94" s="45">
        <v>645.0</v>
      </c>
      <c r="F94" s="46">
        <f t="shared" ref="F94:F96" si="4">E94*D94</f>
        <v>322.5</v>
      </c>
    </row>
    <row r="95">
      <c r="A95" s="47">
        <v>115.0</v>
      </c>
      <c r="B95" s="44" t="s">
        <v>26</v>
      </c>
      <c r="C95" s="47" t="s">
        <v>27</v>
      </c>
      <c r="D95" s="47">
        <v>0.5</v>
      </c>
      <c r="E95" s="45">
        <v>645.0</v>
      </c>
      <c r="F95" s="46">
        <f t="shared" si="4"/>
        <v>322.5</v>
      </c>
    </row>
    <row r="96">
      <c r="A96" s="47">
        <v>9999.0</v>
      </c>
      <c r="B96" s="44" t="s">
        <v>106</v>
      </c>
      <c r="C96" s="47" t="s">
        <v>107</v>
      </c>
      <c r="D96" s="47">
        <v>10.07</v>
      </c>
      <c r="E96" s="45">
        <v>2.12</v>
      </c>
      <c r="F96" s="46">
        <f t="shared" si="4"/>
        <v>21.3484</v>
      </c>
    </row>
    <row r="97">
      <c r="A97" s="47"/>
      <c r="B97" s="49" t="s">
        <v>31</v>
      </c>
      <c r="C97" s="47"/>
      <c r="D97" s="47"/>
      <c r="E97" s="47"/>
      <c r="F97" s="46">
        <f>SUM(F93:F96)</f>
        <v>964.8484</v>
      </c>
    </row>
    <row r="98">
      <c r="A98" s="47"/>
      <c r="B98" s="49" t="s">
        <v>40</v>
      </c>
      <c r="C98" s="47"/>
      <c r="D98" s="47"/>
      <c r="E98" s="47"/>
      <c r="F98" s="46">
        <f>F97*0.01</f>
        <v>9.648484</v>
      </c>
    </row>
    <row r="99">
      <c r="A99" s="47"/>
      <c r="B99" s="49" t="s">
        <v>42</v>
      </c>
      <c r="C99" s="47"/>
      <c r="D99" s="47"/>
      <c r="E99" s="47"/>
      <c r="F99" s="46">
        <f>SUM(F97:F98)</f>
        <v>974.496884</v>
      </c>
    </row>
    <row r="100">
      <c r="A100" s="47"/>
      <c r="B100" s="49" t="s">
        <v>47</v>
      </c>
      <c r="C100" s="47"/>
      <c r="D100" s="47"/>
      <c r="E100" s="47"/>
      <c r="F100" s="46">
        <f>F99*0.15</f>
        <v>146.1745326</v>
      </c>
    </row>
    <row r="101">
      <c r="A101" s="47"/>
      <c r="B101" s="49" t="s">
        <v>42</v>
      </c>
      <c r="C101" s="47"/>
      <c r="D101" s="47"/>
      <c r="E101" s="47"/>
      <c r="F101" s="46">
        <f>SUM(F99:F100)</f>
        <v>1120.671417</v>
      </c>
    </row>
    <row r="102">
      <c r="A102" s="47"/>
      <c r="B102" s="49" t="s">
        <v>134</v>
      </c>
      <c r="C102" s="47"/>
      <c r="D102" s="47"/>
      <c r="E102" s="47"/>
      <c r="F102" s="46">
        <f>F101</f>
        <v>1120.671417</v>
      </c>
    </row>
    <row r="103">
      <c r="A103" s="47"/>
      <c r="B103" s="49" t="s">
        <v>76</v>
      </c>
      <c r="C103" s="47"/>
      <c r="D103" s="47"/>
      <c r="E103" s="47"/>
      <c r="F103" s="51">
        <f>F102/100</f>
        <v>11.20671417</v>
      </c>
    </row>
    <row r="104">
      <c r="A104" s="47"/>
      <c r="B104" s="49" t="s">
        <v>54</v>
      </c>
      <c r="C104" s="47"/>
      <c r="D104" s="47"/>
      <c r="E104" s="47"/>
      <c r="F104" s="51">
        <f>MROUND(F103, 0.05)</f>
        <v>11.2</v>
      </c>
    </row>
    <row r="105">
      <c r="A105" s="36" t="str">
        <f>CONCATENATE("Say ",F91," + ",F104," x Cost Index")</f>
        <v>Say 565.65 + 11.2 x Cost Index</v>
      </c>
      <c r="B105" s="2"/>
      <c r="C105" s="2"/>
      <c r="D105" s="2"/>
      <c r="E105" s="2"/>
      <c r="F105" s="3"/>
    </row>
    <row r="106">
      <c r="A106" s="4">
        <v>0.0</v>
      </c>
      <c r="B106" s="5" t="s">
        <v>514</v>
      </c>
      <c r="C106" s="2"/>
      <c r="D106" s="2"/>
      <c r="E106" s="2"/>
      <c r="F106" s="3"/>
    </row>
    <row r="107">
      <c r="A107" s="4" t="s">
        <v>4</v>
      </c>
      <c r="B107" s="4" t="s">
        <v>6</v>
      </c>
      <c r="C107" s="4" t="s">
        <v>8</v>
      </c>
      <c r="D107" s="4" t="s">
        <v>9</v>
      </c>
      <c r="E107" s="4" t="s">
        <v>10</v>
      </c>
      <c r="F107" s="8" t="s">
        <v>11</v>
      </c>
    </row>
    <row r="108">
      <c r="A108" s="11"/>
      <c r="B108" s="15" t="s">
        <v>14</v>
      </c>
      <c r="C108" s="11"/>
      <c r="D108" s="11"/>
      <c r="E108" s="11"/>
      <c r="F108" s="19"/>
    </row>
    <row r="109">
      <c r="A109" s="20"/>
      <c r="B109" s="15" t="s">
        <v>17</v>
      </c>
      <c r="C109" s="20"/>
      <c r="D109" s="20"/>
      <c r="E109" s="20"/>
      <c r="F109" s="20"/>
    </row>
    <row r="110">
      <c r="A110" s="22" t="s">
        <v>522</v>
      </c>
      <c r="B110" s="18" t="s">
        <v>523</v>
      </c>
      <c r="C110" s="23" t="s">
        <v>22</v>
      </c>
      <c r="D110" s="23">
        <v>100.0</v>
      </c>
      <c r="E110" s="22">
        <f t="array" ref="E110">IFERROR(INDEX(LMRRates,MATCH(A110,LMRCodes,0), ), )</f>
        <v>654</v>
      </c>
      <c r="F110" s="24">
        <f>D110*E110</f>
        <v>65400</v>
      </c>
    </row>
    <row r="111">
      <c r="A111" s="23"/>
      <c r="B111" s="28" t="s">
        <v>31</v>
      </c>
      <c r="C111" s="23"/>
      <c r="D111" s="23"/>
      <c r="E111" s="23"/>
      <c r="F111" s="24">
        <f>SUM(F110)</f>
        <v>65400</v>
      </c>
    </row>
    <row r="112">
      <c r="A112" s="23"/>
      <c r="B112" s="28" t="s">
        <v>40</v>
      </c>
      <c r="C112" s="23"/>
      <c r="D112" s="23"/>
      <c r="E112" s="23"/>
      <c r="F112" s="24">
        <f>F111*0.01</f>
        <v>654</v>
      </c>
    </row>
    <row r="113">
      <c r="A113" s="23"/>
      <c r="B113" s="28" t="s">
        <v>42</v>
      </c>
      <c r="C113" s="23"/>
      <c r="D113" s="23"/>
      <c r="E113" s="23"/>
      <c r="F113" s="24">
        <f>SUM(F111:F112)</f>
        <v>66054</v>
      </c>
    </row>
    <row r="114">
      <c r="A114" s="23"/>
      <c r="B114" s="28" t="s">
        <v>47</v>
      </c>
      <c r="C114" s="23"/>
      <c r="D114" s="23"/>
      <c r="E114" s="23"/>
      <c r="F114" s="24">
        <f>F113*0.15</f>
        <v>9908.1</v>
      </c>
    </row>
    <row r="115">
      <c r="A115" s="23"/>
      <c r="B115" s="28" t="s">
        <v>42</v>
      </c>
      <c r="C115" s="23"/>
      <c r="D115" s="23"/>
      <c r="E115" s="23"/>
      <c r="F115" s="24">
        <f>SUM(F113:F114)</f>
        <v>75962.1</v>
      </c>
    </row>
    <row r="116">
      <c r="A116" s="23"/>
      <c r="B116" s="28" t="s">
        <v>73</v>
      </c>
      <c r="C116" s="23"/>
      <c r="D116" s="23"/>
      <c r="E116" s="23"/>
      <c r="F116" s="24">
        <f>F115</f>
        <v>75962.1</v>
      </c>
    </row>
    <row r="117">
      <c r="A117" s="23"/>
      <c r="B117" s="28" t="s">
        <v>76</v>
      </c>
      <c r="C117" s="23"/>
      <c r="D117" s="23"/>
      <c r="E117" s="23"/>
      <c r="F117" s="35">
        <f>MROUND((F116/100), 0.05)</f>
        <v>759.6</v>
      </c>
    </row>
    <row r="118">
      <c r="A118" s="23"/>
      <c r="B118" s="15" t="s">
        <v>23</v>
      </c>
      <c r="C118" s="23"/>
      <c r="D118" s="23"/>
      <c r="E118" s="23"/>
      <c r="F118" s="24"/>
    </row>
    <row r="119">
      <c r="A119" s="23">
        <v>2321.0</v>
      </c>
      <c r="B119" s="15" t="s">
        <v>89</v>
      </c>
      <c r="C119" s="23" t="s">
        <v>91</v>
      </c>
      <c r="D119" s="23">
        <v>50.0</v>
      </c>
      <c r="E119" s="22">
        <v>597.0</v>
      </c>
      <c r="F119" s="24">
        <f>E119/2</f>
        <v>298.5</v>
      </c>
    </row>
    <row r="120">
      <c r="A120" s="23">
        <v>114.0</v>
      </c>
      <c r="B120" s="15" t="s">
        <v>97</v>
      </c>
      <c r="C120" s="23" t="s">
        <v>27</v>
      </c>
      <c r="D120" s="23">
        <v>0.5</v>
      </c>
      <c r="E120" s="22">
        <v>645.0</v>
      </c>
      <c r="F120" s="24">
        <f t="shared" ref="F120:F122" si="5">D120*E120</f>
        <v>322.5</v>
      </c>
    </row>
    <row r="121">
      <c r="A121" s="23">
        <v>115.0</v>
      </c>
      <c r="B121" s="15" t="s">
        <v>26</v>
      </c>
      <c r="C121" s="23" t="s">
        <v>27</v>
      </c>
      <c r="D121" s="23">
        <v>0.5</v>
      </c>
      <c r="E121" s="22">
        <v>645.0</v>
      </c>
      <c r="F121" s="24">
        <f t="shared" si="5"/>
        <v>322.5</v>
      </c>
    </row>
    <row r="122">
      <c r="A122" s="23">
        <v>9999.0</v>
      </c>
      <c r="B122" s="15" t="s">
        <v>106</v>
      </c>
      <c r="C122" s="23" t="s">
        <v>107</v>
      </c>
      <c r="D122" s="23">
        <v>10.07</v>
      </c>
      <c r="E122" s="22">
        <v>2.12</v>
      </c>
      <c r="F122" s="24">
        <f t="shared" si="5"/>
        <v>21.3484</v>
      </c>
    </row>
    <row r="123">
      <c r="A123" s="23"/>
      <c r="B123" s="28" t="s">
        <v>31</v>
      </c>
      <c r="C123" s="23"/>
      <c r="D123" s="23"/>
      <c r="E123" s="23"/>
      <c r="F123" s="24">
        <f>SUM(F119:F122)</f>
        <v>964.8484</v>
      </c>
    </row>
    <row r="124">
      <c r="A124" s="23"/>
      <c r="B124" s="28" t="s">
        <v>40</v>
      </c>
      <c r="C124" s="23"/>
      <c r="D124" s="23"/>
      <c r="E124" s="23"/>
      <c r="F124" s="24">
        <f>F123*0.01</f>
        <v>9.648484</v>
      </c>
    </row>
    <row r="125">
      <c r="A125" s="23"/>
      <c r="B125" s="28" t="s">
        <v>42</v>
      </c>
      <c r="C125" s="23"/>
      <c r="D125" s="23"/>
      <c r="E125" s="23"/>
      <c r="F125" s="24">
        <f>SUM(F123:F124)</f>
        <v>974.496884</v>
      </c>
    </row>
    <row r="126">
      <c r="A126" s="23"/>
      <c r="B126" s="28" t="s">
        <v>47</v>
      </c>
      <c r="C126" s="23"/>
      <c r="D126" s="23"/>
      <c r="E126" s="23"/>
      <c r="F126" s="24">
        <f>F125*0.15</f>
        <v>146.1745326</v>
      </c>
    </row>
    <row r="127">
      <c r="A127" s="23"/>
      <c r="B127" s="28" t="s">
        <v>42</v>
      </c>
      <c r="C127" s="23"/>
      <c r="D127" s="23"/>
      <c r="E127" s="23"/>
      <c r="F127" s="24">
        <f>SUM(F125:F126)</f>
        <v>1120.671417</v>
      </c>
    </row>
    <row r="128">
      <c r="A128" s="23"/>
      <c r="B128" s="28" t="s">
        <v>134</v>
      </c>
      <c r="C128" s="23"/>
      <c r="D128" s="23"/>
      <c r="E128" s="23"/>
      <c r="F128" s="24">
        <f>F127</f>
        <v>1120.671417</v>
      </c>
    </row>
    <row r="129">
      <c r="A129" s="23"/>
      <c r="B129" s="28" t="s">
        <v>76</v>
      </c>
      <c r="C129" s="23"/>
      <c r="D129" s="23"/>
      <c r="E129" s="23"/>
      <c r="F129" s="35">
        <f>F128/100</f>
        <v>11.20671417</v>
      </c>
    </row>
    <row r="130">
      <c r="A130" s="23"/>
      <c r="B130" s="28" t="s">
        <v>54</v>
      </c>
      <c r="C130" s="23"/>
      <c r="D130" s="23"/>
      <c r="E130" s="23"/>
      <c r="F130" s="35">
        <f>MROUND(F129, 0.05)</f>
        <v>11.2</v>
      </c>
    </row>
    <row r="131">
      <c r="A131" s="36" t="str">
        <f>CONCATENATE("Say ",F117," + ",F130," x Cost Index")</f>
        <v>Say 759.6 + 11.2 x Cost Index</v>
      </c>
      <c r="B131" s="2"/>
      <c r="C131" s="2"/>
      <c r="D131" s="2"/>
      <c r="E131" s="2"/>
      <c r="F131" s="3"/>
    </row>
    <row r="132">
      <c r="A132" s="37">
        <v>0.0</v>
      </c>
      <c r="B132" s="39" t="s">
        <v>601</v>
      </c>
      <c r="C132" s="2"/>
      <c r="D132" s="2"/>
      <c r="E132" s="2"/>
      <c r="F132" s="3"/>
    </row>
    <row r="133">
      <c r="A133" s="37" t="s">
        <v>4</v>
      </c>
      <c r="B133" s="37" t="s">
        <v>6</v>
      </c>
      <c r="C133" s="37" t="s">
        <v>8</v>
      </c>
      <c r="D133" s="37" t="s">
        <v>9</v>
      </c>
      <c r="E133" s="37" t="s">
        <v>10</v>
      </c>
      <c r="F133" s="40" t="s">
        <v>11</v>
      </c>
    </row>
    <row r="134">
      <c r="A134" s="41"/>
      <c r="B134" s="44" t="s">
        <v>14</v>
      </c>
      <c r="C134" s="41"/>
      <c r="D134" s="41"/>
      <c r="E134" s="41"/>
      <c r="F134" s="43"/>
    </row>
    <row r="135">
      <c r="A135" s="20"/>
      <c r="B135" s="44" t="s">
        <v>17</v>
      </c>
      <c r="C135" s="20"/>
      <c r="D135" s="20"/>
      <c r="E135" s="20"/>
      <c r="F135" s="20"/>
    </row>
    <row r="136">
      <c r="A136" s="45" t="s">
        <v>611</v>
      </c>
      <c r="B136" s="42" t="s">
        <v>613</v>
      </c>
      <c r="C136" s="47" t="s">
        <v>22</v>
      </c>
      <c r="D136" s="47">
        <v>100.0</v>
      </c>
      <c r="E136" s="47">
        <f t="array" ref="E136">IFERROR(INDEX(LMRRates,MATCH(A136,LMRCodes,0), ), )</f>
        <v>813</v>
      </c>
      <c r="F136" s="46">
        <f>D136*E136</f>
        <v>81300</v>
      </c>
    </row>
    <row r="137">
      <c r="A137" s="47"/>
      <c r="B137" s="49" t="s">
        <v>31</v>
      </c>
      <c r="C137" s="47"/>
      <c r="D137" s="47"/>
      <c r="E137" s="47"/>
      <c r="F137" s="46">
        <f>SUM(F136)</f>
        <v>81300</v>
      </c>
    </row>
    <row r="138">
      <c r="A138" s="47"/>
      <c r="B138" s="49" t="s">
        <v>40</v>
      </c>
      <c r="C138" s="47"/>
      <c r="D138" s="47"/>
      <c r="E138" s="47"/>
      <c r="F138" s="46">
        <f>F137*0.01</f>
        <v>813</v>
      </c>
    </row>
    <row r="139">
      <c r="A139" s="47"/>
      <c r="B139" s="49" t="s">
        <v>42</v>
      </c>
      <c r="C139" s="47"/>
      <c r="D139" s="47"/>
      <c r="E139" s="47"/>
      <c r="F139" s="46">
        <f>SUM(F137:F138)</f>
        <v>82113</v>
      </c>
    </row>
    <row r="140">
      <c r="A140" s="47"/>
      <c r="B140" s="49" t="s">
        <v>47</v>
      </c>
      <c r="C140" s="47"/>
      <c r="D140" s="47"/>
      <c r="E140" s="47"/>
      <c r="F140" s="46">
        <f>F139*0.15</f>
        <v>12316.95</v>
      </c>
    </row>
    <row r="141">
      <c r="A141" s="47"/>
      <c r="B141" s="49" t="s">
        <v>42</v>
      </c>
      <c r="C141" s="47"/>
      <c r="D141" s="47"/>
      <c r="E141" s="47"/>
      <c r="F141" s="46">
        <f>SUM(F139:F140)</f>
        <v>94429.95</v>
      </c>
    </row>
    <row r="142">
      <c r="A142" s="47"/>
      <c r="B142" s="49" t="s">
        <v>73</v>
      </c>
      <c r="C142" s="47"/>
      <c r="D142" s="47"/>
      <c r="E142" s="47"/>
      <c r="F142" s="46">
        <f>F141</f>
        <v>94429.95</v>
      </c>
    </row>
    <row r="143">
      <c r="A143" s="47"/>
      <c r="B143" s="49" t="s">
        <v>76</v>
      </c>
      <c r="C143" s="47"/>
      <c r="D143" s="47"/>
      <c r="E143" s="47"/>
      <c r="F143" s="51">
        <f>MROUND((F142/100), 0.05)</f>
        <v>944.3</v>
      </c>
    </row>
    <row r="144">
      <c r="A144" s="47"/>
      <c r="B144" s="44" t="s">
        <v>23</v>
      </c>
      <c r="C144" s="47"/>
      <c r="D144" s="47"/>
      <c r="E144" s="47"/>
      <c r="F144" s="46"/>
    </row>
    <row r="145">
      <c r="A145" s="47">
        <v>2321.0</v>
      </c>
      <c r="B145" s="44" t="s">
        <v>89</v>
      </c>
      <c r="C145" s="47" t="s">
        <v>91</v>
      </c>
      <c r="D145" s="47">
        <v>50.0</v>
      </c>
      <c r="E145" s="45">
        <v>597.0</v>
      </c>
      <c r="F145" s="46">
        <f>E145/2</f>
        <v>298.5</v>
      </c>
    </row>
    <row r="146">
      <c r="A146" s="47">
        <v>114.0</v>
      </c>
      <c r="B146" s="44" t="s">
        <v>97</v>
      </c>
      <c r="C146" s="47" t="s">
        <v>27</v>
      </c>
      <c r="D146" s="47">
        <v>0.5</v>
      </c>
      <c r="E146" s="45">
        <v>645.0</v>
      </c>
      <c r="F146" s="46">
        <f t="shared" ref="F146:F147" si="6">D146*E146</f>
        <v>322.5</v>
      </c>
    </row>
    <row r="147">
      <c r="A147" s="47">
        <v>115.0</v>
      </c>
      <c r="B147" s="44" t="s">
        <v>26</v>
      </c>
      <c r="C147" s="47" t="s">
        <v>27</v>
      </c>
      <c r="D147" s="47">
        <v>0.5</v>
      </c>
      <c r="E147" s="45">
        <v>645.0</v>
      </c>
      <c r="F147" s="46">
        <f t="shared" si="6"/>
        <v>322.5</v>
      </c>
    </row>
    <row r="148">
      <c r="A148" s="47">
        <v>9999.0</v>
      </c>
      <c r="B148" s="44" t="s">
        <v>106</v>
      </c>
      <c r="C148" s="47" t="s">
        <v>107</v>
      </c>
      <c r="D148" s="47">
        <v>10.07</v>
      </c>
      <c r="E148" s="45">
        <v>2.12</v>
      </c>
      <c r="F148" s="46">
        <v>20.14</v>
      </c>
    </row>
    <row r="149">
      <c r="A149" s="47"/>
      <c r="B149" s="49" t="s">
        <v>31</v>
      </c>
      <c r="C149" s="47"/>
      <c r="D149" s="47"/>
      <c r="E149" s="47"/>
      <c r="F149" s="46">
        <f>SUM(F145:F148)</f>
        <v>963.64</v>
      </c>
    </row>
    <row r="150">
      <c r="A150" s="47"/>
      <c r="B150" s="49" t="s">
        <v>40</v>
      </c>
      <c r="C150" s="47"/>
      <c r="D150" s="47"/>
      <c r="E150" s="47"/>
      <c r="F150" s="46">
        <f>F149*0.01</f>
        <v>9.6364</v>
      </c>
    </row>
    <row r="151">
      <c r="A151" s="47"/>
      <c r="B151" s="49" t="s">
        <v>42</v>
      </c>
      <c r="C151" s="47"/>
      <c r="D151" s="47"/>
      <c r="E151" s="47"/>
      <c r="F151" s="46">
        <f>SUM(F149:F150)</f>
        <v>973.2764</v>
      </c>
    </row>
    <row r="152">
      <c r="A152" s="47"/>
      <c r="B152" s="49" t="s">
        <v>47</v>
      </c>
      <c r="C152" s="47"/>
      <c r="D152" s="47"/>
      <c r="E152" s="47"/>
      <c r="F152" s="46">
        <f>F151*0.15</f>
        <v>145.99146</v>
      </c>
    </row>
    <row r="153">
      <c r="A153" s="47"/>
      <c r="B153" s="49" t="s">
        <v>42</v>
      </c>
      <c r="C153" s="47"/>
      <c r="D153" s="47"/>
      <c r="E153" s="47"/>
      <c r="F153" s="46">
        <f>SUM(F151:F152)</f>
        <v>1119.26786</v>
      </c>
    </row>
    <row r="154">
      <c r="A154" s="47"/>
      <c r="B154" s="49" t="s">
        <v>134</v>
      </c>
      <c r="C154" s="47"/>
      <c r="D154" s="47"/>
      <c r="E154" s="47"/>
      <c r="F154" s="46">
        <f>F153</f>
        <v>1119.26786</v>
      </c>
    </row>
    <row r="155">
      <c r="A155" s="47"/>
      <c r="B155" s="49" t="s">
        <v>76</v>
      </c>
      <c r="C155" s="47"/>
      <c r="D155" s="47"/>
      <c r="E155" s="47"/>
      <c r="F155" s="51">
        <f>F154/100</f>
        <v>11.1926786</v>
      </c>
    </row>
    <row r="156">
      <c r="A156" s="47"/>
      <c r="B156" s="49" t="s">
        <v>54</v>
      </c>
      <c r="C156" s="47"/>
      <c r="D156" s="47"/>
      <c r="E156" s="47"/>
      <c r="F156" s="51">
        <f>MROUND(F155, 0.05)</f>
        <v>11.2</v>
      </c>
    </row>
    <row r="157">
      <c r="A157" s="36" t="str">
        <f>CONCATENATE("Say ",F143," + ",F156," x Cost Index")</f>
        <v>Say 944.3 + 11.2 x Cost Index</v>
      </c>
      <c r="B157" s="2"/>
      <c r="C157" s="2"/>
      <c r="D157" s="2"/>
      <c r="E157" s="2"/>
      <c r="F157" s="3"/>
    </row>
    <row r="158">
      <c r="A158" s="4">
        <v>0.0</v>
      </c>
      <c r="B158" s="5" t="s">
        <v>702</v>
      </c>
      <c r="C158" s="2"/>
      <c r="D158" s="2"/>
      <c r="E158" s="2"/>
      <c r="F158" s="3"/>
    </row>
    <row r="159">
      <c r="A159" s="4" t="s">
        <v>4</v>
      </c>
      <c r="B159" s="4" t="s">
        <v>6</v>
      </c>
      <c r="C159" s="4" t="s">
        <v>8</v>
      </c>
      <c r="D159" s="4" t="s">
        <v>9</v>
      </c>
      <c r="E159" s="4" t="s">
        <v>10</v>
      </c>
      <c r="F159" s="8" t="s">
        <v>11</v>
      </c>
    </row>
    <row r="160">
      <c r="A160" s="11"/>
      <c r="B160" s="15" t="s">
        <v>14</v>
      </c>
      <c r="C160" s="11"/>
      <c r="D160" s="11"/>
      <c r="E160" s="11"/>
      <c r="F160" s="19"/>
    </row>
    <row r="161">
      <c r="A161" s="20"/>
      <c r="B161" s="15" t="s">
        <v>17</v>
      </c>
      <c r="C161" s="20"/>
      <c r="D161" s="20"/>
      <c r="E161" s="20"/>
      <c r="F161" s="20"/>
    </row>
    <row r="162">
      <c r="A162" s="22" t="s">
        <v>706</v>
      </c>
      <c r="B162" s="18" t="s">
        <v>707</v>
      </c>
      <c r="C162" s="23" t="s">
        <v>22</v>
      </c>
      <c r="D162" s="23">
        <v>100.0</v>
      </c>
      <c r="E162" s="22">
        <f t="array" ref="E162">IFERROR(INDEX(LMRRates,MATCH(A162,LMRCodes,0), ), )</f>
        <v>957</v>
      </c>
      <c r="F162" s="24">
        <f>D162*E162</f>
        <v>95700</v>
      </c>
    </row>
    <row r="163">
      <c r="A163" s="23"/>
      <c r="B163" s="28" t="s">
        <v>31</v>
      </c>
      <c r="C163" s="23"/>
      <c r="D163" s="23"/>
      <c r="E163" s="23"/>
      <c r="F163" s="24">
        <f>SUM(F162)</f>
        <v>95700</v>
      </c>
    </row>
    <row r="164">
      <c r="A164" s="23"/>
      <c r="B164" s="28" t="s">
        <v>40</v>
      </c>
      <c r="C164" s="23"/>
      <c r="D164" s="23"/>
      <c r="E164" s="23"/>
      <c r="F164" s="24">
        <f>F163*0.01</f>
        <v>957</v>
      </c>
    </row>
    <row r="165">
      <c r="A165" s="23"/>
      <c r="B165" s="28" t="s">
        <v>42</v>
      </c>
      <c r="C165" s="23"/>
      <c r="D165" s="23"/>
      <c r="E165" s="23"/>
      <c r="F165" s="24">
        <f>SUM(F163:F164)</f>
        <v>96657</v>
      </c>
    </row>
    <row r="166">
      <c r="A166" s="23"/>
      <c r="B166" s="28" t="s">
        <v>47</v>
      </c>
      <c r="C166" s="23"/>
      <c r="D166" s="23"/>
      <c r="E166" s="23"/>
      <c r="F166" s="24">
        <f>F165*0.15</f>
        <v>14498.55</v>
      </c>
    </row>
    <row r="167">
      <c r="A167" s="23"/>
      <c r="B167" s="28" t="s">
        <v>42</v>
      </c>
      <c r="C167" s="23"/>
      <c r="D167" s="23"/>
      <c r="E167" s="23"/>
      <c r="F167" s="24">
        <f>SUM(F165:F166)</f>
        <v>111155.55</v>
      </c>
    </row>
    <row r="168">
      <c r="A168" s="23"/>
      <c r="B168" s="28" t="s">
        <v>73</v>
      </c>
      <c r="C168" s="23"/>
      <c r="D168" s="23"/>
      <c r="E168" s="23"/>
      <c r="F168" s="24">
        <f>F167</f>
        <v>111155.55</v>
      </c>
    </row>
    <row r="169">
      <c r="A169" s="23"/>
      <c r="B169" s="28" t="s">
        <v>76</v>
      </c>
      <c r="C169" s="23"/>
      <c r="D169" s="23"/>
      <c r="E169" s="23"/>
      <c r="F169" s="35">
        <f>MROUND((F168/100), 0.05)</f>
        <v>1111.55</v>
      </c>
    </row>
    <row r="170">
      <c r="A170" s="23"/>
      <c r="B170" s="15" t="s">
        <v>23</v>
      </c>
      <c r="C170" s="23"/>
      <c r="D170" s="23"/>
      <c r="E170" s="23"/>
      <c r="F170" s="24"/>
    </row>
    <row r="171">
      <c r="A171" s="23">
        <v>2321.0</v>
      </c>
      <c r="B171" s="15" t="s">
        <v>89</v>
      </c>
      <c r="C171" s="23" t="s">
        <v>91</v>
      </c>
      <c r="D171" s="23">
        <v>50.0</v>
      </c>
      <c r="E171" s="22">
        <v>597.0</v>
      </c>
      <c r="F171" s="24">
        <f>E171/2</f>
        <v>298.5</v>
      </c>
    </row>
    <row r="172">
      <c r="A172" s="23">
        <v>114.0</v>
      </c>
      <c r="B172" s="15" t="s">
        <v>97</v>
      </c>
      <c r="C172" s="23" t="s">
        <v>27</v>
      </c>
      <c r="D172" s="23">
        <v>0.5</v>
      </c>
      <c r="E172" s="22">
        <v>645.0</v>
      </c>
      <c r="F172" s="24">
        <f t="shared" ref="F172:F173" si="7">D172*E172</f>
        <v>322.5</v>
      </c>
    </row>
    <row r="173">
      <c r="A173" s="23">
        <v>115.0</v>
      </c>
      <c r="B173" s="15" t="s">
        <v>26</v>
      </c>
      <c r="C173" s="23" t="s">
        <v>27</v>
      </c>
      <c r="D173" s="23">
        <v>0.5</v>
      </c>
      <c r="E173" s="22">
        <v>645.0</v>
      </c>
      <c r="F173" s="24">
        <f t="shared" si="7"/>
        <v>322.5</v>
      </c>
    </row>
    <row r="174">
      <c r="A174" s="23">
        <v>9999.0</v>
      </c>
      <c r="B174" s="15" t="s">
        <v>106</v>
      </c>
      <c r="C174" s="23" t="s">
        <v>107</v>
      </c>
      <c r="D174" s="23">
        <v>10.07</v>
      </c>
      <c r="E174" s="22">
        <v>2.12</v>
      </c>
      <c r="F174" s="24">
        <v>20.14</v>
      </c>
    </row>
    <row r="175">
      <c r="A175" s="23"/>
      <c r="B175" s="28" t="s">
        <v>31</v>
      </c>
      <c r="C175" s="23"/>
      <c r="D175" s="23"/>
      <c r="E175" s="23"/>
      <c r="F175" s="24">
        <f>SUM(F171:F174)</f>
        <v>963.64</v>
      </c>
    </row>
    <row r="176">
      <c r="A176" s="23"/>
      <c r="B176" s="28" t="s">
        <v>40</v>
      </c>
      <c r="C176" s="23"/>
      <c r="D176" s="23"/>
      <c r="E176" s="23"/>
      <c r="F176" s="24">
        <f>F175*0.01</f>
        <v>9.6364</v>
      </c>
    </row>
    <row r="177">
      <c r="A177" s="23"/>
      <c r="B177" s="28" t="s">
        <v>42</v>
      </c>
      <c r="C177" s="23"/>
      <c r="D177" s="23"/>
      <c r="E177" s="23"/>
      <c r="F177" s="24">
        <f>SUM(F175:F176)</f>
        <v>973.2764</v>
      </c>
    </row>
    <row r="178">
      <c r="A178" s="23"/>
      <c r="B178" s="28" t="s">
        <v>47</v>
      </c>
      <c r="C178" s="23"/>
      <c r="D178" s="23"/>
      <c r="E178" s="23"/>
      <c r="F178" s="24">
        <f>F177*0.15</f>
        <v>145.99146</v>
      </c>
    </row>
    <row r="179">
      <c r="A179" s="23"/>
      <c r="B179" s="28" t="s">
        <v>42</v>
      </c>
      <c r="C179" s="23"/>
      <c r="D179" s="23"/>
      <c r="E179" s="23"/>
      <c r="F179" s="24">
        <f>SUM(F177:F178)</f>
        <v>1119.26786</v>
      </c>
    </row>
    <row r="180">
      <c r="A180" s="23"/>
      <c r="B180" s="28" t="s">
        <v>134</v>
      </c>
      <c r="C180" s="23"/>
      <c r="D180" s="23"/>
      <c r="E180" s="23"/>
      <c r="F180" s="24">
        <f>F179</f>
        <v>1119.26786</v>
      </c>
    </row>
    <row r="181">
      <c r="A181" s="23"/>
      <c r="B181" s="28" t="s">
        <v>76</v>
      </c>
      <c r="C181" s="23"/>
      <c r="D181" s="23"/>
      <c r="E181" s="23"/>
      <c r="F181" s="35">
        <f>F180/100</f>
        <v>11.1926786</v>
      </c>
    </row>
    <row r="182">
      <c r="A182" s="23"/>
      <c r="B182" s="28" t="s">
        <v>54</v>
      </c>
      <c r="C182" s="23"/>
      <c r="D182" s="23"/>
      <c r="E182" s="23"/>
      <c r="F182" s="35">
        <f>MROUND(F181, 0.05)</f>
        <v>11.2</v>
      </c>
    </row>
    <row r="183">
      <c r="A183" s="36" t="str">
        <f>CONCATENATE("Say ",F169," + ",F182," x Cost Index")</f>
        <v>Say 1111.55 + 11.2 x Cost Index</v>
      </c>
      <c r="B183" s="2"/>
      <c r="C183" s="2"/>
      <c r="D183" s="2"/>
      <c r="E183" s="2"/>
      <c r="F183" s="3"/>
    </row>
    <row r="184">
      <c r="A184" s="37">
        <v>0.0</v>
      </c>
      <c r="B184" s="39" t="s">
        <v>758</v>
      </c>
      <c r="C184" s="2"/>
      <c r="D184" s="2"/>
      <c r="E184" s="2"/>
      <c r="F184" s="3"/>
    </row>
    <row r="185">
      <c r="A185" s="37" t="s">
        <v>4</v>
      </c>
      <c r="B185" s="37" t="s">
        <v>6</v>
      </c>
      <c r="C185" s="37" t="s">
        <v>8</v>
      </c>
      <c r="D185" s="37" t="s">
        <v>9</v>
      </c>
      <c r="E185" s="37" t="s">
        <v>10</v>
      </c>
      <c r="F185" s="40" t="s">
        <v>11</v>
      </c>
    </row>
    <row r="186">
      <c r="A186" s="41"/>
      <c r="B186" s="44" t="s">
        <v>14</v>
      </c>
      <c r="C186" s="41"/>
      <c r="D186" s="41"/>
      <c r="E186" s="41"/>
      <c r="F186" s="43"/>
    </row>
    <row r="187">
      <c r="A187" s="20"/>
      <c r="B187" s="44" t="s">
        <v>17</v>
      </c>
      <c r="C187" s="20"/>
      <c r="D187" s="20"/>
      <c r="E187" s="20"/>
      <c r="F187" s="20"/>
    </row>
    <row r="188">
      <c r="A188" s="45" t="s">
        <v>767</v>
      </c>
      <c r="B188" s="42" t="s">
        <v>768</v>
      </c>
      <c r="C188" s="47" t="s">
        <v>22</v>
      </c>
      <c r="D188" s="47">
        <v>100.0</v>
      </c>
      <c r="E188" s="45">
        <f t="array" ref="E188">IFERROR(INDEX(LMRRates,MATCH(A188,LMRCodes,0), ), )</f>
        <v>180</v>
      </c>
      <c r="F188" s="46">
        <f>D188*E188</f>
        <v>18000</v>
      </c>
    </row>
    <row r="189">
      <c r="A189" s="47"/>
      <c r="B189" s="49" t="s">
        <v>31</v>
      </c>
      <c r="C189" s="47"/>
      <c r="D189" s="47"/>
      <c r="E189" s="47"/>
      <c r="F189" s="46">
        <f>SUM(F188)</f>
        <v>18000</v>
      </c>
    </row>
    <row r="190">
      <c r="A190" s="47"/>
      <c r="B190" s="49" t="s">
        <v>40</v>
      </c>
      <c r="C190" s="47"/>
      <c r="D190" s="47"/>
      <c r="E190" s="47"/>
      <c r="F190" s="46">
        <f>F189*0.01</f>
        <v>180</v>
      </c>
    </row>
    <row r="191">
      <c r="A191" s="47"/>
      <c r="B191" s="49" t="s">
        <v>42</v>
      </c>
      <c r="C191" s="47"/>
      <c r="D191" s="47"/>
      <c r="E191" s="47"/>
      <c r="F191" s="46">
        <f>SUM(F189:F190)</f>
        <v>18180</v>
      </c>
    </row>
    <row r="192">
      <c r="A192" s="47"/>
      <c r="B192" s="49" t="s">
        <v>47</v>
      </c>
      <c r="C192" s="47"/>
      <c r="D192" s="47"/>
      <c r="E192" s="47"/>
      <c r="F192" s="46">
        <f>F191*0.15</f>
        <v>2727</v>
      </c>
    </row>
    <row r="193">
      <c r="A193" s="47"/>
      <c r="B193" s="49" t="s">
        <v>42</v>
      </c>
      <c r="C193" s="47"/>
      <c r="D193" s="47"/>
      <c r="E193" s="47"/>
      <c r="F193" s="46">
        <f>SUM(F191:F192)</f>
        <v>20907</v>
      </c>
    </row>
    <row r="194">
      <c r="A194" s="47"/>
      <c r="B194" s="49" t="s">
        <v>73</v>
      </c>
      <c r="C194" s="47"/>
      <c r="D194" s="47"/>
      <c r="E194" s="47"/>
      <c r="F194" s="46">
        <f>F193</f>
        <v>20907</v>
      </c>
    </row>
    <row r="195">
      <c r="A195" s="47"/>
      <c r="B195" s="49" t="s">
        <v>76</v>
      </c>
      <c r="C195" s="47"/>
      <c r="D195" s="47"/>
      <c r="E195" s="47"/>
      <c r="F195" s="51">
        <f>MROUND((F194/100), 0.05)</f>
        <v>209.05</v>
      </c>
    </row>
    <row r="196">
      <c r="A196" s="47"/>
      <c r="B196" s="44" t="s">
        <v>23</v>
      </c>
      <c r="C196" s="47"/>
      <c r="D196" s="47"/>
      <c r="E196" s="47"/>
      <c r="F196" s="46"/>
    </row>
    <row r="197">
      <c r="A197" s="47">
        <v>2321.0</v>
      </c>
      <c r="B197" s="44" t="s">
        <v>89</v>
      </c>
      <c r="C197" s="47" t="s">
        <v>91</v>
      </c>
      <c r="D197" s="47">
        <v>50.0</v>
      </c>
      <c r="E197" s="45">
        <v>597.0</v>
      </c>
      <c r="F197" s="46">
        <f>E197/2</f>
        <v>298.5</v>
      </c>
    </row>
    <row r="198">
      <c r="A198" s="47">
        <v>114.0</v>
      </c>
      <c r="B198" s="44" t="s">
        <v>97</v>
      </c>
      <c r="C198" s="47" t="s">
        <v>27</v>
      </c>
      <c r="D198" s="47">
        <v>0.5</v>
      </c>
      <c r="E198" s="45">
        <v>645.0</v>
      </c>
      <c r="F198" s="46">
        <f t="shared" ref="F198:F200" si="8">D198*E198</f>
        <v>322.5</v>
      </c>
    </row>
    <row r="199">
      <c r="A199" s="47">
        <v>115.0</v>
      </c>
      <c r="B199" s="44" t="s">
        <v>26</v>
      </c>
      <c r="C199" s="47" t="s">
        <v>27</v>
      </c>
      <c r="D199" s="47">
        <v>0.5</v>
      </c>
      <c r="E199" s="45">
        <v>645.0</v>
      </c>
      <c r="F199" s="46">
        <f t="shared" si="8"/>
        <v>322.5</v>
      </c>
    </row>
    <row r="200">
      <c r="A200" s="47">
        <v>9999.0</v>
      </c>
      <c r="B200" s="44" t="s">
        <v>106</v>
      </c>
      <c r="C200" s="47" t="s">
        <v>107</v>
      </c>
      <c r="D200" s="47">
        <v>10.07</v>
      </c>
      <c r="E200" s="45">
        <v>2.12</v>
      </c>
      <c r="F200" s="46">
        <f t="shared" si="8"/>
        <v>21.3484</v>
      </c>
    </row>
    <row r="201">
      <c r="A201" s="47"/>
      <c r="B201" s="49" t="s">
        <v>31</v>
      </c>
      <c r="C201" s="47"/>
      <c r="D201" s="47"/>
      <c r="E201" s="47"/>
      <c r="F201" s="46">
        <f>SUM(F197:F200)</f>
        <v>964.8484</v>
      </c>
    </row>
    <row r="202">
      <c r="A202" s="47"/>
      <c r="B202" s="49" t="s">
        <v>40</v>
      </c>
      <c r="C202" s="47"/>
      <c r="D202" s="47"/>
      <c r="E202" s="47"/>
      <c r="F202" s="46">
        <f>F201*0.01</f>
        <v>9.648484</v>
      </c>
    </row>
    <row r="203">
      <c r="A203" s="47"/>
      <c r="B203" s="49" t="s">
        <v>42</v>
      </c>
      <c r="C203" s="47"/>
      <c r="D203" s="47"/>
      <c r="E203" s="47"/>
      <c r="F203" s="46">
        <f>SUM(F201:F202)</f>
        <v>974.496884</v>
      </c>
    </row>
    <row r="204">
      <c r="A204" s="47"/>
      <c r="B204" s="49" t="s">
        <v>47</v>
      </c>
      <c r="C204" s="47"/>
      <c r="D204" s="47"/>
      <c r="E204" s="47"/>
      <c r="F204" s="46">
        <f>F203*0.15</f>
        <v>146.1745326</v>
      </c>
    </row>
    <row r="205">
      <c r="A205" s="47"/>
      <c r="B205" s="49" t="s">
        <v>42</v>
      </c>
      <c r="C205" s="47"/>
      <c r="D205" s="47"/>
      <c r="E205" s="47"/>
      <c r="F205" s="46">
        <f>SUM(F203:F204)</f>
        <v>1120.671417</v>
      </c>
    </row>
    <row r="206">
      <c r="A206" s="47"/>
      <c r="B206" s="49" t="s">
        <v>134</v>
      </c>
      <c r="C206" s="47"/>
      <c r="D206" s="47"/>
      <c r="E206" s="47"/>
      <c r="F206" s="46">
        <f>F205</f>
        <v>1120.671417</v>
      </c>
    </row>
    <row r="207">
      <c r="A207" s="47"/>
      <c r="B207" s="49" t="s">
        <v>76</v>
      </c>
      <c r="C207" s="47"/>
      <c r="D207" s="47"/>
      <c r="E207" s="47"/>
      <c r="F207" s="51">
        <f>F206/100</f>
        <v>11.20671417</v>
      </c>
    </row>
    <row r="208">
      <c r="A208" s="47"/>
      <c r="B208" s="49" t="s">
        <v>54</v>
      </c>
      <c r="C208" s="47"/>
      <c r="D208" s="47"/>
      <c r="E208" s="47"/>
      <c r="F208" s="51">
        <f>MROUND(F207, 0.05)</f>
        <v>11.2</v>
      </c>
    </row>
    <row r="209">
      <c r="A209" s="36" t="str">
        <f>CONCATENATE("Say ",F195," + ",F208," x Cost Index")</f>
        <v>Say 209.05 + 11.2 x Cost Index</v>
      </c>
      <c r="B209" s="2"/>
      <c r="C209" s="2"/>
      <c r="D209" s="2"/>
      <c r="E209" s="2"/>
      <c r="F209" s="3"/>
    </row>
    <row r="210">
      <c r="A210" s="4">
        <v>0.0</v>
      </c>
      <c r="B210" s="5" t="s">
        <v>808</v>
      </c>
      <c r="C210" s="2"/>
      <c r="D210" s="2"/>
      <c r="E210" s="2"/>
      <c r="F210" s="3"/>
    </row>
    <row r="211">
      <c r="A211" s="4" t="s">
        <v>4</v>
      </c>
      <c r="B211" s="4" t="s">
        <v>6</v>
      </c>
      <c r="C211" s="4" t="s">
        <v>8</v>
      </c>
      <c r="D211" s="4" t="s">
        <v>9</v>
      </c>
      <c r="E211" s="4" t="s">
        <v>10</v>
      </c>
      <c r="F211" s="8" t="s">
        <v>11</v>
      </c>
    </row>
    <row r="212">
      <c r="A212" s="11"/>
      <c r="B212" s="15" t="s">
        <v>14</v>
      </c>
      <c r="C212" s="11"/>
      <c r="D212" s="11"/>
      <c r="E212" s="11"/>
      <c r="F212" s="19"/>
    </row>
    <row r="213">
      <c r="A213" s="20"/>
      <c r="B213" s="15" t="s">
        <v>17</v>
      </c>
      <c r="C213" s="20"/>
      <c r="D213" s="20"/>
      <c r="E213" s="20"/>
      <c r="F213" s="20"/>
    </row>
    <row r="214">
      <c r="A214" s="22" t="s">
        <v>812</v>
      </c>
      <c r="B214" s="18" t="s">
        <v>814</v>
      </c>
      <c r="C214" s="23" t="s">
        <v>22</v>
      </c>
      <c r="D214" s="23">
        <v>100.0</v>
      </c>
      <c r="E214" s="22">
        <v>170.0</v>
      </c>
      <c r="F214" s="24">
        <f>D214*E214</f>
        <v>17000</v>
      </c>
    </row>
    <row r="215">
      <c r="A215" s="23"/>
      <c r="B215" s="28" t="s">
        <v>31</v>
      </c>
      <c r="C215" s="23"/>
      <c r="D215" s="23"/>
      <c r="E215" s="23"/>
      <c r="F215" s="24">
        <f>SUM(F214)</f>
        <v>17000</v>
      </c>
    </row>
    <row r="216">
      <c r="A216" s="23"/>
      <c r="B216" s="28" t="s">
        <v>40</v>
      </c>
      <c r="C216" s="23"/>
      <c r="D216" s="23"/>
      <c r="E216" s="23"/>
      <c r="F216" s="24">
        <f>F215*0.01</f>
        <v>170</v>
      </c>
    </row>
    <row r="217">
      <c r="A217" s="23"/>
      <c r="B217" s="28" t="s">
        <v>42</v>
      </c>
      <c r="C217" s="23"/>
      <c r="D217" s="23"/>
      <c r="E217" s="23"/>
      <c r="F217" s="24">
        <f>SUM(F215:F216)</f>
        <v>17170</v>
      </c>
    </row>
    <row r="218">
      <c r="A218" s="23"/>
      <c r="B218" s="28" t="s">
        <v>47</v>
      </c>
      <c r="C218" s="23"/>
      <c r="D218" s="23"/>
      <c r="E218" s="23"/>
      <c r="F218" s="24">
        <f>F217*0.15</f>
        <v>2575.5</v>
      </c>
    </row>
    <row r="219">
      <c r="A219" s="23"/>
      <c r="B219" s="28" t="s">
        <v>42</v>
      </c>
      <c r="C219" s="23"/>
      <c r="D219" s="23"/>
      <c r="E219" s="23"/>
      <c r="F219" s="24">
        <f>SUM(F217:F218)</f>
        <v>19745.5</v>
      </c>
    </row>
    <row r="220">
      <c r="A220" s="23"/>
      <c r="B220" s="28" t="s">
        <v>73</v>
      </c>
      <c r="C220" s="23"/>
      <c r="D220" s="23"/>
      <c r="E220" s="23"/>
      <c r="F220" s="24">
        <f>F219</f>
        <v>19745.5</v>
      </c>
    </row>
    <row r="221">
      <c r="A221" s="23"/>
      <c r="B221" s="28" t="s">
        <v>76</v>
      </c>
      <c r="C221" s="23"/>
      <c r="D221" s="23"/>
      <c r="E221" s="23"/>
      <c r="F221" s="35">
        <f>MROUND((F220/100), 0.05)</f>
        <v>197.45</v>
      </c>
    </row>
    <row r="222">
      <c r="A222" s="23"/>
      <c r="B222" s="15" t="s">
        <v>23</v>
      </c>
      <c r="C222" s="23"/>
      <c r="D222" s="23"/>
      <c r="E222" s="23"/>
      <c r="F222" s="24"/>
    </row>
    <row r="223">
      <c r="A223" s="23">
        <v>2321.0</v>
      </c>
      <c r="B223" s="15" t="s">
        <v>89</v>
      </c>
      <c r="C223" s="23" t="s">
        <v>91</v>
      </c>
      <c r="D223" s="23">
        <v>50.0</v>
      </c>
      <c r="E223" s="22">
        <v>597.0</v>
      </c>
      <c r="F223" s="24">
        <f>E223/2</f>
        <v>298.5</v>
      </c>
    </row>
    <row r="224">
      <c r="A224" s="23">
        <v>114.0</v>
      </c>
      <c r="B224" s="15" t="s">
        <v>97</v>
      </c>
      <c r="C224" s="23" t="s">
        <v>27</v>
      </c>
      <c r="D224" s="23">
        <v>0.5</v>
      </c>
      <c r="E224" s="22">
        <v>645.0</v>
      </c>
      <c r="F224" s="24">
        <f t="shared" ref="F224:F226" si="9">D224*E224</f>
        <v>322.5</v>
      </c>
    </row>
    <row r="225">
      <c r="A225" s="23">
        <v>115.0</v>
      </c>
      <c r="B225" s="15" t="s">
        <v>26</v>
      </c>
      <c r="C225" s="23" t="s">
        <v>27</v>
      </c>
      <c r="D225" s="23">
        <v>0.5</v>
      </c>
      <c r="E225" s="22">
        <v>645.0</v>
      </c>
      <c r="F225" s="24">
        <f t="shared" si="9"/>
        <v>322.5</v>
      </c>
    </row>
    <row r="226">
      <c r="A226" s="23">
        <v>9999.0</v>
      </c>
      <c r="B226" s="15" t="s">
        <v>106</v>
      </c>
      <c r="C226" s="23" t="s">
        <v>107</v>
      </c>
      <c r="D226" s="23">
        <v>10.07</v>
      </c>
      <c r="E226" s="22">
        <v>2.12</v>
      </c>
      <c r="F226" s="24">
        <f t="shared" si="9"/>
        <v>21.3484</v>
      </c>
    </row>
    <row r="227">
      <c r="A227" s="23"/>
      <c r="B227" s="28" t="s">
        <v>31</v>
      </c>
      <c r="C227" s="23"/>
      <c r="D227" s="23"/>
      <c r="E227" s="23"/>
      <c r="F227" s="24">
        <f>SUM(F223:F226)</f>
        <v>964.8484</v>
      </c>
    </row>
    <row r="228">
      <c r="A228" s="23"/>
      <c r="B228" s="28" t="s">
        <v>40</v>
      </c>
      <c r="C228" s="23"/>
      <c r="D228" s="23"/>
      <c r="E228" s="23"/>
      <c r="F228" s="24">
        <f>F227*0.01</f>
        <v>9.648484</v>
      </c>
    </row>
    <row r="229">
      <c r="A229" s="23"/>
      <c r="B229" s="28" t="s">
        <v>42</v>
      </c>
      <c r="C229" s="23"/>
      <c r="D229" s="23"/>
      <c r="E229" s="23"/>
      <c r="F229" s="24">
        <f>SUM(F227:F228)</f>
        <v>974.496884</v>
      </c>
    </row>
    <row r="230">
      <c r="A230" s="23"/>
      <c r="B230" s="28" t="s">
        <v>47</v>
      </c>
      <c r="C230" s="23"/>
      <c r="D230" s="23"/>
      <c r="E230" s="23"/>
      <c r="F230" s="24">
        <f>F229*0.15</f>
        <v>146.1745326</v>
      </c>
    </row>
    <row r="231">
      <c r="A231" s="23"/>
      <c r="B231" s="28" t="s">
        <v>42</v>
      </c>
      <c r="C231" s="23"/>
      <c r="D231" s="23"/>
      <c r="E231" s="23"/>
      <c r="F231" s="24">
        <f>SUM(F229:F230)</f>
        <v>1120.671417</v>
      </c>
    </row>
    <row r="232">
      <c r="A232" s="23"/>
      <c r="B232" s="28" t="s">
        <v>134</v>
      </c>
      <c r="C232" s="23"/>
      <c r="D232" s="23"/>
      <c r="E232" s="23"/>
      <c r="F232" s="24">
        <f>F231</f>
        <v>1120.671417</v>
      </c>
    </row>
    <row r="233">
      <c r="A233" s="23"/>
      <c r="B233" s="28" t="s">
        <v>76</v>
      </c>
      <c r="C233" s="23"/>
      <c r="D233" s="23"/>
      <c r="E233" s="23"/>
      <c r="F233" s="35">
        <f>F232/100</f>
        <v>11.20671417</v>
      </c>
    </row>
    <row r="234">
      <c r="A234" s="23"/>
      <c r="B234" s="28" t="s">
        <v>54</v>
      </c>
      <c r="C234" s="23"/>
      <c r="D234" s="23"/>
      <c r="E234" s="23"/>
      <c r="F234" s="35">
        <f>MROUND(F233, 0.05)</f>
        <v>11.2</v>
      </c>
    </row>
    <row r="235">
      <c r="A235" s="36" t="str">
        <f>CONCATENATE("Say ",F221," + ",F234," x Cost Index")</f>
        <v>Say 197.45 + 11.2 x Cost Index</v>
      </c>
      <c r="B235" s="2"/>
      <c r="C235" s="2"/>
      <c r="D235" s="2"/>
      <c r="E235" s="2"/>
      <c r="F235" s="3"/>
    </row>
    <row r="236">
      <c r="A236" s="37">
        <v>0.0</v>
      </c>
      <c r="B236" s="39" t="s">
        <v>825</v>
      </c>
      <c r="C236" s="2"/>
      <c r="D236" s="2"/>
      <c r="E236" s="2"/>
      <c r="F236" s="3"/>
    </row>
    <row r="237">
      <c r="A237" s="37" t="s">
        <v>4</v>
      </c>
      <c r="B237" s="37" t="s">
        <v>6</v>
      </c>
      <c r="C237" s="37" t="s">
        <v>8</v>
      </c>
      <c r="D237" s="37" t="s">
        <v>9</v>
      </c>
      <c r="E237" s="37" t="s">
        <v>10</v>
      </c>
      <c r="F237" s="40" t="s">
        <v>11</v>
      </c>
    </row>
    <row r="238">
      <c r="A238" s="41"/>
      <c r="B238" s="44" t="s">
        <v>14</v>
      </c>
      <c r="C238" s="41"/>
      <c r="D238" s="41"/>
      <c r="E238" s="41"/>
      <c r="F238" s="43"/>
    </row>
    <row r="239">
      <c r="A239" s="20"/>
      <c r="B239" s="44" t="s">
        <v>17</v>
      </c>
      <c r="C239" s="20"/>
      <c r="D239" s="20"/>
      <c r="E239" s="20"/>
      <c r="F239" s="20"/>
    </row>
    <row r="240">
      <c r="A240" s="45" t="s">
        <v>829</v>
      </c>
      <c r="B240" s="42" t="s">
        <v>830</v>
      </c>
      <c r="C240" s="47" t="s">
        <v>22</v>
      </c>
      <c r="D240" s="47">
        <v>100.0</v>
      </c>
      <c r="E240" s="45">
        <f t="array" ref="E240">IFERROR(INDEX(LMRRates,MATCH(A240,LMRCodes,0), ), )</f>
        <v>480</v>
      </c>
      <c r="F240" s="46">
        <f>D240*E240</f>
        <v>48000</v>
      </c>
    </row>
    <row r="241">
      <c r="A241" s="47"/>
      <c r="B241" s="49" t="s">
        <v>31</v>
      </c>
      <c r="C241" s="47"/>
      <c r="D241" s="47"/>
      <c r="E241" s="47"/>
      <c r="F241" s="46">
        <f>SUM(F240)</f>
        <v>48000</v>
      </c>
    </row>
    <row r="242">
      <c r="A242" s="47"/>
      <c r="B242" s="49" t="s">
        <v>40</v>
      </c>
      <c r="C242" s="47"/>
      <c r="D242" s="47"/>
      <c r="E242" s="47"/>
      <c r="F242" s="46">
        <f>F241*0.01</f>
        <v>480</v>
      </c>
    </row>
    <row r="243">
      <c r="A243" s="47"/>
      <c r="B243" s="49" t="s">
        <v>42</v>
      </c>
      <c r="C243" s="47"/>
      <c r="D243" s="47"/>
      <c r="E243" s="47"/>
      <c r="F243" s="46">
        <f>SUM(F241:F242)</f>
        <v>48480</v>
      </c>
    </row>
    <row r="244">
      <c r="A244" s="47"/>
      <c r="B244" s="49" t="s">
        <v>47</v>
      </c>
      <c r="C244" s="47"/>
      <c r="D244" s="47"/>
      <c r="E244" s="47"/>
      <c r="F244" s="46">
        <f>F243*0.15</f>
        <v>7272</v>
      </c>
    </row>
    <row r="245">
      <c r="A245" s="47"/>
      <c r="B245" s="49" t="s">
        <v>42</v>
      </c>
      <c r="C245" s="47"/>
      <c r="D245" s="47"/>
      <c r="E245" s="47"/>
      <c r="F245" s="46">
        <f>SUM(F243:F244)</f>
        <v>55752</v>
      </c>
    </row>
    <row r="246">
      <c r="A246" s="47"/>
      <c r="B246" s="49" t="s">
        <v>73</v>
      </c>
      <c r="C246" s="47"/>
      <c r="D246" s="47"/>
      <c r="E246" s="47"/>
      <c r="F246" s="46">
        <f>F245</f>
        <v>55752</v>
      </c>
    </row>
    <row r="247">
      <c r="A247" s="47"/>
      <c r="B247" s="49" t="s">
        <v>76</v>
      </c>
      <c r="C247" s="47"/>
      <c r="D247" s="47"/>
      <c r="E247" s="47"/>
      <c r="F247" s="51">
        <f>MROUND((F246/100), 0.05)</f>
        <v>557.5</v>
      </c>
    </row>
    <row r="248">
      <c r="A248" s="47"/>
      <c r="B248" s="44" t="s">
        <v>23</v>
      </c>
      <c r="C248" s="47"/>
      <c r="D248" s="47"/>
      <c r="E248" s="47"/>
      <c r="F248" s="46"/>
    </row>
    <row r="249">
      <c r="A249" s="47">
        <v>2321.0</v>
      </c>
      <c r="B249" s="44" t="s">
        <v>89</v>
      </c>
      <c r="C249" s="47" t="s">
        <v>91</v>
      </c>
      <c r="D249" s="47">
        <v>50.0</v>
      </c>
      <c r="E249" s="45">
        <v>597.0</v>
      </c>
      <c r="F249" s="46">
        <f>E249/2</f>
        <v>298.5</v>
      </c>
    </row>
    <row r="250">
      <c r="A250" s="47">
        <v>114.0</v>
      </c>
      <c r="B250" s="44" t="s">
        <v>97</v>
      </c>
      <c r="C250" s="47" t="s">
        <v>27</v>
      </c>
      <c r="D250" s="47">
        <v>0.5</v>
      </c>
      <c r="E250" s="45">
        <v>645.0</v>
      </c>
      <c r="F250" s="46">
        <f t="shared" ref="F250:F252" si="10">D250*E250</f>
        <v>322.5</v>
      </c>
    </row>
    <row r="251">
      <c r="A251" s="47">
        <v>115.0</v>
      </c>
      <c r="B251" s="44" t="s">
        <v>26</v>
      </c>
      <c r="C251" s="47" t="s">
        <v>27</v>
      </c>
      <c r="D251" s="47">
        <v>0.5</v>
      </c>
      <c r="E251" s="45">
        <v>645.0</v>
      </c>
      <c r="F251" s="46">
        <f t="shared" si="10"/>
        <v>322.5</v>
      </c>
    </row>
    <row r="252">
      <c r="A252" s="47">
        <v>9999.0</v>
      </c>
      <c r="B252" s="44" t="s">
        <v>106</v>
      </c>
      <c r="C252" s="47" t="s">
        <v>107</v>
      </c>
      <c r="D252" s="47">
        <v>10.07</v>
      </c>
      <c r="E252" s="45">
        <v>2.12</v>
      </c>
      <c r="F252" s="46">
        <f t="shared" si="10"/>
        <v>21.3484</v>
      </c>
    </row>
    <row r="253">
      <c r="A253" s="47"/>
      <c r="B253" s="49" t="s">
        <v>31</v>
      </c>
      <c r="C253" s="47"/>
      <c r="D253" s="47"/>
      <c r="E253" s="47"/>
      <c r="F253" s="46">
        <f>SUM(F249:F252)</f>
        <v>964.8484</v>
      </c>
    </row>
    <row r="254">
      <c r="A254" s="47"/>
      <c r="B254" s="49" t="s">
        <v>40</v>
      </c>
      <c r="C254" s="47"/>
      <c r="D254" s="47"/>
      <c r="E254" s="47"/>
      <c r="F254" s="46">
        <f>F253*0.01</f>
        <v>9.648484</v>
      </c>
    </row>
    <row r="255">
      <c r="A255" s="47"/>
      <c r="B255" s="49" t="s">
        <v>42</v>
      </c>
      <c r="C255" s="47"/>
      <c r="D255" s="47"/>
      <c r="E255" s="47"/>
      <c r="F255" s="46">
        <f>SUM(F253:F254)</f>
        <v>974.496884</v>
      </c>
    </row>
    <row r="256">
      <c r="A256" s="47"/>
      <c r="B256" s="49" t="s">
        <v>47</v>
      </c>
      <c r="C256" s="47"/>
      <c r="D256" s="47"/>
      <c r="E256" s="47"/>
      <c r="F256" s="46">
        <f>F255*0.15</f>
        <v>146.1745326</v>
      </c>
    </row>
    <row r="257">
      <c r="A257" s="47"/>
      <c r="B257" s="49" t="s">
        <v>42</v>
      </c>
      <c r="C257" s="47"/>
      <c r="D257" s="47"/>
      <c r="E257" s="47"/>
      <c r="F257" s="46">
        <f>SUM(F255:F256)</f>
        <v>1120.671417</v>
      </c>
    </row>
    <row r="258">
      <c r="A258" s="47"/>
      <c r="B258" s="49" t="s">
        <v>134</v>
      </c>
      <c r="C258" s="47"/>
      <c r="D258" s="47"/>
      <c r="E258" s="47"/>
      <c r="F258" s="46">
        <f>F257</f>
        <v>1120.671417</v>
      </c>
    </row>
    <row r="259">
      <c r="A259" s="47"/>
      <c r="B259" s="49" t="s">
        <v>76</v>
      </c>
      <c r="C259" s="47"/>
      <c r="D259" s="47"/>
      <c r="E259" s="47"/>
      <c r="F259" s="51">
        <f>F258/100</f>
        <v>11.20671417</v>
      </c>
    </row>
    <row r="260">
      <c r="A260" s="47"/>
      <c r="B260" s="49" t="s">
        <v>54</v>
      </c>
      <c r="C260" s="47"/>
      <c r="D260" s="47"/>
      <c r="E260" s="47"/>
      <c r="F260" s="51">
        <f>MROUND(F259, 0.05)</f>
        <v>11.2</v>
      </c>
    </row>
    <row r="261">
      <c r="A261" s="36" t="str">
        <f>CONCATENATE("Say ",F247," + ",F260," x Cost Index")</f>
        <v>Say 557.5 + 11.2 x Cost Index</v>
      </c>
      <c r="B261" s="2"/>
      <c r="C261" s="2"/>
      <c r="D261" s="2"/>
      <c r="E261" s="2"/>
      <c r="F261" s="3"/>
    </row>
    <row r="262">
      <c r="A262" s="4">
        <v>0.0</v>
      </c>
      <c r="B262" s="5" t="s">
        <v>848</v>
      </c>
      <c r="C262" s="2"/>
      <c r="D262" s="2"/>
      <c r="E262" s="2"/>
      <c r="F262" s="3"/>
    </row>
    <row r="263">
      <c r="A263" s="4" t="s">
        <v>4</v>
      </c>
      <c r="B263" s="4" t="s">
        <v>6</v>
      </c>
      <c r="C263" s="4" t="s">
        <v>8</v>
      </c>
      <c r="D263" s="4" t="s">
        <v>9</v>
      </c>
      <c r="E263" s="4" t="s">
        <v>10</v>
      </c>
      <c r="F263" s="8" t="s">
        <v>11</v>
      </c>
    </row>
    <row r="264">
      <c r="A264" s="11"/>
      <c r="B264" s="15" t="s">
        <v>14</v>
      </c>
      <c r="C264" s="11"/>
      <c r="D264" s="11"/>
      <c r="E264" s="11"/>
      <c r="F264" s="19"/>
    </row>
    <row r="265">
      <c r="A265" s="20"/>
      <c r="B265" s="15" t="s">
        <v>17</v>
      </c>
      <c r="C265" s="20"/>
      <c r="D265" s="20"/>
      <c r="E265" s="20"/>
      <c r="F265" s="20"/>
    </row>
    <row r="266">
      <c r="A266" s="22" t="s">
        <v>852</v>
      </c>
      <c r="B266" s="18" t="s">
        <v>853</v>
      </c>
      <c r="C266" s="23" t="s">
        <v>22</v>
      </c>
      <c r="D266" s="23">
        <v>100.0</v>
      </c>
      <c r="E266" s="23">
        <f t="array" ref="E266">IFERROR(INDEX(DerivedRates,MATCH(A266,DerivedCodes,0), ), )</f>
        <v>787</v>
      </c>
      <c r="F266" s="24">
        <f>D266*E266</f>
        <v>78700</v>
      </c>
    </row>
    <row r="267">
      <c r="A267" s="23"/>
      <c r="B267" s="28" t="s">
        <v>31</v>
      </c>
      <c r="C267" s="23"/>
      <c r="D267" s="23"/>
      <c r="E267" s="23"/>
      <c r="F267" s="24">
        <f>SUM(F266)</f>
        <v>78700</v>
      </c>
    </row>
    <row r="268">
      <c r="A268" s="23"/>
      <c r="B268" s="28" t="s">
        <v>40</v>
      </c>
      <c r="C268" s="23"/>
      <c r="D268" s="23"/>
      <c r="E268" s="23"/>
      <c r="F268" s="24">
        <f>F267*0.01</f>
        <v>787</v>
      </c>
    </row>
    <row r="269">
      <c r="A269" s="23"/>
      <c r="B269" s="28" t="s">
        <v>42</v>
      </c>
      <c r="C269" s="23"/>
      <c r="D269" s="23"/>
      <c r="E269" s="23"/>
      <c r="F269" s="24">
        <f>SUM(F267:F268)</f>
        <v>79487</v>
      </c>
    </row>
    <row r="270">
      <c r="A270" s="23"/>
      <c r="B270" s="28" t="s">
        <v>47</v>
      </c>
      <c r="C270" s="23"/>
      <c r="D270" s="23"/>
      <c r="E270" s="23"/>
      <c r="F270" s="24">
        <f>F269*0.15</f>
        <v>11923.05</v>
      </c>
    </row>
    <row r="271">
      <c r="A271" s="23"/>
      <c r="B271" s="28" t="s">
        <v>42</v>
      </c>
      <c r="C271" s="23"/>
      <c r="D271" s="23"/>
      <c r="E271" s="23"/>
      <c r="F271" s="24">
        <f>SUM(F269:F270)</f>
        <v>91410.05</v>
      </c>
    </row>
    <row r="272">
      <c r="A272" s="23"/>
      <c r="B272" s="28" t="s">
        <v>73</v>
      </c>
      <c r="C272" s="23"/>
      <c r="D272" s="23"/>
      <c r="E272" s="23"/>
      <c r="F272" s="24">
        <f>F271</f>
        <v>91410.05</v>
      </c>
    </row>
    <row r="273">
      <c r="A273" s="23"/>
      <c r="B273" s="28" t="s">
        <v>76</v>
      </c>
      <c r="C273" s="23"/>
      <c r="D273" s="23"/>
      <c r="E273" s="23"/>
      <c r="F273" s="35">
        <f>MROUND((F272/100), 0.05)</f>
        <v>914.1</v>
      </c>
    </row>
    <row r="274">
      <c r="A274" s="23"/>
      <c r="B274" s="15" t="s">
        <v>23</v>
      </c>
      <c r="C274" s="23"/>
      <c r="D274" s="23"/>
      <c r="E274" s="23"/>
      <c r="F274" s="24"/>
    </row>
    <row r="275">
      <c r="A275" s="23">
        <v>2321.0</v>
      </c>
      <c r="B275" s="15" t="s">
        <v>89</v>
      </c>
      <c r="C275" s="23" t="s">
        <v>91</v>
      </c>
      <c r="D275" s="23">
        <v>50.0</v>
      </c>
      <c r="E275" s="22">
        <v>597.0</v>
      </c>
      <c r="F275" s="24">
        <f>E275/2</f>
        <v>298.5</v>
      </c>
    </row>
    <row r="276">
      <c r="A276" s="23">
        <v>114.0</v>
      </c>
      <c r="B276" s="15" t="s">
        <v>97</v>
      </c>
      <c r="C276" s="23" t="s">
        <v>27</v>
      </c>
      <c r="D276" s="23">
        <v>0.5</v>
      </c>
      <c r="E276" s="22">
        <v>645.0</v>
      </c>
      <c r="F276" s="24">
        <f t="shared" ref="F276:F278" si="11">D276*E276</f>
        <v>322.5</v>
      </c>
    </row>
    <row r="277">
      <c r="A277" s="23">
        <v>115.0</v>
      </c>
      <c r="B277" s="15" t="s">
        <v>26</v>
      </c>
      <c r="C277" s="23" t="s">
        <v>27</v>
      </c>
      <c r="D277" s="23">
        <v>0.5</v>
      </c>
      <c r="E277" s="22">
        <v>645.0</v>
      </c>
      <c r="F277" s="24">
        <f t="shared" si="11"/>
        <v>322.5</v>
      </c>
    </row>
    <row r="278">
      <c r="A278" s="23">
        <v>9999.0</v>
      </c>
      <c r="B278" s="15" t="s">
        <v>106</v>
      </c>
      <c r="C278" s="23" t="s">
        <v>107</v>
      </c>
      <c r="D278" s="23">
        <v>10.07</v>
      </c>
      <c r="E278" s="22">
        <v>2.12</v>
      </c>
      <c r="F278" s="24">
        <f t="shared" si="11"/>
        <v>21.3484</v>
      </c>
    </row>
    <row r="279">
      <c r="A279" s="23"/>
      <c r="B279" s="28" t="s">
        <v>31</v>
      </c>
      <c r="C279" s="23"/>
      <c r="D279" s="23"/>
      <c r="E279" s="23"/>
      <c r="F279" s="24">
        <f>SUM(F275:F278)</f>
        <v>964.8484</v>
      </c>
    </row>
    <row r="280">
      <c r="A280" s="23"/>
      <c r="B280" s="28" t="s">
        <v>40</v>
      </c>
      <c r="C280" s="23"/>
      <c r="D280" s="23"/>
      <c r="E280" s="23"/>
      <c r="F280" s="24">
        <f>F279*0.01</f>
        <v>9.648484</v>
      </c>
    </row>
    <row r="281">
      <c r="A281" s="23"/>
      <c r="B281" s="28" t="s">
        <v>42</v>
      </c>
      <c r="C281" s="23"/>
      <c r="D281" s="23"/>
      <c r="E281" s="23"/>
      <c r="F281" s="24">
        <f>SUM(F279:F280)</f>
        <v>974.496884</v>
      </c>
    </row>
    <row r="282">
      <c r="A282" s="23"/>
      <c r="B282" s="28" t="s">
        <v>47</v>
      </c>
      <c r="C282" s="23"/>
      <c r="D282" s="23"/>
      <c r="E282" s="23"/>
      <c r="F282" s="24">
        <f>F281*0.15</f>
        <v>146.1745326</v>
      </c>
    </row>
    <row r="283">
      <c r="A283" s="23"/>
      <c r="B283" s="28" t="s">
        <v>42</v>
      </c>
      <c r="C283" s="23"/>
      <c r="D283" s="23"/>
      <c r="E283" s="23"/>
      <c r="F283" s="24">
        <f>SUM(F281:F282)</f>
        <v>1120.671417</v>
      </c>
    </row>
    <row r="284">
      <c r="A284" s="23"/>
      <c r="B284" s="28" t="s">
        <v>134</v>
      </c>
      <c r="C284" s="23"/>
      <c r="D284" s="23"/>
      <c r="E284" s="23"/>
      <c r="F284" s="24">
        <f>F283</f>
        <v>1120.671417</v>
      </c>
    </row>
    <row r="285">
      <c r="A285" s="23"/>
      <c r="B285" s="28" t="s">
        <v>76</v>
      </c>
      <c r="C285" s="23"/>
      <c r="D285" s="23"/>
      <c r="E285" s="23"/>
      <c r="F285" s="35">
        <f>F284/100</f>
        <v>11.20671417</v>
      </c>
    </row>
    <row r="286">
      <c r="A286" s="23"/>
      <c r="B286" s="28" t="s">
        <v>54</v>
      </c>
      <c r="C286" s="23"/>
      <c r="D286" s="23"/>
      <c r="E286" s="23"/>
      <c r="F286" s="35">
        <f>MROUND(F285, 0.05)</f>
        <v>11.2</v>
      </c>
    </row>
    <row r="287">
      <c r="A287" s="36" t="str">
        <f>CONCATENATE("Say ",F273," + ",F286," x Cost Index")</f>
        <v>Say 914.1 + 11.2 x Cost Index</v>
      </c>
      <c r="B287" s="2"/>
      <c r="C287" s="2"/>
      <c r="D287" s="2"/>
      <c r="E287" s="2"/>
      <c r="F287" s="3"/>
    </row>
  </sheetData>
  <mergeCells count="78">
    <mergeCell ref="A183:F183"/>
    <mergeCell ref="B184:F184"/>
    <mergeCell ref="A186:A187"/>
    <mergeCell ref="C186:C187"/>
    <mergeCell ref="D186:D187"/>
    <mergeCell ref="E186:E187"/>
    <mergeCell ref="F186:F187"/>
    <mergeCell ref="A209:F209"/>
    <mergeCell ref="B210:F210"/>
    <mergeCell ref="A212:A213"/>
    <mergeCell ref="C212:C213"/>
    <mergeCell ref="D212:D213"/>
    <mergeCell ref="E212:E213"/>
    <mergeCell ref="F212:F213"/>
    <mergeCell ref="A261:F261"/>
    <mergeCell ref="B262:F262"/>
    <mergeCell ref="A264:A265"/>
    <mergeCell ref="C264:C265"/>
    <mergeCell ref="D264:D265"/>
    <mergeCell ref="E264:E265"/>
    <mergeCell ref="F264:F265"/>
    <mergeCell ref="A287:F287"/>
    <mergeCell ref="A235:F235"/>
    <mergeCell ref="B236:F236"/>
    <mergeCell ref="A238:A239"/>
    <mergeCell ref="C238:C239"/>
    <mergeCell ref="D238:D239"/>
    <mergeCell ref="E238:E239"/>
    <mergeCell ref="F238:F239"/>
    <mergeCell ref="A1:F1"/>
    <mergeCell ref="B2:F2"/>
    <mergeCell ref="A4:A5"/>
    <mergeCell ref="C4:C5"/>
    <mergeCell ref="D4:D5"/>
    <mergeCell ref="E4:E5"/>
    <mergeCell ref="F4:F5"/>
    <mergeCell ref="A27:F27"/>
    <mergeCell ref="B28:F28"/>
    <mergeCell ref="A30:A31"/>
    <mergeCell ref="C30:C31"/>
    <mergeCell ref="D30:D31"/>
    <mergeCell ref="E30:E31"/>
    <mergeCell ref="F30:F31"/>
    <mergeCell ref="A53:F53"/>
    <mergeCell ref="B54:F54"/>
    <mergeCell ref="A56:A57"/>
    <mergeCell ref="C56:C57"/>
    <mergeCell ref="D56:D57"/>
    <mergeCell ref="E56:E57"/>
    <mergeCell ref="F56:F57"/>
    <mergeCell ref="A79:F79"/>
    <mergeCell ref="B80:F80"/>
    <mergeCell ref="A82:A83"/>
    <mergeCell ref="C82:C83"/>
    <mergeCell ref="D82:D83"/>
    <mergeCell ref="E82:E83"/>
    <mergeCell ref="F82:F83"/>
    <mergeCell ref="A105:F105"/>
    <mergeCell ref="B106:F106"/>
    <mergeCell ref="A108:A109"/>
    <mergeCell ref="C108:C109"/>
    <mergeCell ref="D108:D109"/>
    <mergeCell ref="E108:E109"/>
    <mergeCell ref="F108:F109"/>
    <mergeCell ref="A131:F131"/>
    <mergeCell ref="B132:F132"/>
    <mergeCell ref="A134:A135"/>
    <mergeCell ref="C134:C135"/>
    <mergeCell ref="D134:D135"/>
    <mergeCell ref="E134:E135"/>
    <mergeCell ref="F134:F135"/>
    <mergeCell ref="A157:F157"/>
    <mergeCell ref="B158:F158"/>
    <mergeCell ref="A160:A161"/>
    <mergeCell ref="C160:C161"/>
    <mergeCell ref="D160:D161"/>
    <mergeCell ref="E160:E161"/>
    <mergeCell ref="F160:F161"/>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15.0"/>
    <col customWidth="1" min="2" max="2" width="45.71"/>
    <col customWidth="1" min="3" max="3" width="7.71"/>
    <col customWidth="1" min="4" max="4" width="11.14"/>
    <col customWidth="1" min="5" max="5" width="6.29"/>
    <col customWidth="1" min="6" max="6" width="9.71"/>
  </cols>
  <sheetData>
    <row r="1">
      <c r="A1" s="1" t="s">
        <v>1</v>
      </c>
      <c r="B1" s="2"/>
      <c r="C1" s="2"/>
      <c r="D1" s="2"/>
      <c r="E1" s="2"/>
      <c r="F1" s="3"/>
    </row>
    <row r="2">
      <c r="A2" s="4">
        <v>0.0</v>
      </c>
      <c r="B2" s="5" t="s">
        <v>326</v>
      </c>
      <c r="C2" s="2"/>
      <c r="D2" s="2"/>
      <c r="E2" s="2"/>
      <c r="F2" s="3"/>
    </row>
    <row r="3">
      <c r="A3" s="4" t="s">
        <v>4</v>
      </c>
      <c r="B3" s="4" t="s">
        <v>6</v>
      </c>
      <c r="C3" s="4" t="s">
        <v>8</v>
      </c>
      <c r="D3" s="4" t="s">
        <v>9</v>
      </c>
      <c r="E3" s="4" t="s">
        <v>10</v>
      </c>
      <c r="F3" s="8" t="s">
        <v>11</v>
      </c>
    </row>
    <row r="4">
      <c r="A4" s="23"/>
      <c r="B4" s="15" t="s">
        <v>14</v>
      </c>
      <c r="C4" s="23"/>
      <c r="D4" s="23"/>
      <c r="E4" s="23"/>
      <c r="F4" s="24"/>
    </row>
    <row r="5">
      <c r="A5" s="23"/>
      <c r="B5" s="15" t="s">
        <v>23</v>
      </c>
      <c r="C5" s="23"/>
      <c r="D5" s="23"/>
      <c r="E5" s="23"/>
      <c r="F5" s="24"/>
    </row>
    <row r="6">
      <c r="A6" s="23">
        <v>2321.0</v>
      </c>
      <c r="B6" s="15" t="s">
        <v>89</v>
      </c>
      <c r="C6" s="23" t="s">
        <v>91</v>
      </c>
      <c r="D6" s="23">
        <v>50.0</v>
      </c>
      <c r="E6" s="22">
        <v>597.0</v>
      </c>
      <c r="F6" s="24">
        <f>E6/2</f>
        <v>298.5</v>
      </c>
    </row>
    <row r="7">
      <c r="A7" s="23">
        <v>114.0</v>
      </c>
      <c r="B7" s="15" t="s">
        <v>97</v>
      </c>
      <c r="C7" s="23" t="s">
        <v>27</v>
      </c>
      <c r="D7" s="23">
        <v>0.5</v>
      </c>
      <c r="E7" s="22">
        <v>645.0</v>
      </c>
      <c r="F7" s="24">
        <f t="shared" ref="F7:F9" si="1">E7*D7</f>
        <v>322.5</v>
      </c>
    </row>
    <row r="8">
      <c r="A8" s="23">
        <v>115.0</v>
      </c>
      <c r="B8" s="15" t="s">
        <v>26</v>
      </c>
      <c r="C8" s="23" t="s">
        <v>27</v>
      </c>
      <c r="D8" s="23">
        <v>0.5</v>
      </c>
      <c r="E8" s="22">
        <v>645.0</v>
      </c>
      <c r="F8" s="24">
        <f t="shared" si="1"/>
        <v>322.5</v>
      </c>
    </row>
    <row r="9">
      <c r="A9" s="23">
        <v>9999.0</v>
      </c>
      <c r="B9" s="15" t="s">
        <v>106</v>
      </c>
      <c r="C9" s="23" t="s">
        <v>107</v>
      </c>
      <c r="D9" s="23">
        <v>10.07</v>
      </c>
      <c r="E9" s="22">
        <v>2.12</v>
      </c>
      <c r="F9" s="24">
        <f t="shared" si="1"/>
        <v>21.3484</v>
      </c>
    </row>
    <row r="10">
      <c r="A10" s="23"/>
      <c r="B10" s="28" t="s">
        <v>31</v>
      </c>
      <c r="C10" s="23"/>
      <c r="D10" s="23"/>
      <c r="E10" s="23"/>
      <c r="F10" s="24">
        <f>SUM(F6:F9)</f>
        <v>964.8484</v>
      </c>
    </row>
    <row r="11">
      <c r="A11" s="23"/>
      <c r="B11" s="28" t="s">
        <v>40</v>
      </c>
      <c r="C11" s="23"/>
      <c r="D11" s="23"/>
      <c r="E11" s="23"/>
      <c r="F11" s="24">
        <f>F10*0.01</f>
        <v>9.648484</v>
      </c>
    </row>
    <row r="12">
      <c r="A12" s="23"/>
      <c r="B12" s="28" t="s">
        <v>42</v>
      </c>
      <c r="C12" s="23"/>
      <c r="D12" s="23"/>
      <c r="E12" s="23"/>
      <c r="F12" s="24">
        <f>SUM(F10:F11)</f>
        <v>974.496884</v>
      </c>
    </row>
    <row r="13">
      <c r="A13" s="23"/>
      <c r="B13" s="28" t="s">
        <v>47</v>
      </c>
      <c r="C13" s="23"/>
      <c r="D13" s="23"/>
      <c r="E13" s="23"/>
      <c r="F13" s="24">
        <f>F12*0.15</f>
        <v>146.1745326</v>
      </c>
    </row>
    <row r="14">
      <c r="A14" s="23"/>
      <c r="B14" s="28" t="s">
        <v>42</v>
      </c>
      <c r="C14" s="23"/>
      <c r="D14" s="23"/>
      <c r="E14" s="23"/>
      <c r="F14" s="24">
        <f>SUM(F12:F13)</f>
        <v>1120.671417</v>
      </c>
    </row>
    <row r="15">
      <c r="A15" s="23"/>
      <c r="B15" s="28" t="s">
        <v>134</v>
      </c>
      <c r="C15" s="23"/>
      <c r="D15" s="23"/>
      <c r="E15" s="23"/>
      <c r="F15" s="24">
        <f>F14</f>
        <v>1120.671417</v>
      </c>
    </row>
    <row r="16">
      <c r="A16" s="23"/>
      <c r="B16" s="28" t="s">
        <v>76</v>
      </c>
      <c r="C16" s="23"/>
      <c r="D16" s="23"/>
      <c r="E16" s="23"/>
      <c r="F16" s="35">
        <f>F15/100</f>
        <v>11.20671417</v>
      </c>
    </row>
    <row r="17">
      <c r="A17" s="23"/>
      <c r="B17" s="28" t="s">
        <v>54</v>
      </c>
      <c r="C17" s="23"/>
      <c r="D17" s="23"/>
      <c r="E17" s="23"/>
      <c r="F17" s="35">
        <f>MROUND(F16, 0.05)</f>
        <v>11.2</v>
      </c>
    </row>
    <row r="18">
      <c r="A18" s="36" t="str">
        <f>CONCATENATE("Say ",F17," x Cost Index")</f>
        <v>Say 11.2 x Cost Index</v>
      </c>
      <c r="B18" s="2"/>
      <c r="C18" s="2"/>
      <c r="D18" s="2"/>
      <c r="E18" s="2"/>
      <c r="F18" s="3"/>
    </row>
  </sheetData>
  <mergeCells count="3">
    <mergeCell ref="A1:F1"/>
    <mergeCell ref="B2:F2"/>
    <mergeCell ref="A18:F18"/>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2" max="2" width="68.29"/>
  </cols>
  <sheetData>
    <row r="1">
      <c r="A1" s="54" t="s">
        <v>354</v>
      </c>
      <c r="B1" s="54" t="s">
        <v>357</v>
      </c>
      <c r="C1" s="54" t="s">
        <v>358</v>
      </c>
      <c r="D1" s="54" t="s">
        <v>8</v>
      </c>
    </row>
    <row r="2">
      <c r="A2" s="55" t="s">
        <v>359</v>
      </c>
      <c r="B2" s="56" t="s">
        <v>361</v>
      </c>
      <c r="C2" s="55">
        <v>193.76</v>
      </c>
      <c r="D2" s="55" t="s">
        <v>43</v>
      </c>
    </row>
    <row r="3">
      <c r="A3" s="57" t="s">
        <v>362</v>
      </c>
      <c r="B3" s="58" t="s">
        <v>363</v>
      </c>
      <c r="C3" s="57">
        <v>452.76</v>
      </c>
      <c r="D3" s="57" t="s">
        <v>43</v>
      </c>
    </row>
    <row r="4">
      <c r="A4" s="55" t="s">
        <v>365</v>
      </c>
      <c r="B4" s="56" t="s">
        <v>367</v>
      </c>
      <c r="C4" s="55">
        <v>495.76</v>
      </c>
      <c r="D4" s="55" t="s">
        <v>43</v>
      </c>
    </row>
    <row r="5">
      <c r="A5" s="57" t="s">
        <v>369</v>
      </c>
      <c r="B5" s="58" t="s">
        <v>371</v>
      </c>
      <c r="C5" s="57">
        <v>760.76</v>
      </c>
      <c r="D5" s="57" t="s">
        <v>43</v>
      </c>
    </row>
    <row r="6">
      <c r="A6" s="55" t="s">
        <v>372</v>
      </c>
      <c r="B6" s="58" t="s">
        <v>373</v>
      </c>
      <c r="C6" s="55">
        <v>927.76</v>
      </c>
      <c r="D6" s="55" t="s">
        <v>43</v>
      </c>
    </row>
    <row r="7">
      <c r="A7" s="55" t="s">
        <v>374</v>
      </c>
      <c r="B7" s="58" t="s">
        <v>375</v>
      </c>
      <c r="C7" s="55">
        <v>1668.16</v>
      </c>
      <c r="D7" s="55" t="s">
        <v>43</v>
      </c>
    </row>
    <row r="8">
      <c r="A8" s="55" t="s">
        <v>376</v>
      </c>
      <c r="B8" s="58" t="s">
        <v>377</v>
      </c>
      <c r="C8" s="55">
        <v>1945.16</v>
      </c>
      <c r="D8" s="55" t="s">
        <v>43</v>
      </c>
    </row>
    <row r="9">
      <c r="A9" s="55" t="s">
        <v>378</v>
      </c>
      <c r="B9" s="58" t="s">
        <v>379</v>
      </c>
      <c r="C9" s="55">
        <v>1750.16</v>
      </c>
      <c r="D9" s="55" t="s">
        <v>43</v>
      </c>
    </row>
    <row r="10">
      <c r="A10" s="55" t="s">
        <v>380</v>
      </c>
      <c r="B10" s="58" t="s">
        <v>381</v>
      </c>
      <c r="C10" s="55">
        <v>2374.16</v>
      </c>
      <c r="D10" s="55" t="s">
        <v>43</v>
      </c>
    </row>
    <row r="11">
      <c r="A11" s="55" t="s">
        <v>382</v>
      </c>
      <c r="B11" s="58" t="s">
        <v>383</v>
      </c>
      <c r="C11" s="55">
        <v>1531.45</v>
      </c>
      <c r="D11" s="55" t="s">
        <v>43</v>
      </c>
    </row>
    <row r="12">
      <c r="A12" s="55" t="s">
        <v>384</v>
      </c>
      <c r="B12" s="58" t="s">
        <v>387</v>
      </c>
      <c r="C12" s="55">
        <v>1995.45</v>
      </c>
      <c r="D12" s="55" t="s">
        <v>43</v>
      </c>
    </row>
    <row r="13">
      <c r="A13" s="55" t="s">
        <v>388</v>
      </c>
      <c r="B13" s="58" t="s">
        <v>389</v>
      </c>
      <c r="C13" s="55">
        <v>2055.45</v>
      </c>
      <c r="D13" s="55" t="s">
        <v>43</v>
      </c>
    </row>
    <row r="14">
      <c r="A14" s="55" t="s">
        <v>390</v>
      </c>
      <c r="B14" s="58" t="s">
        <v>391</v>
      </c>
      <c r="C14" s="55">
        <v>1953.52</v>
      </c>
      <c r="D14" s="55" t="s">
        <v>43</v>
      </c>
    </row>
    <row r="15">
      <c r="A15" s="55" t="s">
        <v>392</v>
      </c>
      <c r="B15" s="58" t="s">
        <v>393</v>
      </c>
      <c r="C15" s="55">
        <v>2407.52</v>
      </c>
      <c r="D15" s="55" t="s">
        <v>43</v>
      </c>
    </row>
    <row r="16">
      <c r="A16" s="55" t="s">
        <v>394</v>
      </c>
      <c r="B16" s="58" t="s">
        <v>395</v>
      </c>
      <c r="C16" s="55">
        <v>2169.52</v>
      </c>
      <c r="D16" s="55" t="s">
        <v>43</v>
      </c>
    </row>
    <row r="17">
      <c r="A17" s="55" t="s">
        <v>396</v>
      </c>
      <c r="B17" s="58" t="s">
        <v>397</v>
      </c>
      <c r="C17" s="55">
        <v>33.78</v>
      </c>
      <c r="D17" s="55" t="s">
        <v>22</v>
      </c>
    </row>
    <row r="18">
      <c r="A18" s="55" t="s">
        <v>398</v>
      </c>
      <c r="B18" s="58" t="s">
        <v>399</v>
      </c>
      <c r="C18" s="55">
        <v>52.87</v>
      </c>
      <c r="D18" s="55" t="s">
        <v>22</v>
      </c>
    </row>
    <row r="19">
      <c r="A19" s="55" t="s">
        <v>400</v>
      </c>
      <c r="B19" s="58" t="s">
        <v>401</v>
      </c>
      <c r="C19" s="55">
        <v>71.96</v>
      </c>
      <c r="D19" s="55" t="s">
        <v>22</v>
      </c>
    </row>
    <row r="20">
      <c r="A20" s="55" t="s">
        <v>402</v>
      </c>
      <c r="B20" s="58" t="s">
        <v>403</v>
      </c>
      <c r="C20" s="55">
        <v>91.05</v>
      </c>
      <c r="D20" s="55" t="s">
        <v>22</v>
      </c>
    </row>
    <row r="21">
      <c r="A21" s="55" t="s">
        <v>404</v>
      </c>
      <c r="B21" s="58" t="s">
        <v>405</v>
      </c>
      <c r="C21" s="55">
        <v>117.48</v>
      </c>
      <c r="D21" s="55" t="s">
        <v>22</v>
      </c>
    </row>
    <row r="22">
      <c r="A22" s="55" t="s">
        <v>406</v>
      </c>
      <c r="B22" s="58" t="s">
        <v>408</v>
      </c>
      <c r="C22" s="55">
        <v>136.57</v>
      </c>
      <c r="D22" s="55" t="s">
        <v>22</v>
      </c>
    </row>
    <row r="23">
      <c r="A23" s="55" t="s">
        <v>409</v>
      </c>
      <c r="B23" s="58" t="s">
        <v>410</v>
      </c>
      <c r="C23" s="55">
        <v>163.0</v>
      </c>
      <c r="D23" s="55" t="s">
        <v>22</v>
      </c>
    </row>
    <row r="24">
      <c r="A24" s="55" t="s">
        <v>411</v>
      </c>
      <c r="B24" s="58" t="s">
        <v>412</v>
      </c>
      <c r="C24" s="55">
        <v>182.09</v>
      </c>
      <c r="D24" s="55" t="s">
        <v>22</v>
      </c>
    </row>
    <row r="25">
      <c r="A25" s="55" t="s">
        <v>413</v>
      </c>
      <c r="B25" s="58" t="s">
        <v>414</v>
      </c>
      <c r="C25" s="55">
        <v>215.87</v>
      </c>
      <c r="D25" s="55" t="s">
        <v>22</v>
      </c>
    </row>
    <row r="26">
      <c r="A26" s="55" t="s">
        <v>415</v>
      </c>
      <c r="B26" s="58" t="s">
        <v>416</v>
      </c>
      <c r="C26" s="55">
        <v>234.96</v>
      </c>
      <c r="D26" s="55" t="s">
        <v>22</v>
      </c>
    </row>
    <row r="27">
      <c r="A27" s="55" t="s">
        <v>417</v>
      </c>
      <c r="B27" s="58" t="s">
        <v>418</v>
      </c>
      <c r="C27" s="55">
        <v>74.08</v>
      </c>
      <c r="D27" s="55" t="s">
        <v>22</v>
      </c>
    </row>
    <row r="28">
      <c r="A28" s="55" t="s">
        <v>419</v>
      </c>
      <c r="B28" s="58" t="s">
        <v>421</v>
      </c>
      <c r="C28" s="55">
        <v>103.77</v>
      </c>
      <c r="D28" s="55" t="s">
        <v>22</v>
      </c>
    </row>
    <row r="29">
      <c r="A29" s="55" t="s">
        <v>422</v>
      </c>
      <c r="B29" s="58" t="s">
        <v>423</v>
      </c>
      <c r="C29" s="55">
        <v>133.47</v>
      </c>
      <c r="D29" s="55" t="s">
        <v>22</v>
      </c>
    </row>
    <row r="30">
      <c r="A30" s="55" t="s">
        <v>424</v>
      </c>
      <c r="B30" s="58" t="s">
        <v>425</v>
      </c>
      <c r="C30" s="55">
        <v>170.51</v>
      </c>
      <c r="D30" s="55" t="s">
        <v>22</v>
      </c>
    </row>
    <row r="31">
      <c r="A31" s="55" t="s">
        <v>426</v>
      </c>
      <c r="B31" s="58" t="s">
        <v>427</v>
      </c>
      <c r="C31" s="55">
        <v>200.2</v>
      </c>
      <c r="D31" s="55" t="s">
        <v>22</v>
      </c>
    </row>
    <row r="32">
      <c r="A32" s="55" t="s">
        <v>428</v>
      </c>
      <c r="B32" s="58" t="s">
        <v>429</v>
      </c>
      <c r="C32" s="55">
        <v>237.24</v>
      </c>
      <c r="D32" s="55" t="s">
        <v>22</v>
      </c>
    </row>
    <row r="33">
      <c r="A33" s="55" t="s">
        <v>430</v>
      </c>
      <c r="B33" s="58" t="s">
        <v>431</v>
      </c>
      <c r="C33" s="55">
        <v>266.93</v>
      </c>
      <c r="D33" s="55" t="s">
        <v>22</v>
      </c>
    </row>
    <row r="34">
      <c r="A34" s="55" t="s">
        <v>432</v>
      </c>
      <c r="B34" s="58" t="s">
        <v>433</v>
      </c>
      <c r="C34" s="55">
        <v>311.32</v>
      </c>
      <c r="D34" s="55" t="s">
        <v>22</v>
      </c>
    </row>
    <row r="35">
      <c r="A35" s="55" t="s">
        <v>434</v>
      </c>
      <c r="B35" s="58" t="s">
        <v>435</v>
      </c>
      <c r="C35" s="55">
        <v>341.01</v>
      </c>
      <c r="D35" s="55" t="s">
        <v>22</v>
      </c>
    </row>
    <row r="36">
      <c r="A36" s="55" t="s">
        <v>437</v>
      </c>
      <c r="B36" s="58" t="s">
        <v>438</v>
      </c>
      <c r="C36" s="55">
        <v>111.12</v>
      </c>
      <c r="D36" s="55" t="s">
        <v>22</v>
      </c>
    </row>
    <row r="37">
      <c r="A37" s="55" t="s">
        <v>439</v>
      </c>
      <c r="B37" s="58" t="s">
        <v>440</v>
      </c>
      <c r="C37" s="55">
        <v>155.66</v>
      </c>
      <c r="D37" s="55" t="s">
        <v>22</v>
      </c>
    </row>
    <row r="38">
      <c r="A38" s="55" t="s">
        <v>442</v>
      </c>
      <c r="B38" s="58" t="s">
        <v>443</v>
      </c>
      <c r="C38" s="55">
        <v>207.54</v>
      </c>
      <c r="D38" s="55" t="s">
        <v>22</v>
      </c>
    </row>
    <row r="39">
      <c r="A39" s="55" t="s">
        <v>444</v>
      </c>
      <c r="B39" s="58" t="s">
        <v>445</v>
      </c>
      <c r="C39" s="55">
        <v>255.03</v>
      </c>
      <c r="D39" s="55" t="s">
        <v>22</v>
      </c>
    </row>
    <row r="40">
      <c r="A40" s="55" t="s">
        <v>446</v>
      </c>
      <c r="B40" s="58" t="s">
        <v>447</v>
      </c>
      <c r="C40" s="55">
        <v>299.56</v>
      </c>
      <c r="D40" s="55" t="s">
        <v>22</v>
      </c>
    </row>
    <row r="41">
      <c r="A41" s="55" t="s">
        <v>448</v>
      </c>
      <c r="B41" s="58" t="s">
        <v>449</v>
      </c>
      <c r="C41" s="55">
        <v>345.58</v>
      </c>
      <c r="D41" s="55" t="s">
        <v>22</v>
      </c>
    </row>
    <row r="42">
      <c r="A42" s="55" t="s">
        <v>450</v>
      </c>
      <c r="B42" s="58" t="s">
        <v>451</v>
      </c>
      <c r="C42" s="55">
        <v>390.12</v>
      </c>
      <c r="D42" s="55" t="s">
        <v>22</v>
      </c>
    </row>
    <row r="43">
      <c r="A43" s="55" t="s">
        <v>452</v>
      </c>
      <c r="B43" s="58" t="s">
        <v>453</v>
      </c>
      <c r="C43" s="55">
        <v>437.6</v>
      </c>
      <c r="D43" s="55" t="s">
        <v>22</v>
      </c>
    </row>
    <row r="44">
      <c r="A44" s="55" t="s">
        <v>454</v>
      </c>
      <c r="B44" s="58" t="s">
        <v>455</v>
      </c>
      <c r="C44" s="55">
        <v>489.48</v>
      </c>
      <c r="D44" s="55" t="s">
        <v>22</v>
      </c>
    </row>
    <row r="45">
      <c r="A45" s="55" t="s">
        <v>456</v>
      </c>
      <c r="B45" s="58" t="s">
        <v>457</v>
      </c>
      <c r="C45" s="55">
        <v>163.0</v>
      </c>
      <c r="D45" s="55" t="s">
        <v>22</v>
      </c>
    </row>
    <row r="46">
      <c r="A46" s="55" t="s">
        <v>458</v>
      </c>
      <c r="B46" s="58" t="s">
        <v>459</v>
      </c>
      <c r="C46" s="55">
        <v>229.82</v>
      </c>
      <c r="D46" s="55" t="s">
        <v>22</v>
      </c>
    </row>
    <row r="47">
      <c r="A47" s="55" t="s">
        <v>461</v>
      </c>
      <c r="B47" s="58" t="s">
        <v>462</v>
      </c>
      <c r="C47" s="55">
        <v>303.97</v>
      </c>
      <c r="D47" s="55" t="s">
        <v>22</v>
      </c>
    </row>
    <row r="48">
      <c r="A48" s="55" t="s">
        <v>463</v>
      </c>
      <c r="B48" s="58" t="s">
        <v>465</v>
      </c>
      <c r="C48" s="55">
        <v>370.79</v>
      </c>
      <c r="D48" s="55" t="s">
        <v>22</v>
      </c>
    </row>
    <row r="49">
      <c r="A49" s="55" t="s">
        <v>466</v>
      </c>
      <c r="B49" s="58" t="s">
        <v>467</v>
      </c>
      <c r="C49" s="55">
        <v>452.28</v>
      </c>
      <c r="D49" s="55" t="s">
        <v>22</v>
      </c>
    </row>
    <row r="50">
      <c r="A50" s="55" t="s">
        <v>468</v>
      </c>
      <c r="B50" s="58" t="s">
        <v>469</v>
      </c>
      <c r="C50" s="55">
        <v>519.1</v>
      </c>
      <c r="D50" s="55" t="s">
        <v>22</v>
      </c>
    </row>
    <row r="51">
      <c r="A51" s="55" t="s">
        <v>470</v>
      </c>
      <c r="B51" s="58" t="s">
        <v>471</v>
      </c>
      <c r="C51" s="55">
        <v>593.25</v>
      </c>
      <c r="D51" s="55" t="s">
        <v>22</v>
      </c>
    </row>
    <row r="52">
      <c r="A52" s="55" t="s">
        <v>472</v>
      </c>
      <c r="B52" s="58" t="s">
        <v>473</v>
      </c>
      <c r="C52" s="55">
        <v>660.07</v>
      </c>
      <c r="D52" s="55" t="s">
        <v>22</v>
      </c>
    </row>
    <row r="53">
      <c r="A53" s="55" t="s">
        <v>474</v>
      </c>
      <c r="B53" s="58" t="s">
        <v>476</v>
      </c>
      <c r="C53" s="55">
        <v>730.69</v>
      </c>
      <c r="D53" s="55" t="s">
        <v>22</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1" max="1" width="12.57"/>
    <col customWidth="1" min="2" max="2" width="48.29"/>
  </cols>
  <sheetData>
    <row r="1">
      <c r="A1" s="26" t="s">
        <v>354</v>
      </c>
      <c r="B1" s="26" t="s">
        <v>357</v>
      </c>
      <c r="C1" s="26" t="s">
        <v>358</v>
      </c>
      <c r="D1" s="26" t="s">
        <v>8</v>
      </c>
    </row>
    <row r="2">
      <c r="A2" s="29" t="s">
        <v>486</v>
      </c>
      <c r="B2" s="29" t="s">
        <v>487</v>
      </c>
      <c r="C2" s="29">
        <v>264.02</v>
      </c>
      <c r="D2" s="29" t="s">
        <v>488</v>
      </c>
    </row>
    <row r="3">
      <c r="A3" s="29" t="s">
        <v>489</v>
      </c>
      <c r="B3" s="29" t="s">
        <v>490</v>
      </c>
      <c r="C3" s="29">
        <v>324.12</v>
      </c>
      <c r="D3" s="29" t="s">
        <v>488</v>
      </c>
    </row>
    <row r="4">
      <c r="A4" s="29" t="s">
        <v>491</v>
      </c>
      <c r="B4" s="29" t="s">
        <v>492</v>
      </c>
      <c r="C4" s="29">
        <v>426.41</v>
      </c>
      <c r="D4" s="29" t="s">
        <v>488</v>
      </c>
    </row>
    <row r="5">
      <c r="A5" s="29" t="s">
        <v>493</v>
      </c>
      <c r="B5" s="29" t="s">
        <v>494</v>
      </c>
      <c r="C5" s="29">
        <v>489.26</v>
      </c>
      <c r="D5" s="29" t="s">
        <v>488</v>
      </c>
    </row>
    <row r="6">
      <c r="A6" s="29" t="s">
        <v>495</v>
      </c>
      <c r="B6" s="29" t="s">
        <v>497</v>
      </c>
      <c r="C6" s="29">
        <v>629.54</v>
      </c>
      <c r="D6" s="29" t="s">
        <v>488</v>
      </c>
    </row>
    <row r="7">
      <c r="A7" s="29" t="s">
        <v>498</v>
      </c>
      <c r="B7" s="29" t="s">
        <v>500</v>
      </c>
      <c r="C7" s="29">
        <v>775.43</v>
      </c>
      <c r="D7" s="29" t="s">
        <v>488</v>
      </c>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9.14"/>
    <col customWidth="1" min="2" max="2" width="37.57"/>
    <col customWidth="1" min="3" max="3" width="9.14"/>
    <col customWidth="1" min="4" max="4" width="11.14"/>
    <col customWidth="1" min="5" max="5" width="9.14"/>
    <col customWidth="1" min="6" max="6" width="14.14"/>
  </cols>
  <sheetData>
    <row r="1">
      <c r="A1" s="1" t="s">
        <v>512</v>
      </c>
      <c r="B1" s="2"/>
      <c r="C1" s="2"/>
      <c r="D1" s="2"/>
      <c r="E1" s="2"/>
      <c r="F1" s="3"/>
    </row>
    <row r="2">
      <c r="A2" s="60">
        <v>0.0</v>
      </c>
      <c r="B2" s="61" t="s">
        <v>516</v>
      </c>
      <c r="C2" s="2"/>
      <c r="D2" s="2"/>
      <c r="E2" s="2"/>
      <c r="F2" s="3"/>
    </row>
    <row r="3">
      <c r="A3" s="62" t="s">
        <v>4</v>
      </c>
      <c r="B3" s="62" t="s">
        <v>6</v>
      </c>
      <c r="C3" s="62" t="s">
        <v>8</v>
      </c>
      <c r="D3" s="62" t="s">
        <v>9</v>
      </c>
      <c r="E3" s="62" t="s">
        <v>10</v>
      </c>
      <c r="F3" s="62" t="s">
        <v>11</v>
      </c>
    </row>
    <row r="4">
      <c r="A4" s="63"/>
      <c r="B4" s="64" t="s">
        <v>519</v>
      </c>
      <c r="C4" s="63"/>
      <c r="D4" s="63"/>
      <c r="E4" s="63"/>
      <c r="F4" s="63"/>
    </row>
    <row r="5">
      <c r="A5" s="20"/>
      <c r="B5" s="64" t="s">
        <v>17</v>
      </c>
      <c r="C5" s="20"/>
      <c r="D5" s="20"/>
      <c r="E5" s="20"/>
      <c r="F5" s="20"/>
    </row>
    <row r="6">
      <c r="A6" s="65">
        <v>1547.0</v>
      </c>
      <c r="B6" s="64" t="s">
        <v>524</v>
      </c>
      <c r="C6" s="63" t="s">
        <v>22</v>
      </c>
      <c r="D6" s="63">
        <v>10.2</v>
      </c>
      <c r="E6" s="65">
        <v>196.0</v>
      </c>
      <c r="F6" s="63">
        <f>D6*E6</f>
        <v>1999.2</v>
      </c>
    </row>
    <row r="7">
      <c r="A7" s="66"/>
      <c r="B7" s="64" t="s">
        <v>528</v>
      </c>
      <c r="C7" s="66"/>
      <c r="D7" s="66"/>
      <c r="E7" s="66"/>
      <c r="F7" s="66"/>
    </row>
    <row r="8">
      <c r="A8" s="20"/>
      <c r="B8" s="64" t="s">
        <v>529</v>
      </c>
      <c r="C8" s="20"/>
      <c r="D8" s="20"/>
      <c r="E8" s="20"/>
      <c r="F8" s="20"/>
    </row>
    <row r="9">
      <c r="A9" s="67">
        <v>2271.0</v>
      </c>
      <c r="B9" s="64" t="s">
        <v>530</v>
      </c>
      <c r="C9" s="67" t="s">
        <v>249</v>
      </c>
      <c r="D9" s="67">
        <v>0.02509</v>
      </c>
      <c r="E9" s="68">
        <v>145.72</v>
      </c>
      <c r="F9" s="67">
        <f t="shared" ref="F9:F10" si="1">D9*E9</f>
        <v>3.6561148</v>
      </c>
    </row>
    <row r="10">
      <c r="A10" s="63">
        <v>9999.0</v>
      </c>
      <c r="B10" s="64" t="s">
        <v>533</v>
      </c>
      <c r="C10" s="63" t="s">
        <v>107</v>
      </c>
      <c r="D10" s="63">
        <v>6.76</v>
      </c>
      <c r="E10" s="65">
        <v>2.12</v>
      </c>
      <c r="F10" s="63">
        <f t="shared" si="1"/>
        <v>14.3312</v>
      </c>
    </row>
    <row r="11">
      <c r="A11" s="20"/>
      <c r="B11" s="64" t="s">
        <v>23</v>
      </c>
      <c r="C11" s="20"/>
      <c r="D11" s="20"/>
      <c r="E11" s="20"/>
      <c r="F11" s="20"/>
    </row>
    <row r="12">
      <c r="A12" s="67">
        <v>116.0</v>
      </c>
      <c r="B12" s="64" t="s">
        <v>535</v>
      </c>
      <c r="C12" s="67" t="s">
        <v>27</v>
      </c>
      <c r="D12" s="67">
        <v>0.12</v>
      </c>
      <c r="E12" s="68">
        <v>784.0</v>
      </c>
      <c r="F12" s="67">
        <f t="shared" ref="F12:F13" si="2">D12*E12</f>
        <v>94.08</v>
      </c>
    </row>
    <row r="13">
      <c r="A13" s="67">
        <v>114.0</v>
      </c>
      <c r="B13" s="64" t="s">
        <v>97</v>
      </c>
      <c r="C13" s="67" t="s">
        <v>27</v>
      </c>
      <c r="D13" s="67">
        <v>0.25</v>
      </c>
      <c r="E13" s="68">
        <v>645.0</v>
      </c>
      <c r="F13" s="67">
        <f t="shared" si="2"/>
        <v>161.25</v>
      </c>
    </row>
    <row r="14">
      <c r="A14" s="69"/>
      <c r="B14" s="70" t="s">
        <v>31</v>
      </c>
      <c r="C14" s="2"/>
      <c r="D14" s="2"/>
      <c r="E14" s="3"/>
      <c r="F14" s="71">
        <f>SUM(F6:F13)</f>
        <v>2272.517315</v>
      </c>
    </row>
    <row r="15">
      <c r="A15" s="66"/>
      <c r="B15" s="70" t="s">
        <v>40</v>
      </c>
      <c r="C15" s="2"/>
      <c r="D15" s="2"/>
      <c r="E15" s="3"/>
      <c r="F15" s="71">
        <f>F14*0.01</f>
        <v>22.72517315</v>
      </c>
    </row>
    <row r="16">
      <c r="A16" s="66"/>
      <c r="B16" s="70" t="s">
        <v>42</v>
      </c>
      <c r="C16" s="2"/>
      <c r="D16" s="2"/>
      <c r="E16" s="3"/>
      <c r="F16" s="71">
        <f>SUM(F14:F15)</f>
        <v>2295.242488</v>
      </c>
    </row>
    <row r="17">
      <c r="A17" s="66"/>
      <c r="B17" s="70" t="s">
        <v>47</v>
      </c>
      <c r="C17" s="2"/>
      <c r="D17" s="2"/>
      <c r="E17" s="3"/>
      <c r="F17" s="71">
        <f>F16*0.15</f>
        <v>344.2863732</v>
      </c>
    </row>
    <row r="18">
      <c r="A18" s="66"/>
      <c r="B18" s="70" t="s">
        <v>42</v>
      </c>
      <c r="C18" s="2"/>
      <c r="D18" s="2"/>
      <c r="E18" s="3"/>
      <c r="F18" s="71">
        <f>SUM(F16:F17)</f>
        <v>2639.528861</v>
      </c>
    </row>
    <row r="19">
      <c r="A19" s="66"/>
      <c r="B19" s="70" t="s">
        <v>552</v>
      </c>
      <c r="C19" s="2"/>
      <c r="D19" s="2"/>
      <c r="E19" s="3"/>
      <c r="F19" s="71">
        <f>F18</f>
        <v>2639.528861</v>
      </c>
    </row>
    <row r="20">
      <c r="A20" s="66"/>
      <c r="B20" s="70" t="s">
        <v>76</v>
      </c>
      <c r="C20" s="2"/>
      <c r="D20" s="2"/>
      <c r="E20" s="3"/>
      <c r="F20" s="71">
        <f>F19/10</f>
        <v>263.9528861</v>
      </c>
    </row>
    <row r="21">
      <c r="A21" s="20"/>
      <c r="B21" s="70" t="s">
        <v>54</v>
      </c>
      <c r="C21" s="2"/>
      <c r="D21" s="2"/>
      <c r="E21" s="3"/>
      <c r="F21" s="75">
        <f>MROUND(F20, 0.05)</f>
        <v>263.95</v>
      </c>
    </row>
    <row r="22">
      <c r="A22" s="4">
        <v>0.0</v>
      </c>
      <c r="B22" s="5" t="s">
        <v>565</v>
      </c>
      <c r="C22" s="2"/>
      <c r="D22" s="2"/>
      <c r="E22" s="2"/>
      <c r="F22" s="3"/>
    </row>
    <row r="23">
      <c r="A23" s="4" t="s">
        <v>4</v>
      </c>
      <c r="B23" s="4" t="s">
        <v>6</v>
      </c>
      <c r="C23" s="4" t="s">
        <v>8</v>
      </c>
      <c r="D23" s="4" t="s">
        <v>9</v>
      </c>
      <c r="E23" s="4" t="s">
        <v>10</v>
      </c>
      <c r="F23" s="4" t="s">
        <v>11</v>
      </c>
    </row>
    <row r="24">
      <c r="A24" s="11"/>
      <c r="B24" s="15" t="s">
        <v>519</v>
      </c>
      <c r="C24" s="11"/>
      <c r="D24" s="11"/>
      <c r="E24" s="11"/>
      <c r="F24" s="11"/>
    </row>
    <row r="25">
      <c r="A25" s="20"/>
      <c r="B25" s="15" t="s">
        <v>17</v>
      </c>
      <c r="C25" s="20"/>
      <c r="D25" s="20"/>
      <c r="E25" s="20"/>
      <c r="F25" s="20"/>
    </row>
    <row r="26">
      <c r="A26" s="11">
        <v>1548.0</v>
      </c>
      <c r="B26" s="15" t="s">
        <v>576</v>
      </c>
      <c r="C26" s="11" t="s">
        <v>22</v>
      </c>
      <c r="D26" s="11">
        <v>10.2</v>
      </c>
      <c r="E26" s="76">
        <v>225.0</v>
      </c>
      <c r="F26" s="11">
        <f>10.2*225</f>
        <v>2295</v>
      </c>
    </row>
    <row r="27">
      <c r="A27" s="66"/>
      <c r="B27" s="15" t="s">
        <v>528</v>
      </c>
      <c r="C27" s="66"/>
      <c r="D27" s="66"/>
      <c r="E27" s="66"/>
      <c r="F27" s="66"/>
    </row>
    <row r="28">
      <c r="A28" s="20"/>
      <c r="B28" s="15" t="s">
        <v>585</v>
      </c>
      <c r="C28" s="20"/>
      <c r="D28" s="20"/>
      <c r="E28" s="20"/>
      <c r="F28" s="20"/>
    </row>
    <row r="29">
      <c r="A29" s="23">
        <v>2271.0</v>
      </c>
      <c r="B29" s="15" t="s">
        <v>530</v>
      </c>
      <c r="C29" s="23" t="s">
        <v>249</v>
      </c>
      <c r="D29" s="23">
        <v>0.03233</v>
      </c>
      <c r="E29" s="22">
        <v>145.72</v>
      </c>
      <c r="F29" s="23">
        <f t="shared" ref="F29:F30" si="3">D29*E29</f>
        <v>4.7111276</v>
      </c>
    </row>
    <row r="30">
      <c r="A30" s="11">
        <v>9999.0</v>
      </c>
      <c r="B30" s="15" t="s">
        <v>589</v>
      </c>
      <c r="C30" s="11" t="s">
        <v>107</v>
      </c>
      <c r="D30" s="11">
        <v>6.76</v>
      </c>
      <c r="E30" s="76">
        <v>2.12</v>
      </c>
      <c r="F30" s="23">
        <f t="shared" si="3"/>
        <v>14.3312</v>
      </c>
    </row>
    <row r="31">
      <c r="A31" s="20"/>
      <c r="B31" s="15" t="s">
        <v>23</v>
      </c>
      <c r="C31" s="20"/>
      <c r="D31" s="20"/>
      <c r="E31" s="20"/>
      <c r="F31" s="23"/>
    </row>
    <row r="32">
      <c r="A32" s="23">
        <v>116.0</v>
      </c>
      <c r="B32" s="15" t="s">
        <v>535</v>
      </c>
      <c r="C32" s="23" t="s">
        <v>27</v>
      </c>
      <c r="D32" s="23">
        <v>0.12</v>
      </c>
      <c r="E32" s="22">
        <v>784.0</v>
      </c>
      <c r="F32" s="23">
        <f t="shared" ref="F32:F33" si="4">D32*E32</f>
        <v>94.08</v>
      </c>
    </row>
    <row r="33">
      <c r="A33" s="23">
        <v>114.0</v>
      </c>
      <c r="B33" s="15" t="s">
        <v>97</v>
      </c>
      <c r="C33" s="23" t="s">
        <v>27</v>
      </c>
      <c r="D33" s="23">
        <v>0.25</v>
      </c>
      <c r="E33" s="22">
        <v>645.0</v>
      </c>
      <c r="F33" s="23">
        <f t="shared" si="4"/>
        <v>161.25</v>
      </c>
    </row>
    <row r="34">
      <c r="A34" s="77"/>
      <c r="B34" s="78" t="s">
        <v>31</v>
      </c>
      <c r="C34" s="2"/>
      <c r="D34" s="2"/>
      <c r="E34" s="3"/>
      <c r="F34" s="79">
        <f>SUM(F26:F33)</f>
        <v>2569.372328</v>
      </c>
    </row>
    <row r="35">
      <c r="A35" s="66"/>
      <c r="B35" s="80" t="s">
        <v>40</v>
      </c>
      <c r="C35" s="2"/>
      <c r="D35" s="2"/>
      <c r="E35" s="3"/>
      <c r="F35" s="79">
        <f>F34*0.01</f>
        <v>25.69372328</v>
      </c>
    </row>
    <row r="36">
      <c r="A36" s="66"/>
      <c r="B36" s="80" t="s">
        <v>42</v>
      </c>
      <c r="C36" s="2"/>
      <c r="D36" s="2"/>
      <c r="E36" s="3"/>
      <c r="F36" s="79">
        <f>SUM(F34:F35)</f>
        <v>2595.066051</v>
      </c>
    </row>
    <row r="37">
      <c r="A37" s="66"/>
      <c r="B37" s="80" t="s">
        <v>47</v>
      </c>
      <c r="C37" s="2"/>
      <c r="D37" s="2"/>
      <c r="E37" s="3"/>
      <c r="F37" s="79">
        <f>F36*0.15</f>
        <v>389.2599076</v>
      </c>
    </row>
    <row r="38">
      <c r="A38" s="66"/>
      <c r="B38" s="80" t="s">
        <v>42</v>
      </c>
      <c r="C38" s="2"/>
      <c r="D38" s="2"/>
      <c r="E38" s="3"/>
      <c r="F38" s="79">
        <f>SUM(F36:F37)</f>
        <v>2984.325959</v>
      </c>
    </row>
    <row r="39">
      <c r="A39" s="66"/>
      <c r="B39" s="80" t="s">
        <v>552</v>
      </c>
      <c r="C39" s="2"/>
      <c r="D39" s="2"/>
      <c r="E39" s="3"/>
      <c r="F39" s="79">
        <f>F38</f>
        <v>2984.325959</v>
      </c>
    </row>
    <row r="40">
      <c r="A40" s="66"/>
      <c r="B40" s="80" t="s">
        <v>76</v>
      </c>
      <c r="C40" s="2"/>
      <c r="D40" s="2"/>
      <c r="E40" s="3"/>
      <c r="F40" s="79">
        <f>F39/10</f>
        <v>298.4325959</v>
      </c>
    </row>
    <row r="41">
      <c r="A41" s="20"/>
      <c r="B41" s="80" t="s">
        <v>54</v>
      </c>
      <c r="C41" s="2"/>
      <c r="D41" s="2"/>
      <c r="E41" s="3"/>
      <c r="F41" s="35">
        <f>MROUND(F40, 0.05)</f>
        <v>298.45</v>
      </c>
    </row>
    <row r="42">
      <c r="A42" s="62">
        <v>0.0</v>
      </c>
      <c r="B42" s="61" t="s">
        <v>630</v>
      </c>
      <c r="C42" s="2"/>
      <c r="D42" s="2"/>
      <c r="E42" s="2"/>
      <c r="F42" s="3"/>
    </row>
    <row r="43">
      <c r="A43" s="62" t="s">
        <v>4</v>
      </c>
      <c r="B43" s="62" t="s">
        <v>6</v>
      </c>
      <c r="C43" s="62" t="s">
        <v>8</v>
      </c>
      <c r="D43" s="62" t="s">
        <v>9</v>
      </c>
      <c r="E43" s="62" t="s">
        <v>10</v>
      </c>
      <c r="F43" s="62" t="s">
        <v>11</v>
      </c>
    </row>
    <row r="44">
      <c r="A44" s="63"/>
      <c r="B44" s="64" t="s">
        <v>519</v>
      </c>
      <c r="C44" s="63"/>
      <c r="D44" s="63"/>
      <c r="E44" s="63"/>
      <c r="F44" s="63"/>
    </row>
    <row r="45">
      <c r="A45" s="20"/>
      <c r="B45" s="64" t="s">
        <v>17</v>
      </c>
      <c r="C45" s="20"/>
      <c r="D45" s="20"/>
      <c r="E45" s="20"/>
      <c r="F45" s="20"/>
    </row>
    <row r="46">
      <c r="A46" s="63">
        <v>1549.0</v>
      </c>
      <c r="B46" s="64" t="s">
        <v>638</v>
      </c>
      <c r="C46" s="63" t="s">
        <v>22</v>
      </c>
      <c r="D46" s="63">
        <v>10.2</v>
      </c>
      <c r="E46" s="65">
        <v>290.0</v>
      </c>
      <c r="F46" s="63">
        <f>D46*E46</f>
        <v>2958</v>
      </c>
    </row>
    <row r="47">
      <c r="A47" s="66"/>
      <c r="B47" s="64" t="s">
        <v>528</v>
      </c>
      <c r="C47" s="66"/>
      <c r="D47" s="66"/>
      <c r="E47" s="66"/>
      <c r="F47" s="66"/>
    </row>
    <row r="48">
      <c r="A48" s="20"/>
      <c r="B48" s="64" t="s">
        <v>646</v>
      </c>
      <c r="C48" s="20"/>
      <c r="D48" s="20"/>
      <c r="E48" s="20"/>
      <c r="F48" s="20"/>
    </row>
    <row r="49">
      <c r="A49" s="67">
        <v>2271.0</v>
      </c>
      <c r="B49" s="64" t="s">
        <v>530</v>
      </c>
      <c r="C49" s="67" t="s">
        <v>249</v>
      </c>
      <c r="D49" s="67">
        <v>0.03723</v>
      </c>
      <c r="E49" s="68">
        <v>145.72</v>
      </c>
      <c r="F49" s="67">
        <f t="shared" ref="F49:F50" si="5">D49*E49</f>
        <v>5.4251556</v>
      </c>
    </row>
    <row r="50">
      <c r="A50" s="63">
        <v>9999.0</v>
      </c>
      <c r="B50" s="64" t="s">
        <v>651</v>
      </c>
      <c r="C50" s="63" t="s">
        <v>107</v>
      </c>
      <c r="D50" s="63">
        <v>9.49</v>
      </c>
      <c r="E50" s="65">
        <v>2.12</v>
      </c>
      <c r="F50" s="67">
        <f t="shared" si="5"/>
        <v>20.1188</v>
      </c>
    </row>
    <row r="51">
      <c r="A51" s="20"/>
      <c r="B51" s="64" t="s">
        <v>23</v>
      </c>
      <c r="C51" s="20"/>
      <c r="D51" s="20"/>
      <c r="E51" s="20"/>
      <c r="F51" s="67"/>
    </row>
    <row r="52">
      <c r="A52" s="67">
        <v>116.0</v>
      </c>
      <c r="B52" s="64" t="s">
        <v>535</v>
      </c>
      <c r="C52" s="67" t="s">
        <v>27</v>
      </c>
      <c r="D52" s="67">
        <v>0.16</v>
      </c>
      <c r="E52" s="68">
        <v>784.0</v>
      </c>
      <c r="F52" s="67">
        <f t="shared" ref="F52:F53" si="6">D52*E52</f>
        <v>125.44</v>
      </c>
    </row>
    <row r="53">
      <c r="A53" s="67">
        <v>114.0</v>
      </c>
      <c r="B53" s="64" t="s">
        <v>97</v>
      </c>
      <c r="C53" s="67" t="s">
        <v>27</v>
      </c>
      <c r="D53" s="67">
        <v>0.33</v>
      </c>
      <c r="E53" s="68">
        <v>645.0</v>
      </c>
      <c r="F53" s="67">
        <f t="shared" si="6"/>
        <v>212.85</v>
      </c>
    </row>
    <row r="54">
      <c r="A54" s="69"/>
      <c r="B54" s="70" t="s">
        <v>31</v>
      </c>
      <c r="C54" s="2"/>
      <c r="D54" s="2"/>
      <c r="E54" s="3"/>
      <c r="F54" s="71">
        <f>SUM(F46:F53)</f>
        <v>3321.833956</v>
      </c>
    </row>
    <row r="55">
      <c r="A55" s="66"/>
      <c r="B55" s="70" t="s">
        <v>40</v>
      </c>
      <c r="C55" s="2"/>
      <c r="D55" s="2"/>
      <c r="E55" s="3"/>
      <c r="F55" s="71">
        <f>F54*0.01</f>
        <v>33.21833956</v>
      </c>
    </row>
    <row r="56">
      <c r="A56" s="66"/>
      <c r="B56" s="70" t="s">
        <v>42</v>
      </c>
      <c r="C56" s="2"/>
      <c r="D56" s="2"/>
      <c r="E56" s="3"/>
      <c r="F56" s="71">
        <f>SUM(F54:F55)</f>
        <v>3355.052295</v>
      </c>
    </row>
    <row r="57">
      <c r="A57" s="66"/>
      <c r="B57" s="70" t="s">
        <v>47</v>
      </c>
      <c r="C57" s="2"/>
      <c r="D57" s="2"/>
      <c r="E57" s="3"/>
      <c r="F57" s="71">
        <f>F56*0.15</f>
        <v>503.2578443</v>
      </c>
    </row>
    <row r="58">
      <c r="A58" s="66"/>
      <c r="B58" s="70" t="s">
        <v>42</v>
      </c>
      <c r="C58" s="2"/>
      <c r="D58" s="2"/>
      <c r="E58" s="3"/>
      <c r="F58" s="71">
        <f>SUM(F56:F57)</f>
        <v>3858.310139</v>
      </c>
    </row>
    <row r="59">
      <c r="A59" s="66"/>
      <c r="B59" s="70" t="s">
        <v>552</v>
      </c>
      <c r="C59" s="2"/>
      <c r="D59" s="2"/>
      <c r="E59" s="3"/>
      <c r="F59" s="71">
        <f>F58</f>
        <v>3858.310139</v>
      </c>
    </row>
    <row r="60">
      <c r="A60" s="66"/>
      <c r="B60" s="70" t="s">
        <v>76</v>
      </c>
      <c r="C60" s="2"/>
      <c r="D60" s="2"/>
      <c r="E60" s="3"/>
      <c r="F60" s="71">
        <f>F59/10</f>
        <v>385.8310139</v>
      </c>
    </row>
    <row r="61">
      <c r="A61" s="20"/>
      <c r="B61" s="70" t="s">
        <v>54</v>
      </c>
      <c r="C61" s="2"/>
      <c r="D61" s="2"/>
      <c r="E61" s="3"/>
      <c r="F61" s="75">
        <f>MROUND(F60, 0.05)</f>
        <v>385.85</v>
      </c>
    </row>
    <row r="62">
      <c r="A62" s="4">
        <v>0.0</v>
      </c>
      <c r="B62" s="5" t="s">
        <v>687</v>
      </c>
      <c r="C62" s="2"/>
      <c r="D62" s="2"/>
      <c r="E62" s="2"/>
      <c r="F62" s="3"/>
    </row>
    <row r="63">
      <c r="A63" s="4" t="s">
        <v>4</v>
      </c>
      <c r="B63" s="4" t="s">
        <v>6</v>
      </c>
      <c r="C63" s="4" t="s">
        <v>8</v>
      </c>
      <c r="D63" s="4" t="s">
        <v>9</v>
      </c>
      <c r="E63" s="4" t="s">
        <v>10</v>
      </c>
      <c r="F63" s="4" t="s">
        <v>11</v>
      </c>
    </row>
    <row r="64">
      <c r="A64" s="11"/>
      <c r="B64" s="15" t="s">
        <v>519</v>
      </c>
      <c r="C64" s="11"/>
      <c r="D64" s="11"/>
      <c r="E64" s="11"/>
      <c r="F64" s="11"/>
    </row>
    <row r="65">
      <c r="A65" s="20"/>
      <c r="B65" s="15" t="s">
        <v>17</v>
      </c>
      <c r="C65" s="20"/>
      <c r="D65" s="20"/>
      <c r="E65" s="20"/>
      <c r="F65" s="20"/>
    </row>
    <row r="66">
      <c r="A66" s="11">
        <v>1550.0</v>
      </c>
      <c r="B66" s="15" t="s">
        <v>697</v>
      </c>
      <c r="C66" s="11" t="s">
        <v>22</v>
      </c>
      <c r="D66" s="11">
        <v>10.2</v>
      </c>
      <c r="E66" s="76">
        <v>360.0</v>
      </c>
      <c r="F66" s="11">
        <f>D66*E66</f>
        <v>3672</v>
      </c>
    </row>
    <row r="67">
      <c r="A67" s="66"/>
      <c r="B67" s="15" t="s">
        <v>528</v>
      </c>
      <c r="C67" s="66"/>
      <c r="D67" s="66"/>
      <c r="E67" s="66"/>
      <c r="F67" s="66"/>
    </row>
    <row r="68">
      <c r="A68" s="20"/>
      <c r="B68" s="15" t="s">
        <v>699</v>
      </c>
      <c r="C68" s="20"/>
      <c r="D68" s="20"/>
      <c r="E68" s="20"/>
      <c r="F68" s="20"/>
    </row>
    <row r="69">
      <c r="A69" s="23">
        <v>2271.0</v>
      </c>
      <c r="B69" s="15" t="s">
        <v>530</v>
      </c>
      <c r="C69" s="23" t="s">
        <v>249</v>
      </c>
      <c r="D69" s="23">
        <v>0.05273</v>
      </c>
      <c r="E69" s="22">
        <v>145.72</v>
      </c>
      <c r="F69" s="23">
        <f t="shared" ref="F69:F70" si="7">D69*E69</f>
        <v>7.6838156</v>
      </c>
    </row>
    <row r="70">
      <c r="A70" s="11">
        <v>9999.0</v>
      </c>
      <c r="B70" s="15" t="s">
        <v>533</v>
      </c>
      <c r="C70" s="11" t="s">
        <v>107</v>
      </c>
      <c r="D70" s="11">
        <v>9.49</v>
      </c>
      <c r="E70" s="76">
        <v>2.12</v>
      </c>
      <c r="F70" s="11">
        <f t="shared" si="7"/>
        <v>20.1188</v>
      </c>
    </row>
    <row r="71">
      <c r="A71" s="20"/>
      <c r="B71" s="15" t="s">
        <v>23</v>
      </c>
      <c r="C71" s="20"/>
      <c r="D71" s="20"/>
      <c r="E71" s="20"/>
      <c r="F71" s="20"/>
    </row>
    <row r="72">
      <c r="A72" s="23">
        <v>116.0</v>
      </c>
      <c r="B72" s="15" t="s">
        <v>535</v>
      </c>
      <c r="C72" s="23" t="s">
        <v>27</v>
      </c>
      <c r="D72" s="23">
        <v>0.16</v>
      </c>
      <c r="E72" s="22">
        <v>784.0</v>
      </c>
      <c r="F72" s="23">
        <f t="shared" ref="F72:F73" si="8">D72*E72</f>
        <v>125.44</v>
      </c>
    </row>
    <row r="73">
      <c r="A73" s="23">
        <v>114.0</v>
      </c>
      <c r="B73" s="15" t="s">
        <v>97</v>
      </c>
      <c r="C73" s="23" t="s">
        <v>27</v>
      </c>
      <c r="D73" s="23">
        <v>0.33</v>
      </c>
      <c r="E73" s="22">
        <v>645.0</v>
      </c>
      <c r="F73" s="23">
        <f t="shared" si="8"/>
        <v>212.85</v>
      </c>
    </row>
    <row r="74">
      <c r="A74" s="77"/>
      <c r="B74" s="78" t="s">
        <v>31</v>
      </c>
      <c r="C74" s="2"/>
      <c r="D74" s="2"/>
      <c r="E74" s="3"/>
      <c r="F74" s="79">
        <f>SUM(F66:F73)</f>
        <v>4038.092616</v>
      </c>
    </row>
    <row r="75">
      <c r="A75" s="66"/>
      <c r="B75" s="80" t="s">
        <v>40</v>
      </c>
      <c r="C75" s="2"/>
      <c r="D75" s="2"/>
      <c r="E75" s="3"/>
      <c r="F75" s="79">
        <f>F74*0.01</f>
        <v>40.38092616</v>
      </c>
    </row>
    <row r="76">
      <c r="A76" s="66"/>
      <c r="B76" s="80" t="s">
        <v>42</v>
      </c>
      <c r="C76" s="2"/>
      <c r="D76" s="2"/>
      <c r="E76" s="3"/>
      <c r="F76" s="79">
        <f>SUM(F74:F75)</f>
        <v>4078.473542</v>
      </c>
    </row>
    <row r="77">
      <c r="A77" s="66"/>
      <c r="B77" s="80" t="s">
        <v>47</v>
      </c>
      <c r="C77" s="2"/>
      <c r="D77" s="2"/>
      <c r="E77" s="3"/>
      <c r="F77" s="79">
        <f>F76*0.15</f>
        <v>611.7710313</v>
      </c>
    </row>
    <row r="78">
      <c r="A78" s="66"/>
      <c r="B78" s="80" t="s">
        <v>42</v>
      </c>
      <c r="C78" s="2"/>
      <c r="D78" s="2"/>
      <c r="E78" s="3"/>
      <c r="F78" s="79">
        <f>SUM(F76:F77)</f>
        <v>4690.244573</v>
      </c>
    </row>
    <row r="79">
      <c r="A79" s="66"/>
      <c r="B79" s="80" t="s">
        <v>552</v>
      </c>
      <c r="C79" s="2"/>
      <c r="D79" s="2"/>
      <c r="E79" s="3"/>
      <c r="F79" s="79">
        <f>F78</f>
        <v>4690.244573</v>
      </c>
    </row>
    <row r="80">
      <c r="A80" s="66"/>
      <c r="B80" s="80" t="s">
        <v>76</v>
      </c>
      <c r="C80" s="2"/>
      <c r="D80" s="2"/>
      <c r="E80" s="3"/>
      <c r="F80" s="79">
        <f>F79/10</f>
        <v>469.0244573</v>
      </c>
    </row>
    <row r="81">
      <c r="A81" s="20"/>
      <c r="B81" s="80" t="s">
        <v>54</v>
      </c>
      <c r="C81" s="2"/>
      <c r="D81" s="2"/>
      <c r="E81" s="3"/>
      <c r="F81" s="35">
        <f>MROUND(F80, 0.05)</f>
        <v>469</v>
      </c>
    </row>
    <row r="82">
      <c r="A82" s="62">
        <v>0.0</v>
      </c>
      <c r="B82" s="61" t="s">
        <v>710</v>
      </c>
      <c r="C82" s="2"/>
      <c r="D82" s="2"/>
      <c r="E82" s="2"/>
      <c r="F82" s="3"/>
    </row>
    <row r="83">
      <c r="A83" s="62" t="s">
        <v>4</v>
      </c>
      <c r="B83" s="62" t="s">
        <v>6</v>
      </c>
      <c r="C83" s="62" t="s">
        <v>8</v>
      </c>
      <c r="D83" s="62" t="s">
        <v>9</v>
      </c>
      <c r="E83" s="62" t="s">
        <v>10</v>
      </c>
      <c r="F83" s="62" t="s">
        <v>11</v>
      </c>
    </row>
    <row r="84">
      <c r="A84" s="63"/>
      <c r="B84" s="64" t="s">
        <v>519</v>
      </c>
      <c r="C84" s="63"/>
      <c r="D84" s="63"/>
      <c r="E84" s="63"/>
      <c r="F84" s="63"/>
    </row>
    <row r="85">
      <c r="A85" s="20"/>
      <c r="B85" s="64" t="s">
        <v>17</v>
      </c>
      <c r="C85" s="20"/>
      <c r="D85" s="20"/>
      <c r="E85" s="20"/>
      <c r="F85" s="20"/>
    </row>
    <row r="86">
      <c r="A86" s="63">
        <v>1551.0</v>
      </c>
      <c r="B86" s="64" t="s">
        <v>712</v>
      </c>
      <c r="C86" s="63" t="s">
        <v>22</v>
      </c>
      <c r="D86" s="63">
        <v>10.2</v>
      </c>
      <c r="E86" s="65">
        <v>415.0</v>
      </c>
      <c r="F86" s="63">
        <f>D86*E86</f>
        <v>4233</v>
      </c>
    </row>
    <row r="87">
      <c r="A87" s="66"/>
      <c r="B87" s="64" t="s">
        <v>528</v>
      </c>
      <c r="C87" s="66"/>
      <c r="D87" s="66"/>
      <c r="E87" s="66"/>
      <c r="F87" s="66"/>
    </row>
    <row r="88">
      <c r="A88" s="20"/>
      <c r="B88" s="64" t="s">
        <v>715</v>
      </c>
      <c r="C88" s="20"/>
      <c r="D88" s="20"/>
      <c r="E88" s="20"/>
      <c r="F88" s="20"/>
    </row>
    <row r="89">
      <c r="A89" s="67">
        <v>2271.0</v>
      </c>
      <c r="B89" s="64" t="s">
        <v>530</v>
      </c>
      <c r="C89" s="67" t="s">
        <v>249</v>
      </c>
      <c r="D89" s="67">
        <v>0.06763</v>
      </c>
      <c r="E89" s="68">
        <v>145.72</v>
      </c>
      <c r="F89" s="67">
        <f t="shared" ref="F89:F90" si="9">D89*E89</f>
        <v>9.8550436</v>
      </c>
    </row>
    <row r="90">
      <c r="A90" s="63">
        <v>9999.0</v>
      </c>
      <c r="B90" s="64" t="s">
        <v>533</v>
      </c>
      <c r="C90" s="63" t="s">
        <v>107</v>
      </c>
      <c r="D90" s="63">
        <v>13.52</v>
      </c>
      <c r="E90" s="65">
        <v>2.12</v>
      </c>
      <c r="F90" s="63">
        <f t="shared" si="9"/>
        <v>28.6624</v>
      </c>
    </row>
    <row r="91">
      <c r="A91" s="20"/>
      <c r="B91" s="64" t="s">
        <v>23</v>
      </c>
      <c r="C91" s="20"/>
      <c r="D91" s="20"/>
      <c r="E91" s="20"/>
      <c r="F91" s="20"/>
    </row>
    <row r="92">
      <c r="A92" s="67">
        <v>116.0</v>
      </c>
      <c r="B92" s="64" t="s">
        <v>535</v>
      </c>
      <c r="C92" s="67" t="s">
        <v>27</v>
      </c>
      <c r="D92" s="67">
        <v>0.25</v>
      </c>
      <c r="E92" s="68">
        <v>784.0</v>
      </c>
      <c r="F92" s="67">
        <f>E92*D92</f>
        <v>196</v>
      </c>
    </row>
    <row r="93">
      <c r="A93" s="67">
        <v>114.0</v>
      </c>
      <c r="B93" s="64" t="s">
        <v>97</v>
      </c>
      <c r="C93" s="67" t="s">
        <v>27</v>
      </c>
      <c r="D93" s="67">
        <v>0.66</v>
      </c>
      <c r="E93" s="68">
        <v>645.0</v>
      </c>
      <c r="F93" s="67">
        <f>D93*E93</f>
        <v>425.7</v>
      </c>
    </row>
    <row r="94">
      <c r="A94" s="69"/>
      <c r="B94" s="81" t="s">
        <v>31</v>
      </c>
      <c r="C94" s="2"/>
      <c r="D94" s="2"/>
      <c r="E94" s="3"/>
      <c r="F94" s="71">
        <f>SUM(F86:F93)</f>
        <v>4893.217444</v>
      </c>
    </row>
    <row r="95">
      <c r="A95" s="66"/>
      <c r="B95" s="70" t="s">
        <v>40</v>
      </c>
      <c r="C95" s="2"/>
      <c r="D95" s="2"/>
      <c r="E95" s="3"/>
      <c r="F95" s="71">
        <f>F94*0.01</f>
        <v>48.93217444</v>
      </c>
    </row>
    <row r="96">
      <c r="A96" s="66"/>
      <c r="B96" s="70" t="s">
        <v>42</v>
      </c>
      <c r="C96" s="2"/>
      <c r="D96" s="2"/>
      <c r="E96" s="3"/>
      <c r="F96" s="71">
        <f>SUM(F94:F95)</f>
        <v>4942.149618</v>
      </c>
    </row>
    <row r="97">
      <c r="A97" s="66"/>
      <c r="B97" s="70" t="s">
        <v>47</v>
      </c>
      <c r="C97" s="2"/>
      <c r="D97" s="2"/>
      <c r="E97" s="3"/>
      <c r="F97" s="71">
        <f>F96*0.15</f>
        <v>741.3224427</v>
      </c>
    </row>
    <row r="98">
      <c r="A98" s="66"/>
      <c r="B98" s="70" t="s">
        <v>42</v>
      </c>
      <c r="C98" s="2"/>
      <c r="D98" s="2"/>
      <c r="E98" s="3"/>
      <c r="F98" s="71">
        <f>SUM(F96:F97)</f>
        <v>5683.472061</v>
      </c>
    </row>
    <row r="99">
      <c r="A99" s="66"/>
      <c r="B99" s="70" t="s">
        <v>552</v>
      </c>
      <c r="C99" s="2"/>
      <c r="D99" s="2"/>
      <c r="E99" s="3"/>
      <c r="F99" s="71">
        <f>F98</f>
        <v>5683.472061</v>
      </c>
    </row>
    <row r="100">
      <c r="A100" s="66"/>
      <c r="B100" s="70" t="s">
        <v>76</v>
      </c>
      <c r="C100" s="2"/>
      <c r="D100" s="2"/>
      <c r="E100" s="3"/>
      <c r="F100" s="71">
        <f>F99/10</f>
        <v>568.3472061</v>
      </c>
    </row>
    <row r="101">
      <c r="A101" s="20"/>
      <c r="B101" s="70" t="s">
        <v>54</v>
      </c>
      <c r="C101" s="2"/>
      <c r="D101" s="2"/>
      <c r="E101" s="3"/>
      <c r="F101" s="75">
        <f>MROUND(F100, 0.05)</f>
        <v>568.35</v>
      </c>
    </row>
    <row r="102">
      <c r="A102" s="4">
        <v>0.0</v>
      </c>
      <c r="B102" s="5" t="s">
        <v>743</v>
      </c>
      <c r="C102" s="2"/>
      <c r="D102" s="2"/>
      <c r="E102" s="2"/>
      <c r="F102" s="3"/>
    </row>
    <row r="103">
      <c r="A103" s="4" t="s">
        <v>4</v>
      </c>
      <c r="B103" s="4" t="s">
        <v>6</v>
      </c>
      <c r="C103" s="4" t="s">
        <v>8</v>
      </c>
      <c r="D103" s="4" t="s">
        <v>9</v>
      </c>
      <c r="E103" s="4" t="s">
        <v>10</v>
      </c>
      <c r="F103" s="4" t="s">
        <v>11</v>
      </c>
    </row>
    <row r="104">
      <c r="A104" s="11"/>
      <c r="B104" s="15" t="s">
        <v>519</v>
      </c>
      <c r="C104" s="11"/>
      <c r="D104" s="11"/>
      <c r="E104" s="11"/>
      <c r="F104" s="11"/>
    </row>
    <row r="105">
      <c r="A105" s="20"/>
      <c r="B105" s="15" t="s">
        <v>17</v>
      </c>
      <c r="C105" s="20"/>
      <c r="D105" s="20"/>
      <c r="E105" s="20"/>
      <c r="F105" s="20"/>
    </row>
    <row r="106">
      <c r="A106" s="11">
        <v>1552.0</v>
      </c>
      <c r="B106" s="15" t="s">
        <v>748</v>
      </c>
      <c r="C106" s="11" t="s">
        <v>22</v>
      </c>
      <c r="D106" s="11">
        <v>10.2</v>
      </c>
      <c r="E106" s="76">
        <v>525.0</v>
      </c>
      <c r="F106" s="11">
        <f>D106*E106</f>
        <v>5355</v>
      </c>
    </row>
    <row r="107">
      <c r="A107" s="66"/>
      <c r="B107" s="15" t="s">
        <v>528</v>
      </c>
      <c r="C107" s="66"/>
      <c r="D107" s="66"/>
      <c r="E107" s="66"/>
      <c r="F107" s="66"/>
    </row>
    <row r="108">
      <c r="A108" s="20"/>
      <c r="B108" s="15" t="s">
        <v>756</v>
      </c>
      <c r="C108" s="20"/>
      <c r="D108" s="20"/>
      <c r="E108" s="20"/>
      <c r="F108" s="20"/>
    </row>
    <row r="109">
      <c r="A109" s="23">
        <v>2271.0</v>
      </c>
      <c r="B109" s="15" t="s">
        <v>530</v>
      </c>
      <c r="C109" s="23" t="s">
        <v>249</v>
      </c>
      <c r="D109" s="23">
        <v>0.08813</v>
      </c>
      <c r="E109" s="22">
        <v>145.72</v>
      </c>
      <c r="F109" s="23">
        <f t="shared" ref="F109:F110" si="10">E109*D109</f>
        <v>12.8423036</v>
      </c>
    </row>
    <row r="110">
      <c r="A110" s="11">
        <v>9999.0</v>
      </c>
      <c r="B110" s="15" t="s">
        <v>533</v>
      </c>
      <c r="C110" s="11" t="s">
        <v>107</v>
      </c>
      <c r="D110" s="11">
        <v>13.52</v>
      </c>
      <c r="E110" s="76">
        <v>2.12</v>
      </c>
      <c r="F110" s="11">
        <f t="shared" si="10"/>
        <v>28.6624</v>
      </c>
    </row>
    <row r="111">
      <c r="A111" s="20"/>
      <c r="B111" s="15" t="s">
        <v>23</v>
      </c>
      <c r="C111" s="20"/>
      <c r="D111" s="20"/>
      <c r="E111" s="20"/>
      <c r="F111" s="20"/>
    </row>
    <row r="112">
      <c r="A112" s="23">
        <v>116.0</v>
      </c>
      <c r="B112" s="15" t="s">
        <v>535</v>
      </c>
      <c r="C112" s="23" t="s">
        <v>27</v>
      </c>
      <c r="D112" s="23">
        <v>0.25</v>
      </c>
      <c r="E112" s="22">
        <v>784.0</v>
      </c>
      <c r="F112" s="23">
        <f t="shared" ref="F112:F113" si="11">E112*D112</f>
        <v>196</v>
      </c>
    </row>
    <row r="113">
      <c r="A113" s="23">
        <v>114.0</v>
      </c>
      <c r="B113" s="15" t="s">
        <v>97</v>
      </c>
      <c r="C113" s="23" t="s">
        <v>27</v>
      </c>
      <c r="D113" s="23">
        <v>0.66</v>
      </c>
      <c r="E113" s="22">
        <v>645.0</v>
      </c>
      <c r="F113" s="23">
        <f t="shared" si="11"/>
        <v>425.7</v>
      </c>
    </row>
    <row r="114">
      <c r="A114" s="77"/>
      <c r="B114" s="78" t="s">
        <v>31</v>
      </c>
      <c r="C114" s="2"/>
      <c r="D114" s="2"/>
      <c r="E114" s="3"/>
      <c r="F114" s="79">
        <f>SUM(F106:F113)</f>
        <v>6018.204704</v>
      </c>
    </row>
    <row r="115">
      <c r="A115" s="66"/>
      <c r="B115" s="80" t="s">
        <v>40</v>
      </c>
      <c r="C115" s="2"/>
      <c r="D115" s="2"/>
      <c r="E115" s="3"/>
      <c r="F115" s="79">
        <f>F114*0.01</f>
        <v>60.18204704</v>
      </c>
    </row>
    <row r="116">
      <c r="A116" s="66"/>
      <c r="B116" s="80" t="s">
        <v>42</v>
      </c>
      <c r="C116" s="2"/>
      <c r="D116" s="2"/>
      <c r="E116" s="3"/>
      <c r="F116" s="79">
        <f>SUM(F114:F115)</f>
        <v>6078.386751</v>
      </c>
    </row>
    <row r="117">
      <c r="A117" s="66"/>
      <c r="B117" s="80" t="s">
        <v>47</v>
      </c>
      <c r="C117" s="2"/>
      <c r="D117" s="2"/>
      <c r="E117" s="3"/>
      <c r="F117" s="79">
        <f>F116*0.15</f>
        <v>911.7580126</v>
      </c>
    </row>
    <row r="118">
      <c r="A118" s="66"/>
      <c r="B118" s="80" t="s">
        <v>42</v>
      </c>
      <c r="C118" s="2"/>
      <c r="D118" s="2"/>
      <c r="E118" s="3"/>
      <c r="F118" s="79">
        <f>SUM(F116:F117)</f>
        <v>6990.144763</v>
      </c>
    </row>
    <row r="119">
      <c r="A119" s="66"/>
      <c r="B119" s="80" t="s">
        <v>552</v>
      </c>
      <c r="C119" s="2"/>
      <c r="D119" s="2"/>
      <c r="E119" s="3"/>
      <c r="F119" s="79">
        <f>F118</f>
        <v>6990.144763</v>
      </c>
    </row>
    <row r="120">
      <c r="A120" s="66"/>
      <c r="B120" s="80" t="s">
        <v>76</v>
      </c>
      <c r="C120" s="2"/>
      <c r="D120" s="2"/>
      <c r="E120" s="3"/>
      <c r="F120" s="79">
        <f>F119/10</f>
        <v>699.0144763</v>
      </c>
    </row>
    <row r="121">
      <c r="A121" s="20"/>
      <c r="B121" s="80" t="s">
        <v>54</v>
      </c>
      <c r="C121" s="2"/>
      <c r="D121" s="2"/>
      <c r="E121" s="3"/>
      <c r="F121" s="35">
        <f>MROUND(F120, 0.05)</f>
        <v>699</v>
      </c>
    </row>
    <row r="122">
      <c r="A122" s="62">
        <v>0.0</v>
      </c>
      <c r="B122" s="61" t="s">
        <v>783</v>
      </c>
      <c r="C122" s="2"/>
      <c r="D122" s="2"/>
      <c r="E122" s="2"/>
      <c r="F122" s="3"/>
    </row>
    <row r="123">
      <c r="A123" s="62" t="s">
        <v>4</v>
      </c>
      <c r="B123" s="62" t="s">
        <v>6</v>
      </c>
      <c r="C123" s="62" t="s">
        <v>8</v>
      </c>
      <c r="D123" s="62" t="s">
        <v>9</v>
      </c>
      <c r="E123" s="62" t="s">
        <v>10</v>
      </c>
      <c r="F123" s="62" t="s">
        <v>11</v>
      </c>
    </row>
    <row r="124">
      <c r="A124" s="63"/>
      <c r="B124" s="64" t="s">
        <v>519</v>
      </c>
      <c r="C124" s="63"/>
      <c r="D124" s="63"/>
      <c r="E124" s="63"/>
      <c r="F124" s="63"/>
    </row>
    <row r="125">
      <c r="A125" s="20"/>
      <c r="B125" s="64" t="s">
        <v>17</v>
      </c>
      <c r="C125" s="20"/>
      <c r="D125" s="20"/>
      <c r="E125" s="20"/>
      <c r="F125" s="20"/>
    </row>
    <row r="126">
      <c r="A126" s="65">
        <v>1545.0</v>
      </c>
      <c r="B126" s="100" t="s">
        <v>792</v>
      </c>
      <c r="C126" s="63" t="s">
        <v>22</v>
      </c>
      <c r="D126" s="63">
        <v>10.2</v>
      </c>
      <c r="E126" s="65">
        <v>95.0</v>
      </c>
      <c r="F126" s="63">
        <f>D126*E126</f>
        <v>969</v>
      </c>
    </row>
    <row r="127">
      <c r="A127" s="66"/>
      <c r="B127" s="64" t="s">
        <v>528</v>
      </c>
      <c r="C127" s="66"/>
      <c r="D127" s="66"/>
      <c r="E127" s="66"/>
      <c r="F127" s="66"/>
    </row>
    <row r="128">
      <c r="A128" s="20"/>
      <c r="B128" s="64" t="s">
        <v>715</v>
      </c>
      <c r="C128" s="20"/>
      <c r="D128" s="20"/>
      <c r="E128" s="20"/>
      <c r="F128" s="20"/>
    </row>
    <row r="129">
      <c r="A129" s="67">
        <v>2271.0</v>
      </c>
      <c r="B129" s="64" t="s">
        <v>530</v>
      </c>
      <c r="C129" s="67" t="s">
        <v>249</v>
      </c>
      <c r="D129" s="67">
        <v>0.06763</v>
      </c>
      <c r="E129" s="68">
        <v>145.72</v>
      </c>
      <c r="F129" s="67">
        <f t="shared" ref="F129:F130" si="12">D129*E129</f>
        <v>9.8550436</v>
      </c>
    </row>
    <row r="130">
      <c r="A130" s="63">
        <v>9999.0</v>
      </c>
      <c r="B130" s="64" t="s">
        <v>533</v>
      </c>
      <c r="C130" s="63" t="s">
        <v>107</v>
      </c>
      <c r="D130" s="63">
        <v>13.52</v>
      </c>
      <c r="E130" s="65">
        <v>2.12</v>
      </c>
      <c r="F130" s="63">
        <f t="shared" si="12"/>
        <v>28.6624</v>
      </c>
    </row>
    <row r="131">
      <c r="A131" s="20"/>
      <c r="B131" s="64" t="s">
        <v>23</v>
      </c>
      <c r="C131" s="20"/>
      <c r="D131" s="20"/>
      <c r="E131" s="20"/>
      <c r="F131" s="20"/>
    </row>
    <row r="132">
      <c r="A132" s="67">
        <v>116.0</v>
      </c>
      <c r="B132" s="64" t="s">
        <v>535</v>
      </c>
      <c r="C132" s="67" t="s">
        <v>27</v>
      </c>
      <c r="D132" s="67">
        <v>0.25</v>
      </c>
      <c r="E132" s="68">
        <v>784.0</v>
      </c>
      <c r="F132" s="67">
        <f>E132*D132</f>
        <v>196</v>
      </c>
    </row>
    <row r="133">
      <c r="A133" s="67">
        <v>114.0</v>
      </c>
      <c r="B133" s="64" t="s">
        <v>97</v>
      </c>
      <c r="C133" s="67" t="s">
        <v>27</v>
      </c>
      <c r="D133" s="67">
        <v>0.66</v>
      </c>
      <c r="E133" s="68">
        <v>645.0</v>
      </c>
      <c r="F133" s="67">
        <f>D133*E133</f>
        <v>425.7</v>
      </c>
    </row>
    <row r="134">
      <c r="A134" s="69"/>
      <c r="B134" s="81" t="s">
        <v>31</v>
      </c>
      <c r="C134" s="2"/>
      <c r="D134" s="2"/>
      <c r="E134" s="3"/>
      <c r="F134" s="71">
        <f>SUM(F126:F133)</f>
        <v>1629.217444</v>
      </c>
    </row>
    <row r="135">
      <c r="A135" s="66"/>
      <c r="B135" s="70" t="s">
        <v>40</v>
      </c>
      <c r="C135" s="2"/>
      <c r="D135" s="2"/>
      <c r="E135" s="3"/>
      <c r="F135" s="71">
        <f>F134*0.01</f>
        <v>16.29217444</v>
      </c>
    </row>
    <row r="136">
      <c r="A136" s="66"/>
      <c r="B136" s="70" t="s">
        <v>42</v>
      </c>
      <c r="C136" s="2"/>
      <c r="D136" s="2"/>
      <c r="E136" s="3"/>
      <c r="F136" s="71">
        <f>SUM(F134:F135)</f>
        <v>1645.509618</v>
      </c>
    </row>
    <row r="137">
      <c r="A137" s="66"/>
      <c r="B137" s="70" t="s">
        <v>47</v>
      </c>
      <c r="C137" s="2"/>
      <c r="D137" s="2"/>
      <c r="E137" s="3"/>
      <c r="F137" s="71">
        <f>F136*0.15</f>
        <v>246.8264427</v>
      </c>
    </row>
    <row r="138">
      <c r="A138" s="66"/>
      <c r="B138" s="70" t="s">
        <v>42</v>
      </c>
      <c r="C138" s="2"/>
      <c r="D138" s="2"/>
      <c r="E138" s="3"/>
      <c r="F138" s="71">
        <f>SUM(F136:F137)</f>
        <v>1892.336061</v>
      </c>
    </row>
    <row r="139">
      <c r="A139" s="66"/>
      <c r="B139" s="70" t="s">
        <v>552</v>
      </c>
      <c r="C139" s="2"/>
      <c r="D139" s="2"/>
      <c r="E139" s="3"/>
      <c r="F139" s="71">
        <f>F138</f>
        <v>1892.336061</v>
      </c>
    </row>
    <row r="140">
      <c r="A140" s="66"/>
      <c r="B140" s="70" t="s">
        <v>76</v>
      </c>
      <c r="C140" s="2"/>
      <c r="D140" s="2"/>
      <c r="E140" s="3"/>
      <c r="F140" s="71">
        <f>F139/10</f>
        <v>189.2336061</v>
      </c>
    </row>
    <row r="141">
      <c r="A141" s="20"/>
      <c r="B141" s="70" t="s">
        <v>54</v>
      </c>
      <c r="C141" s="2"/>
      <c r="D141" s="2"/>
      <c r="E141" s="3"/>
      <c r="F141" s="75">
        <f>MROUND(F140, 0.05)</f>
        <v>189.25</v>
      </c>
    </row>
    <row r="142">
      <c r="A142" s="4">
        <v>0.0</v>
      </c>
      <c r="B142" s="5" t="s">
        <v>813</v>
      </c>
      <c r="C142" s="2"/>
      <c r="D142" s="2"/>
      <c r="E142" s="2"/>
      <c r="F142" s="3"/>
    </row>
    <row r="143">
      <c r="A143" s="4" t="s">
        <v>4</v>
      </c>
      <c r="B143" s="4" t="s">
        <v>6</v>
      </c>
      <c r="C143" s="4" t="s">
        <v>8</v>
      </c>
      <c r="D143" s="4" t="s">
        <v>9</v>
      </c>
      <c r="E143" s="4" t="s">
        <v>10</v>
      </c>
      <c r="F143" s="4" t="s">
        <v>11</v>
      </c>
    </row>
    <row r="144">
      <c r="A144" s="11"/>
      <c r="B144" s="15" t="s">
        <v>519</v>
      </c>
      <c r="C144" s="11"/>
      <c r="D144" s="11"/>
      <c r="E144" s="11"/>
      <c r="F144" s="11"/>
    </row>
    <row r="145">
      <c r="A145" s="20"/>
      <c r="B145" s="15" t="s">
        <v>17</v>
      </c>
      <c r="C145" s="20"/>
      <c r="D145" s="20"/>
      <c r="E145" s="20"/>
      <c r="F145" s="20"/>
    </row>
    <row r="146">
      <c r="A146" s="11">
        <v>1552.0</v>
      </c>
      <c r="B146" s="18" t="s">
        <v>816</v>
      </c>
      <c r="C146" s="11" t="s">
        <v>22</v>
      </c>
      <c r="D146" s="11">
        <v>10.2</v>
      </c>
      <c r="E146" s="76">
        <v>130.0</v>
      </c>
      <c r="F146" s="11">
        <f>D146*E146</f>
        <v>1326</v>
      </c>
    </row>
    <row r="147">
      <c r="A147" s="66"/>
      <c r="B147" s="15" t="s">
        <v>528</v>
      </c>
      <c r="C147" s="66"/>
      <c r="D147" s="66"/>
      <c r="E147" s="66"/>
      <c r="F147" s="66"/>
    </row>
    <row r="148">
      <c r="A148" s="20"/>
      <c r="B148" s="15" t="s">
        <v>756</v>
      </c>
      <c r="C148" s="20"/>
      <c r="D148" s="20"/>
      <c r="E148" s="20"/>
      <c r="F148" s="20"/>
    </row>
    <row r="149">
      <c r="A149" s="23">
        <v>2271.0</v>
      </c>
      <c r="B149" s="15" t="s">
        <v>530</v>
      </c>
      <c r="C149" s="23" t="s">
        <v>249</v>
      </c>
      <c r="D149" s="23">
        <v>0.08813</v>
      </c>
      <c r="E149" s="22">
        <v>145.72</v>
      </c>
      <c r="F149" s="23">
        <f t="shared" ref="F149:F150" si="13">E149*D149</f>
        <v>12.8423036</v>
      </c>
    </row>
    <row r="150">
      <c r="A150" s="11">
        <v>9999.0</v>
      </c>
      <c r="B150" s="15" t="s">
        <v>533</v>
      </c>
      <c r="C150" s="11" t="s">
        <v>107</v>
      </c>
      <c r="D150" s="11">
        <v>13.52</v>
      </c>
      <c r="E150" s="76">
        <v>2.12</v>
      </c>
      <c r="F150" s="11">
        <f t="shared" si="13"/>
        <v>28.6624</v>
      </c>
    </row>
    <row r="151">
      <c r="A151" s="20"/>
      <c r="B151" s="15" t="s">
        <v>23</v>
      </c>
      <c r="C151" s="20"/>
      <c r="D151" s="20"/>
      <c r="E151" s="20"/>
      <c r="F151" s="20"/>
    </row>
    <row r="152">
      <c r="A152" s="23">
        <v>116.0</v>
      </c>
      <c r="B152" s="15" t="s">
        <v>535</v>
      </c>
      <c r="C152" s="23" t="s">
        <v>27</v>
      </c>
      <c r="D152" s="23">
        <v>0.25</v>
      </c>
      <c r="E152" s="22">
        <v>784.0</v>
      </c>
      <c r="F152" s="23">
        <f t="shared" ref="F152:F153" si="14">E152*D152</f>
        <v>196</v>
      </c>
    </row>
    <row r="153">
      <c r="A153" s="23">
        <v>114.0</v>
      </c>
      <c r="B153" s="15" t="s">
        <v>97</v>
      </c>
      <c r="C153" s="23" t="s">
        <v>27</v>
      </c>
      <c r="D153" s="23">
        <v>0.66</v>
      </c>
      <c r="E153" s="22">
        <v>645.0</v>
      </c>
      <c r="F153" s="23">
        <f t="shared" si="14"/>
        <v>425.7</v>
      </c>
    </row>
    <row r="154">
      <c r="A154" s="77"/>
      <c r="B154" s="78" t="s">
        <v>31</v>
      </c>
      <c r="C154" s="2"/>
      <c r="D154" s="2"/>
      <c r="E154" s="3"/>
      <c r="F154" s="79">
        <f>SUM(F146:F153)</f>
        <v>1989.204704</v>
      </c>
    </row>
    <row r="155">
      <c r="A155" s="66"/>
      <c r="B155" s="80" t="s">
        <v>40</v>
      </c>
      <c r="C155" s="2"/>
      <c r="D155" s="2"/>
      <c r="E155" s="3"/>
      <c r="F155" s="79">
        <f>F154*0.01</f>
        <v>19.89204704</v>
      </c>
    </row>
    <row r="156">
      <c r="A156" s="66"/>
      <c r="B156" s="80" t="s">
        <v>42</v>
      </c>
      <c r="C156" s="2"/>
      <c r="D156" s="2"/>
      <c r="E156" s="3"/>
      <c r="F156" s="79">
        <f>SUM(F154:F155)</f>
        <v>2009.096751</v>
      </c>
    </row>
    <row r="157">
      <c r="A157" s="66"/>
      <c r="B157" s="80" t="s">
        <v>47</v>
      </c>
      <c r="C157" s="2"/>
      <c r="D157" s="2"/>
      <c r="E157" s="3"/>
      <c r="F157" s="79">
        <f>F156*0.15</f>
        <v>301.3645126</v>
      </c>
    </row>
    <row r="158">
      <c r="A158" s="66"/>
      <c r="B158" s="80" t="s">
        <v>42</v>
      </c>
      <c r="C158" s="2"/>
      <c r="D158" s="2"/>
      <c r="E158" s="3"/>
      <c r="F158" s="79">
        <f>SUM(F156:F157)</f>
        <v>2310.461263</v>
      </c>
    </row>
    <row r="159">
      <c r="A159" s="66"/>
      <c r="B159" s="80" t="s">
        <v>552</v>
      </c>
      <c r="C159" s="2"/>
      <c r="D159" s="2"/>
      <c r="E159" s="3"/>
      <c r="F159" s="79">
        <f>F158</f>
        <v>2310.461263</v>
      </c>
    </row>
    <row r="160">
      <c r="A160" s="66"/>
      <c r="B160" s="80" t="s">
        <v>76</v>
      </c>
      <c r="C160" s="2"/>
      <c r="D160" s="2"/>
      <c r="E160" s="3"/>
      <c r="F160" s="79">
        <f>F159/10</f>
        <v>231.0461263</v>
      </c>
    </row>
    <row r="161">
      <c r="A161" s="20"/>
      <c r="B161" s="80" t="s">
        <v>54</v>
      </c>
      <c r="C161" s="2"/>
      <c r="D161" s="2"/>
      <c r="E161" s="3"/>
      <c r="F161" s="35">
        <f>MROUND(F160, 0.05)</f>
        <v>231.05</v>
      </c>
    </row>
  </sheetData>
  <mergeCells count="199">
    <mergeCell ref="A6:A8"/>
    <mergeCell ref="A10:A11"/>
    <mergeCell ref="A14:A21"/>
    <mergeCell ref="A24:A25"/>
    <mergeCell ref="A26:A28"/>
    <mergeCell ref="A30:A31"/>
    <mergeCell ref="A34:A41"/>
    <mergeCell ref="A44:A45"/>
    <mergeCell ref="A46:A48"/>
    <mergeCell ref="A50:A51"/>
    <mergeCell ref="A54:A61"/>
    <mergeCell ref="A64:A65"/>
    <mergeCell ref="A66:A68"/>
    <mergeCell ref="A70:A71"/>
    <mergeCell ref="A74:A81"/>
    <mergeCell ref="A84:A85"/>
    <mergeCell ref="A86:A88"/>
    <mergeCell ref="A90:A91"/>
    <mergeCell ref="A94:A101"/>
    <mergeCell ref="A104:A105"/>
    <mergeCell ref="A106:A108"/>
    <mergeCell ref="A146:A148"/>
    <mergeCell ref="A150:A151"/>
    <mergeCell ref="A154:A161"/>
    <mergeCell ref="A110:A111"/>
    <mergeCell ref="A114:A121"/>
    <mergeCell ref="A124:A125"/>
    <mergeCell ref="A126:A128"/>
    <mergeCell ref="A130:A131"/>
    <mergeCell ref="A134:A141"/>
    <mergeCell ref="A144:A145"/>
    <mergeCell ref="C4:C5"/>
    <mergeCell ref="C6:C8"/>
    <mergeCell ref="C10:C11"/>
    <mergeCell ref="C24:C25"/>
    <mergeCell ref="C26:C28"/>
    <mergeCell ref="C30:C31"/>
    <mergeCell ref="C44:C45"/>
    <mergeCell ref="C46:C48"/>
    <mergeCell ref="C50:C51"/>
    <mergeCell ref="C64:C65"/>
    <mergeCell ref="C66:C68"/>
    <mergeCell ref="C70:C71"/>
    <mergeCell ref="C84:C85"/>
    <mergeCell ref="C86:C88"/>
    <mergeCell ref="C144:C145"/>
    <mergeCell ref="C146:C148"/>
    <mergeCell ref="C150:C151"/>
    <mergeCell ref="C90:C91"/>
    <mergeCell ref="C104:C105"/>
    <mergeCell ref="C106:C108"/>
    <mergeCell ref="C110:C111"/>
    <mergeCell ref="C124:C125"/>
    <mergeCell ref="C126:C128"/>
    <mergeCell ref="C130:C131"/>
    <mergeCell ref="A1:F1"/>
    <mergeCell ref="B2:F2"/>
    <mergeCell ref="A4:A5"/>
    <mergeCell ref="D4:D5"/>
    <mergeCell ref="E4:E5"/>
    <mergeCell ref="F4:F5"/>
    <mergeCell ref="F6:F8"/>
    <mergeCell ref="D6:D8"/>
    <mergeCell ref="E6:E8"/>
    <mergeCell ref="D10:D11"/>
    <mergeCell ref="E10:E11"/>
    <mergeCell ref="F10:F11"/>
    <mergeCell ref="B14:E14"/>
    <mergeCell ref="B15:E15"/>
    <mergeCell ref="B16:E16"/>
    <mergeCell ref="B17:E17"/>
    <mergeCell ref="B18:E18"/>
    <mergeCell ref="B19:E19"/>
    <mergeCell ref="B20:E20"/>
    <mergeCell ref="B21:E21"/>
    <mergeCell ref="B22:F22"/>
    <mergeCell ref="D24:D25"/>
    <mergeCell ref="E24:E25"/>
    <mergeCell ref="F24:F25"/>
    <mergeCell ref="D26:D28"/>
    <mergeCell ref="E26:E28"/>
    <mergeCell ref="F26:F28"/>
    <mergeCell ref="D30:D31"/>
    <mergeCell ref="E30:E31"/>
    <mergeCell ref="B34:E34"/>
    <mergeCell ref="B35:E35"/>
    <mergeCell ref="B36:E36"/>
    <mergeCell ref="B37:E37"/>
    <mergeCell ref="B38:E38"/>
    <mergeCell ref="B39:E39"/>
    <mergeCell ref="B40:E40"/>
    <mergeCell ref="B41:E41"/>
    <mergeCell ref="B42:F42"/>
    <mergeCell ref="D44:D45"/>
    <mergeCell ref="E44:E45"/>
    <mergeCell ref="F44:F45"/>
    <mergeCell ref="D46:D48"/>
    <mergeCell ref="E46:E48"/>
    <mergeCell ref="F46:F48"/>
    <mergeCell ref="D50:D51"/>
    <mergeCell ref="E50:E51"/>
    <mergeCell ref="B54:E54"/>
    <mergeCell ref="B55:E55"/>
    <mergeCell ref="B56:E56"/>
    <mergeCell ref="E110:E111"/>
    <mergeCell ref="F110:F111"/>
    <mergeCell ref="B114:E114"/>
    <mergeCell ref="B115:E115"/>
    <mergeCell ref="B116:E116"/>
    <mergeCell ref="B117:E117"/>
    <mergeCell ref="B118:E118"/>
    <mergeCell ref="B119:E119"/>
    <mergeCell ref="B120:E120"/>
    <mergeCell ref="B121:E121"/>
    <mergeCell ref="B122:F122"/>
    <mergeCell ref="D124:D125"/>
    <mergeCell ref="E124:E125"/>
    <mergeCell ref="F124:F125"/>
    <mergeCell ref="D126:D128"/>
    <mergeCell ref="E126:E128"/>
    <mergeCell ref="F126:F128"/>
    <mergeCell ref="D130:D131"/>
    <mergeCell ref="E130:E131"/>
    <mergeCell ref="F130:F131"/>
    <mergeCell ref="B134:E134"/>
    <mergeCell ref="B135:E135"/>
    <mergeCell ref="B136:E136"/>
    <mergeCell ref="B137:E137"/>
    <mergeCell ref="B138:E138"/>
    <mergeCell ref="B139:E139"/>
    <mergeCell ref="B140:E140"/>
    <mergeCell ref="B141:E141"/>
    <mergeCell ref="B142:F142"/>
    <mergeCell ref="D144:D145"/>
    <mergeCell ref="E144:E145"/>
    <mergeCell ref="F144:F145"/>
    <mergeCell ref="D146:D148"/>
    <mergeCell ref="E146:E148"/>
    <mergeCell ref="F146:F148"/>
    <mergeCell ref="B158:E158"/>
    <mergeCell ref="B159:E159"/>
    <mergeCell ref="B160:E160"/>
    <mergeCell ref="B161:E161"/>
    <mergeCell ref="D150:D151"/>
    <mergeCell ref="E150:E151"/>
    <mergeCell ref="F150:F151"/>
    <mergeCell ref="B154:E154"/>
    <mergeCell ref="B155:E155"/>
    <mergeCell ref="B156:E156"/>
    <mergeCell ref="B157:E157"/>
    <mergeCell ref="B57:E57"/>
    <mergeCell ref="B58:E58"/>
    <mergeCell ref="B59:E59"/>
    <mergeCell ref="B60:E60"/>
    <mergeCell ref="B61:E61"/>
    <mergeCell ref="B62:F62"/>
    <mergeCell ref="D64:D65"/>
    <mergeCell ref="E64:E65"/>
    <mergeCell ref="F64:F65"/>
    <mergeCell ref="D66:D68"/>
    <mergeCell ref="E66:E68"/>
    <mergeCell ref="F66:F68"/>
    <mergeCell ref="D70:D71"/>
    <mergeCell ref="F70:F71"/>
    <mergeCell ref="E70:E71"/>
    <mergeCell ref="B74:E74"/>
    <mergeCell ref="B75:E75"/>
    <mergeCell ref="B76:E76"/>
    <mergeCell ref="B77:E77"/>
    <mergeCell ref="B78:E78"/>
    <mergeCell ref="B79:E79"/>
    <mergeCell ref="B80:E80"/>
    <mergeCell ref="B81:E81"/>
    <mergeCell ref="B82:F82"/>
    <mergeCell ref="D84:D85"/>
    <mergeCell ref="E84:E85"/>
    <mergeCell ref="F84:F85"/>
    <mergeCell ref="D86:D88"/>
    <mergeCell ref="E86:E88"/>
    <mergeCell ref="F86:F88"/>
    <mergeCell ref="D90:D91"/>
    <mergeCell ref="E90:E91"/>
    <mergeCell ref="F90:F91"/>
    <mergeCell ref="B94:E94"/>
    <mergeCell ref="B95:E95"/>
    <mergeCell ref="B96:E96"/>
    <mergeCell ref="B97:E97"/>
    <mergeCell ref="B98:E98"/>
    <mergeCell ref="B99:E99"/>
    <mergeCell ref="B100:E100"/>
    <mergeCell ref="B101:E101"/>
    <mergeCell ref="B102:F102"/>
    <mergeCell ref="D104:D105"/>
    <mergeCell ref="E104:E105"/>
    <mergeCell ref="F104:F105"/>
    <mergeCell ref="D106:D108"/>
    <mergeCell ref="E106:E108"/>
    <mergeCell ref="F106:F108"/>
    <mergeCell ref="D110:D111"/>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1" max="1" width="12.57"/>
    <col customWidth="1" min="2" max="2" width="48.29"/>
  </cols>
  <sheetData>
    <row r="1">
      <c r="A1" s="26" t="s">
        <v>354</v>
      </c>
      <c r="B1" s="26" t="s">
        <v>357</v>
      </c>
      <c r="C1" s="26" t="s">
        <v>358</v>
      </c>
      <c r="D1" s="26" t="s">
        <v>8</v>
      </c>
    </row>
    <row r="2">
      <c r="A2" s="29" t="s">
        <v>720</v>
      </c>
      <c r="B2" s="29" t="s">
        <v>721</v>
      </c>
      <c r="C2" s="29">
        <v>232.24</v>
      </c>
      <c r="D2" s="29" t="s">
        <v>488</v>
      </c>
    </row>
    <row r="3">
      <c r="A3" s="29" t="s">
        <v>722</v>
      </c>
      <c r="B3" s="29" t="s">
        <v>723</v>
      </c>
      <c r="C3" s="29">
        <v>273.77</v>
      </c>
      <c r="D3" s="29" t="s">
        <v>488</v>
      </c>
    </row>
    <row r="4">
      <c r="A4" s="29" t="s">
        <v>725</v>
      </c>
      <c r="B4" s="29" t="s">
        <v>726</v>
      </c>
      <c r="C4" s="29">
        <v>362.84</v>
      </c>
      <c r="D4" s="29" t="s">
        <v>488</v>
      </c>
    </row>
    <row r="5">
      <c r="A5" s="29" t="s">
        <v>727</v>
      </c>
      <c r="B5" s="29" t="s">
        <v>728</v>
      </c>
      <c r="C5" s="29">
        <v>397.33</v>
      </c>
      <c r="D5" s="29" t="s">
        <v>488</v>
      </c>
    </row>
    <row r="6">
      <c r="A6" s="29" t="s">
        <v>729</v>
      </c>
      <c r="B6" s="29" t="s">
        <v>730</v>
      </c>
      <c r="C6" s="29">
        <v>484.72</v>
      </c>
      <c r="D6" s="29" t="s">
        <v>488</v>
      </c>
    </row>
    <row r="7">
      <c r="A7" s="29" t="s">
        <v>731</v>
      </c>
      <c r="B7" s="29" t="s">
        <v>732</v>
      </c>
      <c r="C7" s="29">
        <v>567.92</v>
      </c>
      <c r="D7" s="29" t="s">
        <v>488</v>
      </c>
    </row>
    <row r="8">
      <c r="A8" s="29" t="s">
        <v>733</v>
      </c>
      <c r="B8" s="29" t="s">
        <v>734</v>
      </c>
      <c r="C8" s="29">
        <v>667.24</v>
      </c>
      <c r="D8" s="29" t="s">
        <v>488</v>
      </c>
    </row>
    <row r="9">
      <c r="A9" s="29" t="s">
        <v>735</v>
      </c>
      <c r="B9" s="29" t="s">
        <v>736</v>
      </c>
      <c r="C9" s="29">
        <v>797.9</v>
      </c>
      <c r="D9" s="29" t="s">
        <v>488</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sheetData>
    <row r="1">
      <c r="A1" s="82" t="s">
        <v>742</v>
      </c>
      <c r="B1" s="82" t="s">
        <v>745</v>
      </c>
      <c r="C1" s="83" t="s">
        <v>6</v>
      </c>
      <c r="D1" s="2"/>
      <c r="E1" s="3"/>
      <c r="F1" s="84" t="s">
        <v>746</v>
      </c>
      <c r="G1" s="3"/>
    </row>
    <row r="2">
      <c r="A2" s="20"/>
      <c r="B2" s="20"/>
      <c r="C2" s="85" t="s">
        <v>8</v>
      </c>
      <c r="D2" s="85" t="s">
        <v>9</v>
      </c>
      <c r="E2" s="85" t="s">
        <v>358</v>
      </c>
      <c r="F2" s="86" t="s">
        <v>11</v>
      </c>
      <c r="G2" s="85" t="s">
        <v>751</v>
      </c>
    </row>
    <row r="3">
      <c r="A3" s="87" t="s">
        <v>752</v>
      </c>
      <c r="B3" s="2"/>
      <c r="C3" s="2"/>
      <c r="D3" s="2"/>
      <c r="E3" s="2"/>
      <c r="F3" s="2"/>
      <c r="G3" s="3"/>
    </row>
    <row r="4">
      <c r="A4" s="88"/>
      <c r="B4" s="89" t="s">
        <v>754</v>
      </c>
      <c r="C4" s="89" t="s">
        <v>755</v>
      </c>
      <c r="D4" s="89" t="s">
        <v>757</v>
      </c>
      <c r="E4" s="90">
        <v>100.0</v>
      </c>
      <c r="F4" s="91"/>
      <c r="G4" s="3"/>
    </row>
    <row r="5">
      <c r="A5" s="89" t="s">
        <v>761</v>
      </c>
      <c r="B5" s="92" t="s">
        <v>762</v>
      </c>
      <c r="C5" s="2"/>
      <c r="D5" s="2"/>
      <c r="E5" s="2"/>
      <c r="F5" s="2"/>
      <c r="G5" s="3"/>
    </row>
    <row r="6">
      <c r="A6" s="94" t="s">
        <v>764</v>
      </c>
      <c r="B6" s="2"/>
      <c r="C6" s="2"/>
      <c r="D6" s="2"/>
      <c r="E6" s="2"/>
      <c r="F6" s="3"/>
      <c r="G6" s="95" t="s">
        <v>766</v>
      </c>
    </row>
    <row r="7">
      <c r="A7" s="97">
        <v>8019.0</v>
      </c>
      <c r="B7" s="98"/>
      <c r="C7" s="92" t="s">
        <v>770</v>
      </c>
      <c r="D7" s="2"/>
      <c r="E7" s="3"/>
      <c r="F7" s="91"/>
      <c r="G7" s="3"/>
    </row>
    <row r="8">
      <c r="A8" s="20"/>
      <c r="B8" s="20"/>
      <c r="C8" s="89" t="s">
        <v>771</v>
      </c>
      <c r="D8" s="90">
        <v>1.05</v>
      </c>
      <c r="E8" s="90">
        <v>9000.0</v>
      </c>
      <c r="F8" s="99">
        <f>D8*E8</f>
        <v>9450</v>
      </c>
      <c r="G8" s="89" t="s">
        <v>772</v>
      </c>
    </row>
    <row r="9">
      <c r="A9" s="94" t="s">
        <v>773</v>
      </c>
      <c r="B9" s="2"/>
      <c r="C9" s="2"/>
      <c r="D9" s="2"/>
      <c r="E9" s="2"/>
      <c r="F9" s="3"/>
      <c r="G9" s="95" t="s">
        <v>774</v>
      </c>
    </row>
    <row r="10">
      <c r="A10" s="97">
        <v>2205.0</v>
      </c>
      <c r="B10" s="98"/>
      <c r="C10" s="92" t="s">
        <v>775</v>
      </c>
      <c r="D10" s="2"/>
      <c r="E10" s="3"/>
      <c r="F10" s="91"/>
      <c r="G10" s="3"/>
    </row>
    <row r="11">
      <c r="A11" s="20"/>
      <c r="B11" s="20"/>
      <c r="C11" s="89" t="s">
        <v>249</v>
      </c>
      <c r="D11" s="90">
        <v>0.105</v>
      </c>
      <c r="E11" s="90">
        <v>145.72</v>
      </c>
      <c r="F11" s="99">
        <f>D11*E11</f>
        <v>15.3006</v>
      </c>
      <c r="G11" s="89" t="s">
        <v>34</v>
      </c>
    </row>
    <row r="12">
      <c r="A12" s="94" t="s">
        <v>777</v>
      </c>
      <c r="B12" s="2"/>
      <c r="C12" s="2"/>
      <c r="D12" s="2"/>
      <c r="E12" s="2"/>
      <c r="F12" s="3"/>
      <c r="G12" s="95" t="s">
        <v>778</v>
      </c>
    </row>
    <row r="13">
      <c r="A13" s="97">
        <v>116.0</v>
      </c>
      <c r="B13" s="98"/>
      <c r="C13" s="92" t="s">
        <v>535</v>
      </c>
      <c r="D13" s="2"/>
      <c r="E13" s="3"/>
      <c r="F13" s="91"/>
      <c r="G13" s="3"/>
    </row>
    <row r="14">
      <c r="A14" s="20"/>
      <c r="B14" s="20"/>
      <c r="C14" s="89" t="s">
        <v>27</v>
      </c>
      <c r="D14" s="90">
        <v>0.5</v>
      </c>
      <c r="E14" s="90">
        <v>784.0</v>
      </c>
      <c r="F14" s="99">
        <f>E14*D14</f>
        <v>392</v>
      </c>
      <c r="G14" s="89" t="s">
        <v>780</v>
      </c>
    </row>
    <row r="15">
      <c r="A15" s="97">
        <v>102.0</v>
      </c>
      <c r="B15" s="98"/>
      <c r="C15" s="92" t="s">
        <v>781</v>
      </c>
      <c r="D15" s="2"/>
      <c r="E15" s="3"/>
      <c r="F15" s="91"/>
      <c r="G15" s="3"/>
    </row>
    <row r="16">
      <c r="A16" s="20"/>
      <c r="B16" s="20"/>
      <c r="C16" s="89" t="s">
        <v>27</v>
      </c>
      <c r="D16" s="90">
        <v>0.75</v>
      </c>
      <c r="E16" s="90">
        <v>784.0</v>
      </c>
      <c r="F16" s="99">
        <f>E16*D16</f>
        <v>588</v>
      </c>
      <c r="G16" s="89" t="s">
        <v>782</v>
      </c>
    </row>
    <row r="17">
      <c r="A17" s="97">
        <v>103.0</v>
      </c>
      <c r="B17" s="98"/>
      <c r="C17" s="92" t="s">
        <v>785</v>
      </c>
      <c r="D17" s="2"/>
      <c r="E17" s="3"/>
      <c r="F17" s="91"/>
      <c r="G17" s="3"/>
    </row>
    <row r="18">
      <c r="A18" s="20"/>
      <c r="B18" s="20"/>
      <c r="C18" s="89" t="s">
        <v>27</v>
      </c>
      <c r="D18" s="90">
        <v>1.0</v>
      </c>
      <c r="E18" s="90">
        <v>714.0</v>
      </c>
      <c r="F18" s="99">
        <f>E18*D18</f>
        <v>714</v>
      </c>
      <c r="G18" s="89" t="s">
        <v>782</v>
      </c>
    </row>
    <row r="19">
      <c r="A19" s="97" t="s">
        <v>787</v>
      </c>
      <c r="B19" s="98"/>
      <c r="C19" s="92" t="s">
        <v>788</v>
      </c>
      <c r="D19" s="2"/>
      <c r="E19" s="3"/>
      <c r="F19" s="91"/>
      <c r="G19" s="3"/>
    </row>
    <row r="20">
      <c r="A20" s="20"/>
      <c r="B20" s="20"/>
      <c r="C20" s="89" t="s">
        <v>790</v>
      </c>
      <c r="D20" s="90">
        <v>850.0</v>
      </c>
      <c r="E20" s="90">
        <v>2.0</v>
      </c>
      <c r="F20" s="99">
        <f>D20*E20</f>
        <v>1700</v>
      </c>
      <c r="G20" s="89" t="s">
        <v>791</v>
      </c>
    </row>
    <row r="21">
      <c r="A21" s="94" t="s">
        <v>793</v>
      </c>
      <c r="B21" s="2"/>
      <c r="C21" s="2"/>
      <c r="D21" s="2"/>
      <c r="E21" s="2"/>
      <c r="F21" s="3"/>
      <c r="G21" s="95" t="s">
        <v>778</v>
      </c>
    </row>
    <row r="22">
      <c r="A22" s="101" t="s">
        <v>794</v>
      </c>
      <c r="B22" s="98"/>
      <c r="C22" s="92" t="s">
        <v>795</v>
      </c>
      <c r="D22" s="2"/>
      <c r="E22" s="3"/>
      <c r="F22" s="91"/>
      <c r="G22" s="3"/>
    </row>
    <row r="23">
      <c r="A23" s="20"/>
      <c r="B23" s="20"/>
      <c r="C23" s="89" t="s">
        <v>305</v>
      </c>
      <c r="D23" s="90">
        <v>3.0</v>
      </c>
      <c r="E23" s="90">
        <v>48.19</v>
      </c>
      <c r="F23" s="99">
        <f>D23*E23</f>
        <v>144.57</v>
      </c>
      <c r="G23" s="89" t="s">
        <v>797</v>
      </c>
    </row>
    <row r="24">
      <c r="A24" s="102" t="s">
        <v>42</v>
      </c>
      <c r="B24" s="2"/>
      <c r="C24" s="3"/>
      <c r="D24" s="90">
        <v>100.0</v>
      </c>
      <c r="E24" s="103" t="s">
        <v>755</v>
      </c>
      <c r="F24" s="104">
        <f>SUM(F8,F11,F14,F16,F18,F20+F23)</f>
        <v>13003.8706</v>
      </c>
      <c r="G24" s="105"/>
    </row>
    <row r="25">
      <c r="A25" s="102" t="s">
        <v>800</v>
      </c>
      <c r="B25" s="2"/>
      <c r="C25" s="3"/>
      <c r="D25" s="90">
        <v>1.0</v>
      </c>
      <c r="E25" s="103" t="s">
        <v>755</v>
      </c>
      <c r="F25" s="104">
        <f>F24/100</f>
        <v>130.038706</v>
      </c>
      <c r="G25" s="105"/>
    </row>
    <row r="26">
      <c r="A26" s="106" t="s">
        <v>802</v>
      </c>
      <c r="B26" s="2"/>
      <c r="C26" s="2"/>
      <c r="D26" s="3"/>
      <c r="E26" s="104">
        <f>F25</f>
        <v>130.038706</v>
      </c>
      <c r="F26" s="104">
        <f>E26/100</f>
        <v>1.30038706</v>
      </c>
      <c r="G26" s="105"/>
    </row>
    <row r="27">
      <c r="A27" s="106" t="s">
        <v>42</v>
      </c>
      <c r="B27" s="2"/>
      <c r="C27" s="2"/>
      <c r="D27" s="3"/>
      <c r="E27" s="105"/>
      <c r="F27" s="104">
        <f>F25+F26</f>
        <v>131.3390931</v>
      </c>
      <c r="G27" s="105"/>
    </row>
    <row r="28">
      <c r="A28" s="106" t="s">
        <v>806</v>
      </c>
      <c r="B28" s="2"/>
      <c r="C28" s="2"/>
      <c r="D28" s="3"/>
      <c r="E28" s="104">
        <f>F27</f>
        <v>131.3390931</v>
      </c>
      <c r="F28" s="104">
        <f>E28*0.15</f>
        <v>19.70086396</v>
      </c>
      <c r="G28" s="105"/>
    </row>
    <row r="29">
      <c r="A29" s="106" t="s">
        <v>42</v>
      </c>
      <c r="B29" s="2"/>
      <c r="C29" s="2"/>
      <c r="D29" s="3"/>
      <c r="E29" s="105"/>
      <c r="F29" s="104">
        <f>F27+F28</f>
        <v>151.039957</v>
      </c>
      <c r="G29" s="105"/>
    </row>
    <row r="30">
      <c r="A30" s="107" t="s">
        <v>810</v>
      </c>
      <c r="B30" s="2"/>
      <c r="C30" s="2"/>
      <c r="D30" s="3"/>
      <c r="E30" s="108"/>
      <c r="F30" s="109">
        <f>round(F29,2)</f>
        <v>151.04</v>
      </c>
      <c r="G30" s="110" t="s">
        <v>811</v>
      </c>
    </row>
  </sheetData>
  <mergeCells count="46">
    <mergeCell ref="C7:E7"/>
    <mergeCell ref="F7:G7"/>
    <mergeCell ref="A9:F9"/>
    <mergeCell ref="C10:E10"/>
    <mergeCell ref="F10:G10"/>
    <mergeCell ref="A12:F12"/>
    <mergeCell ref="C13:E13"/>
    <mergeCell ref="F13:G13"/>
    <mergeCell ref="B1:B2"/>
    <mergeCell ref="C1:E1"/>
    <mergeCell ref="F1:G1"/>
    <mergeCell ref="A3:G3"/>
    <mergeCell ref="F4:G4"/>
    <mergeCell ref="B5:G5"/>
    <mergeCell ref="A6:F6"/>
    <mergeCell ref="A15:A16"/>
    <mergeCell ref="B15:B16"/>
    <mergeCell ref="C15:E15"/>
    <mergeCell ref="F15:G15"/>
    <mergeCell ref="A17:A18"/>
    <mergeCell ref="B17:B18"/>
    <mergeCell ref="C17:E17"/>
    <mergeCell ref="F17:G17"/>
    <mergeCell ref="A1:A2"/>
    <mergeCell ref="A7:A8"/>
    <mergeCell ref="B7:B8"/>
    <mergeCell ref="A10:A11"/>
    <mergeCell ref="B10:B11"/>
    <mergeCell ref="A13:A14"/>
    <mergeCell ref="B13:B14"/>
    <mergeCell ref="C22:E22"/>
    <mergeCell ref="F22:G22"/>
    <mergeCell ref="A24:C24"/>
    <mergeCell ref="A25:C25"/>
    <mergeCell ref="A26:D26"/>
    <mergeCell ref="A27:D27"/>
    <mergeCell ref="A28:D28"/>
    <mergeCell ref="A29:D29"/>
    <mergeCell ref="A30:D30"/>
    <mergeCell ref="A19:A20"/>
    <mergeCell ref="B19:B20"/>
    <mergeCell ref="C19:E19"/>
    <mergeCell ref="F19:G19"/>
    <mergeCell ref="A21:F21"/>
    <mergeCell ref="A22:A23"/>
    <mergeCell ref="B22:B23"/>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hidden="1" min="8" max="9" width="14.43"/>
  </cols>
  <sheetData>
    <row r="1">
      <c r="A1" s="111" t="s">
        <v>742</v>
      </c>
      <c r="B1" s="111" t="s">
        <v>745</v>
      </c>
      <c r="C1" s="112" t="s">
        <v>6</v>
      </c>
      <c r="D1" s="2"/>
      <c r="E1" s="3"/>
      <c r="F1" s="113" t="s">
        <v>746</v>
      </c>
      <c r="G1" s="3"/>
      <c r="H1" s="114"/>
      <c r="I1" s="114"/>
    </row>
    <row r="2">
      <c r="A2" s="20"/>
      <c r="B2" s="20"/>
      <c r="C2" s="115" t="s">
        <v>8</v>
      </c>
      <c r="D2" s="115" t="s">
        <v>9</v>
      </c>
      <c r="E2" s="115" t="s">
        <v>358</v>
      </c>
      <c r="F2" s="117" t="s">
        <v>11</v>
      </c>
      <c r="G2" s="115" t="s">
        <v>751</v>
      </c>
      <c r="H2" s="114"/>
      <c r="I2" s="114"/>
    </row>
    <row r="3">
      <c r="A3" s="118" t="s">
        <v>822</v>
      </c>
      <c r="B3" s="2"/>
      <c r="C3" s="2"/>
      <c r="D3" s="2"/>
      <c r="E3" s="2"/>
      <c r="F3" s="2"/>
      <c r="G3" s="3"/>
      <c r="H3" s="114"/>
      <c r="I3" s="114"/>
    </row>
    <row r="4">
      <c r="A4" s="119"/>
      <c r="B4" s="120" t="s">
        <v>754</v>
      </c>
      <c r="C4" s="120" t="s">
        <v>824</v>
      </c>
      <c r="D4" s="120" t="s">
        <v>757</v>
      </c>
      <c r="E4" s="121">
        <v>1.0</v>
      </c>
      <c r="F4" s="122"/>
      <c r="G4" s="3"/>
      <c r="H4" s="114"/>
      <c r="I4" s="114"/>
    </row>
    <row r="5">
      <c r="A5" s="120" t="s">
        <v>761</v>
      </c>
      <c r="B5" s="123" t="s">
        <v>15</v>
      </c>
      <c r="C5" s="2"/>
      <c r="D5" s="2"/>
      <c r="E5" s="2"/>
      <c r="F5" s="2"/>
      <c r="G5" s="3"/>
      <c r="H5" s="114"/>
      <c r="I5" s="114"/>
    </row>
    <row r="6">
      <c r="A6" s="124" t="s">
        <v>764</v>
      </c>
      <c r="B6" s="2"/>
      <c r="C6" s="2"/>
      <c r="D6" s="2"/>
      <c r="E6" s="2"/>
      <c r="F6" s="3"/>
      <c r="G6" s="125" t="s">
        <v>766</v>
      </c>
      <c r="H6" s="114"/>
      <c r="I6" s="114"/>
    </row>
    <row r="7">
      <c r="A7" s="126"/>
      <c r="B7" s="127" t="s">
        <v>826</v>
      </c>
      <c r="C7" s="123" t="s">
        <v>828</v>
      </c>
      <c r="D7" s="2"/>
      <c r="E7" s="3"/>
      <c r="F7" s="122"/>
      <c r="G7" s="3"/>
      <c r="H7" s="114"/>
      <c r="I7" s="114"/>
    </row>
    <row r="8">
      <c r="A8" s="20"/>
      <c r="B8" s="20"/>
      <c r="C8" s="120" t="s">
        <v>824</v>
      </c>
      <c r="D8" s="121">
        <v>1.0</v>
      </c>
      <c r="E8" s="121">
        <f t="array" ref="E8">IFERROR(INDEX(LMRRates,MATCH(B7,LMRCodes,0), ), )</f>
        <v>6553</v>
      </c>
      <c r="F8" s="128">
        <f>D8*E8</f>
        <v>6553</v>
      </c>
      <c r="G8" s="120" t="s">
        <v>772</v>
      </c>
      <c r="H8" s="114"/>
      <c r="I8" s="114"/>
    </row>
    <row r="9">
      <c r="A9" s="129" t="s">
        <v>42</v>
      </c>
      <c r="B9" s="2"/>
      <c r="C9" s="3"/>
      <c r="D9" s="121">
        <v>1.0</v>
      </c>
      <c r="E9" s="130" t="s">
        <v>824</v>
      </c>
      <c r="F9" s="128">
        <f>F8</f>
        <v>6553</v>
      </c>
      <c r="G9" s="131"/>
      <c r="H9" s="114"/>
      <c r="I9" s="114"/>
    </row>
    <row r="10">
      <c r="A10" s="129" t="s">
        <v>800</v>
      </c>
      <c r="B10" s="2"/>
      <c r="C10" s="3"/>
      <c r="D10" s="121">
        <v>1.0</v>
      </c>
      <c r="E10" s="130" t="s">
        <v>824</v>
      </c>
      <c r="F10" s="132">
        <f>F9/D9</f>
        <v>6553</v>
      </c>
      <c r="G10" s="131"/>
      <c r="H10" s="114"/>
      <c r="I10" s="114"/>
    </row>
    <row r="11">
      <c r="A11" s="133" t="s">
        <v>802</v>
      </c>
      <c r="B11" s="2"/>
      <c r="C11" s="2"/>
      <c r="D11" s="3"/>
      <c r="E11" s="128">
        <f>F10</f>
        <v>6553</v>
      </c>
      <c r="F11" s="128">
        <f>E11*1%</f>
        <v>65.53</v>
      </c>
      <c r="G11" s="131"/>
      <c r="H11" s="114"/>
      <c r="I11" s="114"/>
    </row>
    <row r="12">
      <c r="A12" s="133" t="s">
        <v>42</v>
      </c>
      <c r="B12" s="2"/>
      <c r="C12" s="2"/>
      <c r="D12" s="3"/>
      <c r="E12" s="131"/>
      <c r="F12" s="132">
        <f>F10+F11</f>
        <v>6618.53</v>
      </c>
      <c r="G12" s="131"/>
      <c r="H12" s="114"/>
      <c r="I12" s="114"/>
    </row>
    <row r="13">
      <c r="A13" s="133" t="s">
        <v>806</v>
      </c>
      <c r="B13" s="2"/>
      <c r="C13" s="2"/>
      <c r="D13" s="3"/>
      <c r="E13" s="128">
        <f>F12</f>
        <v>6618.53</v>
      </c>
      <c r="F13" s="128">
        <f>E13*15%</f>
        <v>992.7795</v>
      </c>
      <c r="G13" s="131"/>
      <c r="H13" s="114"/>
      <c r="I13" s="114"/>
    </row>
    <row r="14">
      <c r="A14" s="133" t="s">
        <v>42</v>
      </c>
      <c r="B14" s="2"/>
      <c r="C14" s="2"/>
      <c r="D14" s="3"/>
      <c r="E14" s="131"/>
      <c r="F14" s="132">
        <f>round(F12+F13,2)</f>
        <v>7611.31</v>
      </c>
      <c r="G14" s="131"/>
      <c r="H14" s="114"/>
      <c r="I14" s="114"/>
    </row>
    <row r="15">
      <c r="A15" s="124" t="s">
        <v>773</v>
      </c>
      <c r="B15" s="2"/>
      <c r="C15" s="2"/>
      <c r="D15" s="2"/>
      <c r="E15" s="2"/>
      <c r="F15" s="3"/>
      <c r="G15" s="125" t="s">
        <v>774</v>
      </c>
      <c r="H15" s="114"/>
      <c r="I15" s="114"/>
    </row>
    <row r="16">
      <c r="A16" s="127">
        <v>2202.0</v>
      </c>
      <c r="B16" s="126"/>
      <c r="C16" s="123" t="s">
        <v>95</v>
      </c>
      <c r="D16" s="2"/>
      <c r="E16" s="3"/>
      <c r="F16" s="122"/>
      <c r="G16" s="3"/>
      <c r="H16" s="114"/>
      <c r="I16" s="114"/>
    </row>
    <row r="17">
      <c r="A17" s="20"/>
      <c r="B17" s="20"/>
      <c r="C17" s="120" t="s">
        <v>824</v>
      </c>
      <c r="D17" s="121">
        <v>1.0</v>
      </c>
      <c r="E17" s="121">
        <v>163.93</v>
      </c>
      <c r="F17" s="128">
        <f>D17*E17</f>
        <v>163.93</v>
      </c>
      <c r="G17" s="120" t="s">
        <v>34</v>
      </c>
      <c r="H17" s="114"/>
      <c r="I17" s="114"/>
    </row>
    <row r="18">
      <c r="A18" s="124" t="s">
        <v>777</v>
      </c>
      <c r="B18" s="2"/>
      <c r="C18" s="2"/>
      <c r="D18" s="2"/>
      <c r="E18" s="2"/>
      <c r="F18" s="3"/>
      <c r="G18" s="125" t="s">
        <v>778</v>
      </c>
      <c r="H18" s="114"/>
      <c r="I18" s="114"/>
    </row>
    <row r="19">
      <c r="A19" s="127">
        <v>115.0</v>
      </c>
      <c r="B19" s="126"/>
      <c r="C19" s="123" t="s">
        <v>841</v>
      </c>
      <c r="D19" s="2"/>
      <c r="E19" s="3"/>
      <c r="F19" s="122"/>
      <c r="G19" s="3"/>
      <c r="H19" s="114"/>
      <c r="I19" s="114"/>
    </row>
    <row r="20">
      <c r="A20" s="20"/>
      <c r="B20" s="20"/>
      <c r="C20" s="120" t="s">
        <v>27</v>
      </c>
      <c r="D20" s="121">
        <v>0.8</v>
      </c>
      <c r="E20" s="121">
        <v>645.0</v>
      </c>
      <c r="F20" s="128">
        <f>D20*E20</f>
        <v>516</v>
      </c>
      <c r="G20" s="120" t="s">
        <v>780</v>
      </c>
      <c r="H20" s="114"/>
      <c r="I20" s="114"/>
    </row>
    <row r="21">
      <c r="A21" s="124" t="s">
        <v>843</v>
      </c>
      <c r="B21" s="2"/>
      <c r="C21" s="2"/>
      <c r="D21" s="2"/>
      <c r="E21" s="2"/>
      <c r="F21" s="3"/>
      <c r="G21" s="125" t="s">
        <v>778</v>
      </c>
      <c r="H21" s="114"/>
      <c r="I21" s="114"/>
    </row>
    <row r="22">
      <c r="A22" s="127">
        <v>9999.0</v>
      </c>
      <c r="B22" s="126"/>
      <c r="C22" s="123" t="s">
        <v>845</v>
      </c>
      <c r="D22" s="2"/>
      <c r="E22" s="3"/>
      <c r="F22" s="122"/>
      <c r="G22" s="3"/>
      <c r="H22" s="114"/>
      <c r="I22" s="114"/>
    </row>
    <row r="23">
      <c r="A23" s="20"/>
      <c r="B23" s="20"/>
      <c r="C23" s="120" t="s">
        <v>107</v>
      </c>
      <c r="D23" s="121">
        <v>10.0</v>
      </c>
      <c r="E23" s="121">
        <v>2.12</v>
      </c>
      <c r="F23" s="128">
        <f>D23*E23</f>
        <v>21.2</v>
      </c>
      <c r="G23" s="120" t="s">
        <v>846</v>
      </c>
      <c r="H23" s="114"/>
      <c r="I23" s="114"/>
    </row>
    <row r="24">
      <c r="A24" s="127">
        <v>9999.0</v>
      </c>
      <c r="B24" s="126"/>
      <c r="C24" s="123" t="s">
        <v>847</v>
      </c>
      <c r="D24" s="2"/>
      <c r="E24" s="3"/>
      <c r="F24" s="122"/>
      <c r="G24" s="3"/>
      <c r="H24" s="114"/>
      <c r="I24" s="114"/>
    </row>
    <row r="25">
      <c r="A25" s="20"/>
      <c r="B25" s="20"/>
      <c r="C25" s="120" t="s">
        <v>107</v>
      </c>
      <c r="D25" s="121">
        <v>5.0</v>
      </c>
      <c r="E25" s="121">
        <v>2.12</v>
      </c>
      <c r="F25" s="128">
        <f>D25*E25</f>
        <v>10.6</v>
      </c>
      <c r="G25" s="120" t="s">
        <v>850</v>
      </c>
      <c r="H25" s="114"/>
      <c r="I25" s="114"/>
    </row>
    <row r="26">
      <c r="A26" s="129" t="s">
        <v>42</v>
      </c>
      <c r="B26" s="2"/>
      <c r="C26" s="3"/>
      <c r="D26" s="121">
        <v>1.0</v>
      </c>
      <c r="E26" s="130" t="s">
        <v>824</v>
      </c>
      <c r="F26" s="128">
        <f>F17+F20+F23+F25</f>
        <v>711.73</v>
      </c>
      <c r="G26" s="131"/>
      <c r="H26" s="114"/>
      <c r="I26" s="114"/>
    </row>
    <row r="27">
      <c r="A27" s="129" t="s">
        <v>800</v>
      </c>
      <c r="B27" s="2"/>
      <c r="C27" s="3"/>
      <c r="D27" s="121">
        <v>1.0</v>
      </c>
      <c r="E27" s="130" t="s">
        <v>824</v>
      </c>
      <c r="F27" s="132">
        <f>F26/D26</f>
        <v>711.73</v>
      </c>
      <c r="G27" s="131"/>
      <c r="H27" s="114"/>
      <c r="I27" s="114"/>
    </row>
    <row r="28">
      <c r="A28" s="133" t="s">
        <v>802</v>
      </c>
      <c r="B28" s="2"/>
      <c r="C28" s="2"/>
      <c r="D28" s="3"/>
      <c r="E28" s="128">
        <f>F27</f>
        <v>711.73</v>
      </c>
      <c r="F28" s="128">
        <f>E28*1%</f>
        <v>7.1173</v>
      </c>
      <c r="G28" s="131"/>
      <c r="H28" s="114"/>
      <c r="I28" s="114"/>
    </row>
    <row r="29">
      <c r="A29" s="133" t="s">
        <v>42</v>
      </c>
      <c r="B29" s="2"/>
      <c r="C29" s="2"/>
      <c r="D29" s="3"/>
      <c r="E29" s="131"/>
      <c r="F29" s="132">
        <f>F27+F28</f>
        <v>718.8473</v>
      </c>
      <c r="G29" s="131"/>
      <c r="H29" s="114"/>
      <c r="I29" s="114"/>
    </row>
    <row r="30">
      <c r="A30" s="133" t="s">
        <v>806</v>
      </c>
      <c r="B30" s="2"/>
      <c r="C30" s="2"/>
      <c r="D30" s="3"/>
      <c r="E30" s="128">
        <f>F29</f>
        <v>718.8473</v>
      </c>
      <c r="F30" s="128">
        <f>E30*15%</f>
        <v>107.827095</v>
      </c>
      <c r="G30" s="131"/>
      <c r="H30" s="114"/>
      <c r="I30" s="114"/>
    </row>
    <row r="31">
      <c r="A31" s="133" t="s">
        <v>42</v>
      </c>
      <c r="B31" s="2"/>
      <c r="C31" s="2"/>
      <c r="D31" s="3"/>
      <c r="E31" s="131"/>
      <c r="F31" s="132">
        <f>round(F29+F30,2)</f>
        <v>826.67</v>
      </c>
      <c r="G31" s="131"/>
      <c r="H31" s="114"/>
      <c r="I31" s="114"/>
    </row>
    <row r="32">
      <c r="A32" s="152" t="str">
        <f>CONCATENATE("Say ₹ ",F14," + ",F31," x Cost Index")</f>
        <v>Say ₹ 7611.31 + 826.67 x Cost Index</v>
      </c>
      <c r="B32" s="2"/>
      <c r="C32" s="2"/>
      <c r="D32" s="2"/>
      <c r="E32" s="2"/>
      <c r="F32" s="2"/>
      <c r="G32" s="3"/>
      <c r="H32" s="153">
        <f>F8*1.01*1.15</f>
        <v>7611.3095</v>
      </c>
      <c r="I32" s="153">
        <f>(F17+F20+F23+F25)*1.01*1.15</f>
        <v>826.674395</v>
      </c>
    </row>
  </sheetData>
  <mergeCells count="44">
    <mergeCell ref="C7:E7"/>
    <mergeCell ref="F7:G7"/>
    <mergeCell ref="B1:B2"/>
    <mergeCell ref="C1:E1"/>
    <mergeCell ref="F1:G1"/>
    <mergeCell ref="A3:G3"/>
    <mergeCell ref="F4:G4"/>
    <mergeCell ref="B5:G5"/>
    <mergeCell ref="A6:F6"/>
    <mergeCell ref="A1:A2"/>
    <mergeCell ref="A7:A8"/>
    <mergeCell ref="B7:B8"/>
    <mergeCell ref="A9:C9"/>
    <mergeCell ref="A10:C10"/>
    <mergeCell ref="A11:D11"/>
    <mergeCell ref="A12:D12"/>
    <mergeCell ref="C19:E19"/>
    <mergeCell ref="F19:G19"/>
    <mergeCell ref="A21:F21"/>
    <mergeCell ref="C22:E22"/>
    <mergeCell ref="F22:G22"/>
    <mergeCell ref="C24:E24"/>
    <mergeCell ref="F24:G24"/>
    <mergeCell ref="A13:D13"/>
    <mergeCell ref="A14:D14"/>
    <mergeCell ref="A15:F15"/>
    <mergeCell ref="B16:B17"/>
    <mergeCell ref="C16:E16"/>
    <mergeCell ref="F16:G16"/>
    <mergeCell ref="A18:F18"/>
    <mergeCell ref="A26:C26"/>
    <mergeCell ref="A27:C27"/>
    <mergeCell ref="A28:D28"/>
    <mergeCell ref="A29:D29"/>
    <mergeCell ref="A30:D30"/>
    <mergeCell ref="A31:D31"/>
    <mergeCell ref="A32:G32"/>
    <mergeCell ref="A16:A17"/>
    <mergeCell ref="A19:A20"/>
    <mergeCell ref="B19:B20"/>
    <mergeCell ref="A22:A23"/>
    <mergeCell ref="B22:B23"/>
    <mergeCell ref="A24:A25"/>
    <mergeCell ref="B24:B25"/>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9.14"/>
    <col customWidth="1" min="2" max="2" width="35.14"/>
    <col customWidth="1" min="3" max="5" width="9.14"/>
    <col customWidth="1" min="6" max="6" width="11.43"/>
  </cols>
  <sheetData>
    <row r="1">
      <c r="A1" s="1" t="s">
        <v>835</v>
      </c>
      <c r="B1" s="2"/>
      <c r="C1" s="2"/>
      <c r="D1" s="2"/>
      <c r="E1" s="2"/>
      <c r="F1" s="3"/>
    </row>
    <row r="2">
      <c r="A2" s="134">
        <v>0.0</v>
      </c>
      <c r="B2" s="135" t="s">
        <v>836</v>
      </c>
      <c r="C2" s="136"/>
      <c r="D2" s="136"/>
      <c r="E2" s="136"/>
      <c r="F2" s="137"/>
    </row>
    <row r="3">
      <c r="A3" s="134" t="s">
        <v>4</v>
      </c>
      <c r="B3" s="134" t="s">
        <v>6</v>
      </c>
      <c r="C3" s="134" t="s">
        <v>8</v>
      </c>
      <c r="D3" s="134" t="s">
        <v>9</v>
      </c>
      <c r="E3" s="134" t="s">
        <v>10</v>
      </c>
      <c r="F3" s="134" t="s">
        <v>11</v>
      </c>
    </row>
    <row r="4">
      <c r="A4" s="138"/>
      <c r="B4" s="139" t="s">
        <v>519</v>
      </c>
      <c r="C4" s="138"/>
      <c r="D4" s="138"/>
      <c r="E4" s="138"/>
      <c r="F4" s="138"/>
    </row>
    <row r="5">
      <c r="A5" s="140"/>
      <c r="B5" s="139" t="s">
        <v>838</v>
      </c>
      <c r="C5" s="140"/>
      <c r="D5" s="140"/>
      <c r="E5" s="140"/>
      <c r="F5" s="140"/>
    </row>
    <row r="6">
      <c r="A6" s="76" t="s">
        <v>18</v>
      </c>
      <c r="B6" s="141" t="s">
        <v>19</v>
      </c>
      <c r="C6" s="142" t="s">
        <v>22</v>
      </c>
      <c r="D6" s="143">
        <v>10.5</v>
      </c>
      <c r="E6" s="143">
        <f t="array" ref="E6">IFERROR(INDEX(LMRRates,MATCH(A6,LMRCodes,0), ), )</f>
        <v>281</v>
      </c>
      <c r="F6" s="144">
        <f>D6*E6</f>
        <v>2950.5</v>
      </c>
    </row>
    <row r="7">
      <c r="A7" s="20"/>
      <c r="B7" s="141" t="s">
        <v>842</v>
      </c>
      <c r="C7" s="140"/>
      <c r="D7" s="140"/>
      <c r="E7" s="140"/>
      <c r="F7" s="140"/>
    </row>
    <row r="8">
      <c r="A8" s="145"/>
      <c r="B8" s="146" t="s">
        <v>37</v>
      </c>
      <c r="C8" s="136"/>
      <c r="D8" s="136"/>
      <c r="E8" s="137"/>
      <c r="F8" s="147">
        <f>SUM(F6:F7)</f>
        <v>2950.5</v>
      </c>
    </row>
    <row r="9">
      <c r="A9" s="145"/>
      <c r="B9" s="146" t="s">
        <v>40</v>
      </c>
      <c r="C9" s="136"/>
      <c r="D9" s="136"/>
      <c r="E9" s="137"/>
      <c r="F9" s="147">
        <f>F8*0.01</f>
        <v>29.505</v>
      </c>
    </row>
    <row r="10">
      <c r="A10" s="145"/>
      <c r="B10" s="146" t="s">
        <v>42</v>
      </c>
      <c r="C10" s="136"/>
      <c r="D10" s="136"/>
      <c r="E10" s="137"/>
      <c r="F10" s="147">
        <f>F8+F9</f>
        <v>2980.005</v>
      </c>
    </row>
    <row r="11">
      <c r="A11" s="145"/>
      <c r="B11" s="146" t="s">
        <v>47</v>
      </c>
      <c r="C11" s="136"/>
      <c r="D11" s="136"/>
      <c r="E11" s="137"/>
      <c r="F11" s="147">
        <f>F10*0.15</f>
        <v>447.00075</v>
      </c>
    </row>
    <row r="12">
      <c r="A12" s="145"/>
      <c r="B12" s="146" t="s">
        <v>42</v>
      </c>
      <c r="C12" s="136"/>
      <c r="D12" s="136"/>
      <c r="E12" s="137"/>
      <c r="F12" s="147">
        <f>F10+F11</f>
        <v>3427.00575</v>
      </c>
    </row>
    <row r="13">
      <c r="A13" s="145"/>
      <c r="B13" s="146" t="s">
        <v>552</v>
      </c>
      <c r="C13" s="136"/>
      <c r="D13" s="136"/>
      <c r="E13" s="137"/>
      <c r="F13" s="147">
        <f>F12</f>
        <v>3427.00575</v>
      </c>
    </row>
    <row r="14">
      <c r="A14" s="145"/>
      <c r="B14" s="146" t="s">
        <v>76</v>
      </c>
      <c r="C14" s="136"/>
      <c r="D14" s="136"/>
      <c r="E14" s="137"/>
      <c r="F14" s="148">
        <f>round((F13/10),2)</f>
        <v>342.7</v>
      </c>
    </row>
    <row r="15">
      <c r="A15" s="145">
        <v>116.0</v>
      </c>
      <c r="B15" s="139" t="s">
        <v>535</v>
      </c>
      <c r="C15" s="145" t="s">
        <v>27</v>
      </c>
      <c r="D15" s="145">
        <v>0.33</v>
      </c>
      <c r="E15" s="149">
        <v>784.0</v>
      </c>
      <c r="F15" s="150">
        <f t="shared" ref="F15:F17" si="1">D15*E15</f>
        <v>258.72</v>
      </c>
    </row>
    <row r="16">
      <c r="A16" s="145">
        <v>117.0</v>
      </c>
      <c r="B16" s="139" t="s">
        <v>856</v>
      </c>
      <c r="C16" s="145" t="s">
        <v>27</v>
      </c>
      <c r="D16" s="145">
        <v>0.4</v>
      </c>
      <c r="E16" s="149">
        <v>714.0</v>
      </c>
      <c r="F16" s="150">
        <f t="shared" si="1"/>
        <v>285.6</v>
      </c>
    </row>
    <row r="17">
      <c r="A17" s="145">
        <v>114.0</v>
      </c>
      <c r="B17" s="139" t="s">
        <v>97</v>
      </c>
      <c r="C17" s="145" t="s">
        <v>27</v>
      </c>
      <c r="D17" s="145">
        <v>0.4</v>
      </c>
      <c r="E17" s="149">
        <v>645.0</v>
      </c>
      <c r="F17" s="150">
        <f t="shared" si="1"/>
        <v>258</v>
      </c>
    </row>
    <row r="18">
      <c r="A18" s="151"/>
      <c r="B18" s="146" t="s">
        <v>31</v>
      </c>
      <c r="C18" s="136"/>
      <c r="D18" s="136"/>
      <c r="E18" s="137"/>
      <c r="F18" s="147">
        <f>SUM(F15:F17)</f>
        <v>802.32</v>
      </c>
    </row>
    <row r="19">
      <c r="A19" s="151"/>
      <c r="B19" s="146" t="s">
        <v>40</v>
      </c>
      <c r="C19" s="136"/>
      <c r="D19" s="136"/>
      <c r="E19" s="137"/>
      <c r="F19" s="147">
        <f>F18*0.01</f>
        <v>8.0232</v>
      </c>
    </row>
    <row r="20">
      <c r="A20" s="151"/>
      <c r="B20" s="146" t="s">
        <v>42</v>
      </c>
      <c r="C20" s="136"/>
      <c r="D20" s="136"/>
      <c r="E20" s="137"/>
      <c r="F20" s="147">
        <f>SUM(F18:F19)</f>
        <v>810.3432</v>
      </c>
    </row>
    <row r="21">
      <c r="A21" s="151"/>
      <c r="B21" s="146" t="s">
        <v>47</v>
      </c>
      <c r="C21" s="136"/>
      <c r="D21" s="136"/>
      <c r="E21" s="137"/>
      <c r="F21" s="147">
        <f>F20*0.15</f>
        <v>121.55148</v>
      </c>
    </row>
    <row r="22">
      <c r="A22" s="151"/>
      <c r="B22" s="146" t="s">
        <v>42</v>
      </c>
      <c r="C22" s="136"/>
      <c r="D22" s="136"/>
      <c r="E22" s="137"/>
      <c r="F22" s="147">
        <f>SUM(F20:F21)</f>
        <v>931.89468</v>
      </c>
    </row>
    <row r="23">
      <c r="A23" s="151"/>
      <c r="B23" s="146" t="s">
        <v>552</v>
      </c>
      <c r="C23" s="136"/>
      <c r="D23" s="136"/>
      <c r="E23" s="137"/>
      <c r="F23" s="147">
        <f>F22</f>
        <v>931.89468</v>
      </c>
    </row>
    <row r="24">
      <c r="A24" s="151"/>
      <c r="B24" s="146" t="s">
        <v>76</v>
      </c>
      <c r="C24" s="136"/>
      <c r="D24" s="136"/>
      <c r="E24" s="137"/>
      <c r="F24" s="148">
        <f>round((F23/10),2)</f>
        <v>93.19</v>
      </c>
    </row>
    <row r="25">
      <c r="A25" s="154" t="str">
        <f>CONCATENATE("Say ₹ ",F14," + ",F24," x Cost Index")</f>
        <v>Say ₹ 342.7 + 93.19 x Cost Index</v>
      </c>
      <c r="B25" s="136"/>
      <c r="C25" s="136"/>
      <c r="D25" s="136"/>
      <c r="E25" s="136"/>
      <c r="F25" s="137"/>
    </row>
    <row r="26">
      <c r="A26" s="155">
        <v>0.0</v>
      </c>
      <c r="B26" s="156" t="s">
        <v>862</v>
      </c>
      <c r="C26" s="136"/>
      <c r="D26" s="136"/>
      <c r="E26" s="136"/>
      <c r="F26" s="137"/>
    </row>
    <row r="27">
      <c r="A27" s="155" t="s">
        <v>4</v>
      </c>
      <c r="B27" s="155" t="s">
        <v>6</v>
      </c>
      <c r="C27" s="155" t="s">
        <v>8</v>
      </c>
      <c r="D27" s="155" t="s">
        <v>9</v>
      </c>
      <c r="E27" s="155" t="s">
        <v>10</v>
      </c>
      <c r="F27" s="155" t="s">
        <v>11</v>
      </c>
    </row>
    <row r="28">
      <c r="A28" s="157"/>
      <c r="B28" s="158" t="s">
        <v>519</v>
      </c>
      <c r="C28" s="157"/>
      <c r="D28" s="157"/>
      <c r="E28" s="157"/>
      <c r="F28" s="157"/>
    </row>
    <row r="29">
      <c r="A29" s="140"/>
      <c r="B29" s="158" t="s">
        <v>838</v>
      </c>
      <c r="C29" s="140"/>
      <c r="D29" s="140"/>
      <c r="E29" s="140"/>
      <c r="F29" s="140"/>
    </row>
    <row r="30">
      <c r="A30" s="160" t="s">
        <v>320</v>
      </c>
      <c r="B30" s="161" t="s">
        <v>321</v>
      </c>
      <c r="C30" s="162" t="s">
        <v>22</v>
      </c>
      <c r="D30" s="163">
        <v>10.5</v>
      </c>
      <c r="E30" s="163">
        <f t="array" ref="E30">IFERROR(INDEX(LMRRates,MATCH(A30,LMRCodes,0), ), )</f>
        <v>387</v>
      </c>
      <c r="F30" s="166">
        <f>D30*E30</f>
        <v>4063.5</v>
      </c>
    </row>
    <row r="31">
      <c r="A31" s="20"/>
      <c r="B31" s="161" t="s">
        <v>842</v>
      </c>
      <c r="C31" s="140"/>
      <c r="D31" s="140"/>
      <c r="E31" s="140"/>
      <c r="F31" s="140"/>
    </row>
    <row r="32">
      <c r="A32" s="167"/>
      <c r="B32" s="168" t="s">
        <v>37</v>
      </c>
      <c r="C32" s="136"/>
      <c r="D32" s="136"/>
      <c r="E32" s="137"/>
      <c r="F32" s="170">
        <f>SUM(F30:F31)</f>
        <v>4063.5</v>
      </c>
    </row>
    <row r="33">
      <c r="A33" s="167"/>
      <c r="B33" s="168" t="s">
        <v>40</v>
      </c>
      <c r="C33" s="136"/>
      <c r="D33" s="136"/>
      <c r="E33" s="137"/>
      <c r="F33" s="170">
        <f>F32*0.01</f>
        <v>40.635</v>
      </c>
    </row>
    <row r="34">
      <c r="A34" s="167"/>
      <c r="B34" s="168" t="s">
        <v>42</v>
      </c>
      <c r="C34" s="136"/>
      <c r="D34" s="136"/>
      <c r="E34" s="137"/>
      <c r="F34" s="170">
        <f>F32+F33</f>
        <v>4104.135</v>
      </c>
    </row>
    <row r="35">
      <c r="A35" s="167"/>
      <c r="B35" s="168" t="s">
        <v>47</v>
      </c>
      <c r="C35" s="136"/>
      <c r="D35" s="136"/>
      <c r="E35" s="137"/>
      <c r="F35" s="170">
        <f>F34*0.15</f>
        <v>615.62025</v>
      </c>
    </row>
    <row r="36">
      <c r="A36" s="167"/>
      <c r="B36" s="168" t="s">
        <v>42</v>
      </c>
      <c r="C36" s="136"/>
      <c r="D36" s="136"/>
      <c r="E36" s="137"/>
      <c r="F36" s="170">
        <f>F34+F35</f>
        <v>4719.75525</v>
      </c>
    </row>
    <row r="37">
      <c r="A37" s="167"/>
      <c r="B37" s="168" t="s">
        <v>552</v>
      </c>
      <c r="C37" s="136"/>
      <c r="D37" s="136"/>
      <c r="E37" s="137"/>
      <c r="F37" s="170">
        <f>F36</f>
        <v>4719.75525</v>
      </c>
    </row>
    <row r="38">
      <c r="A38" s="167"/>
      <c r="B38" s="168" t="s">
        <v>76</v>
      </c>
      <c r="C38" s="136"/>
      <c r="D38" s="136"/>
      <c r="E38" s="137"/>
      <c r="F38" s="171">
        <f>round((F37/10),2)</f>
        <v>471.98</v>
      </c>
    </row>
    <row r="39">
      <c r="A39" s="167">
        <v>116.0</v>
      </c>
      <c r="B39" s="158" t="s">
        <v>535</v>
      </c>
      <c r="C39" s="167" t="s">
        <v>27</v>
      </c>
      <c r="D39" s="167">
        <v>0.33</v>
      </c>
      <c r="E39" s="172">
        <v>784.0</v>
      </c>
      <c r="F39" s="174">
        <f t="shared" ref="F39:F41" si="2">D39*E39</f>
        <v>258.72</v>
      </c>
    </row>
    <row r="40">
      <c r="A40" s="167">
        <v>117.0</v>
      </c>
      <c r="B40" s="158" t="s">
        <v>856</v>
      </c>
      <c r="C40" s="167" t="s">
        <v>27</v>
      </c>
      <c r="D40" s="167">
        <v>0.4</v>
      </c>
      <c r="E40" s="172">
        <v>714.0</v>
      </c>
      <c r="F40" s="174">
        <f t="shared" si="2"/>
        <v>285.6</v>
      </c>
    </row>
    <row r="41">
      <c r="A41" s="167">
        <v>114.0</v>
      </c>
      <c r="B41" s="158" t="s">
        <v>97</v>
      </c>
      <c r="C41" s="167" t="s">
        <v>27</v>
      </c>
      <c r="D41" s="167">
        <v>0.4</v>
      </c>
      <c r="E41" s="172">
        <v>645.0</v>
      </c>
      <c r="F41" s="174">
        <f t="shared" si="2"/>
        <v>258</v>
      </c>
    </row>
    <row r="42">
      <c r="A42" s="177"/>
      <c r="B42" s="168" t="s">
        <v>31</v>
      </c>
      <c r="C42" s="136"/>
      <c r="D42" s="136"/>
      <c r="E42" s="137"/>
      <c r="F42" s="170">
        <f>SUM(F39:F41)</f>
        <v>802.32</v>
      </c>
    </row>
    <row r="43">
      <c r="A43" s="177"/>
      <c r="B43" s="168" t="s">
        <v>40</v>
      </c>
      <c r="C43" s="136"/>
      <c r="D43" s="136"/>
      <c r="E43" s="137"/>
      <c r="F43" s="170">
        <f>F42*0.01</f>
        <v>8.0232</v>
      </c>
    </row>
    <row r="44">
      <c r="A44" s="177"/>
      <c r="B44" s="168" t="s">
        <v>42</v>
      </c>
      <c r="C44" s="136"/>
      <c r="D44" s="136"/>
      <c r="E44" s="137"/>
      <c r="F44" s="170">
        <f>SUM(F42:F43)</f>
        <v>810.3432</v>
      </c>
    </row>
    <row r="45">
      <c r="A45" s="177"/>
      <c r="B45" s="168" t="s">
        <v>47</v>
      </c>
      <c r="C45" s="136"/>
      <c r="D45" s="136"/>
      <c r="E45" s="137"/>
      <c r="F45" s="170">
        <f>F44*0.15</f>
        <v>121.55148</v>
      </c>
    </row>
    <row r="46">
      <c r="A46" s="177"/>
      <c r="B46" s="168" t="s">
        <v>42</v>
      </c>
      <c r="C46" s="136"/>
      <c r="D46" s="136"/>
      <c r="E46" s="137"/>
      <c r="F46" s="170">
        <f>SUM(F44:F45)</f>
        <v>931.89468</v>
      </c>
    </row>
    <row r="47">
      <c r="A47" s="177"/>
      <c r="B47" s="168" t="s">
        <v>552</v>
      </c>
      <c r="C47" s="136"/>
      <c r="D47" s="136"/>
      <c r="E47" s="137"/>
      <c r="F47" s="170">
        <f>F46</f>
        <v>931.89468</v>
      </c>
    </row>
    <row r="48">
      <c r="A48" s="177"/>
      <c r="B48" s="168" t="s">
        <v>76</v>
      </c>
      <c r="C48" s="136"/>
      <c r="D48" s="136"/>
      <c r="E48" s="137"/>
      <c r="F48" s="171">
        <f>round((F47/10),2)</f>
        <v>93.19</v>
      </c>
    </row>
    <row r="49">
      <c r="A49" s="192" t="str">
        <f>CONCATENATE("Say ₹ ",F38," + ",F48," x Cost Index")</f>
        <v>Say ₹ 471.98 + 93.19 x Cost Index</v>
      </c>
      <c r="B49" s="136"/>
      <c r="C49" s="136"/>
      <c r="D49" s="136"/>
      <c r="E49" s="136"/>
      <c r="F49" s="137"/>
    </row>
    <row r="50">
      <c r="A50" s="134">
        <v>0.0</v>
      </c>
      <c r="B50" s="135" t="s">
        <v>885</v>
      </c>
      <c r="C50" s="136"/>
      <c r="D50" s="136"/>
      <c r="E50" s="136"/>
      <c r="F50" s="137"/>
    </row>
    <row r="51">
      <c r="A51" s="134" t="s">
        <v>4</v>
      </c>
      <c r="B51" s="134" t="s">
        <v>6</v>
      </c>
      <c r="C51" s="134" t="s">
        <v>8</v>
      </c>
      <c r="D51" s="134" t="s">
        <v>9</v>
      </c>
      <c r="E51" s="134" t="s">
        <v>10</v>
      </c>
      <c r="F51" s="134" t="s">
        <v>11</v>
      </c>
    </row>
    <row r="52">
      <c r="A52" s="138"/>
      <c r="B52" s="139" t="s">
        <v>519</v>
      </c>
      <c r="C52" s="138"/>
      <c r="D52" s="138"/>
      <c r="E52" s="138"/>
      <c r="F52" s="138"/>
    </row>
    <row r="53">
      <c r="A53" s="140"/>
      <c r="B53" s="139" t="s">
        <v>838</v>
      </c>
      <c r="C53" s="140"/>
      <c r="D53" s="140"/>
      <c r="E53" s="140"/>
      <c r="F53" s="140"/>
    </row>
    <row r="54" ht="20.25" customHeight="1">
      <c r="A54" s="143">
        <v>0.0</v>
      </c>
      <c r="B54" s="141" t="s">
        <v>889</v>
      </c>
      <c r="C54" s="142" t="s">
        <v>22</v>
      </c>
      <c r="D54" s="143">
        <v>10.5</v>
      </c>
      <c r="E54" s="143">
        <v>340.0</v>
      </c>
      <c r="F54" s="144">
        <f>D54*E54</f>
        <v>3570</v>
      </c>
    </row>
    <row r="55">
      <c r="A55" s="140"/>
      <c r="B55" s="141" t="s">
        <v>842</v>
      </c>
      <c r="C55" s="140"/>
      <c r="D55" s="140"/>
      <c r="E55" s="140"/>
      <c r="F55" s="140"/>
    </row>
    <row r="56">
      <c r="A56" s="145"/>
      <c r="B56" s="146" t="s">
        <v>37</v>
      </c>
      <c r="C56" s="136"/>
      <c r="D56" s="136"/>
      <c r="E56" s="137"/>
      <c r="F56" s="147">
        <f>SUM(F54:F55)</f>
        <v>3570</v>
      </c>
    </row>
    <row r="57">
      <c r="A57" s="145"/>
      <c r="B57" s="146" t="s">
        <v>40</v>
      </c>
      <c r="C57" s="136"/>
      <c r="D57" s="136"/>
      <c r="E57" s="137"/>
      <c r="F57" s="147">
        <f>F56*0.01</f>
        <v>35.7</v>
      </c>
    </row>
    <row r="58">
      <c r="A58" s="145"/>
      <c r="B58" s="146" t="s">
        <v>42</v>
      </c>
      <c r="C58" s="136"/>
      <c r="D58" s="136"/>
      <c r="E58" s="137"/>
      <c r="F58" s="147">
        <f>F56+F57</f>
        <v>3605.7</v>
      </c>
    </row>
    <row r="59">
      <c r="A59" s="145"/>
      <c r="B59" s="146" t="s">
        <v>47</v>
      </c>
      <c r="C59" s="136"/>
      <c r="D59" s="136"/>
      <c r="E59" s="137"/>
      <c r="F59" s="147">
        <f>F58*0.15</f>
        <v>540.855</v>
      </c>
    </row>
    <row r="60">
      <c r="A60" s="145"/>
      <c r="B60" s="146" t="s">
        <v>42</v>
      </c>
      <c r="C60" s="136"/>
      <c r="D60" s="136"/>
      <c r="E60" s="137"/>
      <c r="F60" s="147">
        <f>F58+F59</f>
        <v>4146.555</v>
      </c>
    </row>
    <row r="61">
      <c r="A61" s="145"/>
      <c r="B61" s="146" t="s">
        <v>552</v>
      </c>
      <c r="C61" s="136"/>
      <c r="D61" s="136"/>
      <c r="E61" s="137"/>
      <c r="F61" s="147">
        <f>F60</f>
        <v>4146.555</v>
      </c>
    </row>
    <row r="62">
      <c r="A62" s="145"/>
      <c r="B62" s="146" t="s">
        <v>76</v>
      </c>
      <c r="C62" s="136"/>
      <c r="D62" s="136"/>
      <c r="E62" s="137"/>
      <c r="F62" s="148">
        <f>round((F61/10),2)</f>
        <v>414.66</v>
      </c>
    </row>
    <row r="63">
      <c r="A63" s="145">
        <v>116.0</v>
      </c>
      <c r="B63" s="139" t="s">
        <v>535</v>
      </c>
      <c r="C63" s="145" t="s">
        <v>27</v>
      </c>
      <c r="D63" s="145">
        <v>0.33</v>
      </c>
      <c r="E63" s="149">
        <v>784.0</v>
      </c>
      <c r="F63" s="150">
        <f t="shared" ref="F63:F65" si="3">D63*E63</f>
        <v>258.72</v>
      </c>
    </row>
    <row r="64">
      <c r="A64" s="145">
        <v>117.0</v>
      </c>
      <c r="B64" s="139" t="s">
        <v>856</v>
      </c>
      <c r="C64" s="145" t="s">
        <v>27</v>
      </c>
      <c r="D64" s="145">
        <v>0.4</v>
      </c>
      <c r="E64" s="149">
        <v>714.0</v>
      </c>
      <c r="F64" s="150">
        <f t="shared" si="3"/>
        <v>285.6</v>
      </c>
    </row>
    <row r="65">
      <c r="A65" s="145">
        <v>114.0</v>
      </c>
      <c r="B65" s="139" t="s">
        <v>97</v>
      </c>
      <c r="C65" s="145" t="s">
        <v>27</v>
      </c>
      <c r="D65" s="145">
        <v>0.4</v>
      </c>
      <c r="E65" s="149">
        <v>645.0</v>
      </c>
      <c r="F65" s="150">
        <f t="shared" si="3"/>
        <v>258</v>
      </c>
    </row>
    <row r="66">
      <c r="A66" s="151"/>
      <c r="B66" s="146" t="s">
        <v>31</v>
      </c>
      <c r="C66" s="136"/>
      <c r="D66" s="136"/>
      <c r="E66" s="137"/>
      <c r="F66" s="147">
        <f>SUM(F63:F65)</f>
        <v>802.32</v>
      </c>
    </row>
    <row r="67">
      <c r="A67" s="151"/>
      <c r="B67" s="146" t="s">
        <v>40</v>
      </c>
      <c r="C67" s="136"/>
      <c r="D67" s="136"/>
      <c r="E67" s="137"/>
      <c r="F67" s="147">
        <f>F66*0.01</f>
        <v>8.0232</v>
      </c>
    </row>
    <row r="68">
      <c r="A68" s="151"/>
      <c r="B68" s="146" t="s">
        <v>42</v>
      </c>
      <c r="C68" s="136"/>
      <c r="D68" s="136"/>
      <c r="E68" s="137"/>
      <c r="F68" s="147">
        <f>SUM(F66:F67)</f>
        <v>810.3432</v>
      </c>
    </row>
    <row r="69">
      <c r="A69" s="151"/>
      <c r="B69" s="146" t="s">
        <v>47</v>
      </c>
      <c r="C69" s="136"/>
      <c r="D69" s="136"/>
      <c r="E69" s="137"/>
      <c r="F69" s="147">
        <f>F68*0.15</f>
        <v>121.55148</v>
      </c>
    </row>
    <row r="70">
      <c r="A70" s="151"/>
      <c r="B70" s="146" t="s">
        <v>42</v>
      </c>
      <c r="C70" s="136"/>
      <c r="D70" s="136"/>
      <c r="E70" s="137"/>
      <c r="F70" s="147">
        <f>SUM(F68:F69)</f>
        <v>931.89468</v>
      </c>
    </row>
    <row r="71">
      <c r="A71" s="151"/>
      <c r="B71" s="146" t="s">
        <v>552</v>
      </c>
      <c r="C71" s="136"/>
      <c r="D71" s="136"/>
      <c r="E71" s="137"/>
      <c r="F71" s="147">
        <f>F70</f>
        <v>931.89468</v>
      </c>
    </row>
    <row r="72">
      <c r="A72" s="151"/>
      <c r="B72" s="146" t="s">
        <v>76</v>
      </c>
      <c r="C72" s="136"/>
      <c r="D72" s="136"/>
      <c r="E72" s="137"/>
      <c r="F72" s="148">
        <f>round((F71/10),2)</f>
        <v>93.19</v>
      </c>
    </row>
    <row r="73">
      <c r="A73" s="154" t="str">
        <f>CONCATENATE("Say ₹ ",F62," + ",F72," x Cost Index")</f>
        <v>Say ₹ 414.66 + 93.19 x Cost Index</v>
      </c>
      <c r="B73" s="136"/>
      <c r="C73" s="136"/>
      <c r="D73" s="136"/>
      <c r="E73" s="136"/>
      <c r="F73" s="137"/>
    </row>
    <row r="74">
      <c r="A74" s="155">
        <v>0.0</v>
      </c>
      <c r="B74" s="156" t="s">
        <v>911</v>
      </c>
      <c r="C74" s="136"/>
      <c r="D74" s="136"/>
      <c r="E74" s="136"/>
      <c r="F74" s="137"/>
    </row>
    <row r="75">
      <c r="A75" s="155" t="s">
        <v>4</v>
      </c>
      <c r="B75" s="155" t="s">
        <v>6</v>
      </c>
      <c r="C75" s="155" t="s">
        <v>8</v>
      </c>
      <c r="D75" s="155" t="s">
        <v>9</v>
      </c>
      <c r="E75" s="155" t="s">
        <v>10</v>
      </c>
      <c r="F75" s="155" t="s">
        <v>11</v>
      </c>
    </row>
    <row r="76">
      <c r="A76" s="157"/>
      <c r="B76" s="158" t="s">
        <v>519</v>
      </c>
      <c r="C76" s="157"/>
      <c r="D76" s="157"/>
      <c r="E76" s="157"/>
      <c r="F76" s="157"/>
    </row>
    <row r="77">
      <c r="A77" s="140"/>
      <c r="B77" s="158" t="s">
        <v>838</v>
      </c>
      <c r="C77" s="140"/>
      <c r="D77" s="140"/>
      <c r="E77" s="140"/>
      <c r="F77" s="140"/>
    </row>
    <row r="78">
      <c r="A78" s="163">
        <v>0.0</v>
      </c>
      <c r="B78" s="161" t="s">
        <v>914</v>
      </c>
      <c r="C78" s="162" t="s">
        <v>22</v>
      </c>
      <c r="D78" s="162">
        <v>11.5</v>
      </c>
      <c r="E78" s="163">
        <v>350.0</v>
      </c>
      <c r="F78" s="166">
        <f>D78*E78</f>
        <v>4025</v>
      </c>
    </row>
    <row r="79">
      <c r="A79" s="140"/>
      <c r="B79" s="158" t="s">
        <v>915</v>
      </c>
      <c r="C79" s="140"/>
      <c r="D79" s="140"/>
      <c r="E79" s="140"/>
      <c r="F79" s="140"/>
    </row>
    <row r="80">
      <c r="A80" s="167"/>
      <c r="B80" s="168" t="s">
        <v>37</v>
      </c>
      <c r="C80" s="136"/>
      <c r="D80" s="136"/>
      <c r="E80" s="137"/>
      <c r="F80" s="170">
        <f>SUM(F78:F79)</f>
        <v>4025</v>
      </c>
    </row>
    <row r="81">
      <c r="A81" s="167"/>
      <c r="B81" s="168" t="s">
        <v>40</v>
      </c>
      <c r="C81" s="136"/>
      <c r="D81" s="136"/>
      <c r="E81" s="137"/>
      <c r="F81" s="170">
        <f>F80*0.01</f>
        <v>40.25</v>
      </c>
    </row>
    <row r="82">
      <c r="A82" s="167"/>
      <c r="B82" s="168" t="s">
        <v>42</v>
      </c>
      <c r="C82" s="136"/>
      <c r="D82" s="136"/>
      <c r="E82" s="137"/>
      <c r="F82" s="170">
        <f>F80+F81</f>
        <v>4065.25</v>
      </c>
    </row>
    <row r="83">
      <c r="A83" s="167"/>
      <c r="B83" s="168" t="s">
        <v>47</v>
      </c>
      <c r="C83" s="136"/>
      <c r="D83" s="136"/>
      <c r="E83" s="137"/>
      <c r="F83" s="170">
        <f>F82*0.15</f>
        <v>609.7875</v>
      </c>
    </row>
    <row r="84">
      <c r="A84" s="167"/>
      <c r="B84" s="168" t="s">
        <v>42</v>
      </c>
      <c r="C84" s="136"/>
      <c r="D84" s="136"/>
      <c r="E84" s="137"/>
      <c r="F84" s="170">
        <f>F82+F83</f>
        <v>4675.0375</v>
      </c>
    </row>
    <row r="85">
      <c r="A85" s="167"/>
      <c r="B85" s="168" t="s">
        <v>552</v>
      </c>
      <c r="C85" s="136"/>
      <c r="D85" s="136"/>
      <c r="E85" s="137"/>
      <c r="F85" s="170">
        <f>F84</f>
        <v>4675.0375</v>
      </c>
    </row>
    <row r="86">
      <c r="A86" s="167"/>
      <c r="B86" s="168" t="s">
        <v>76</v>
      </c>
      <c r="C86" s="136"/>
      <c r="D86" s="136"/>
      <c r="E86" s="137"/>
      <c r="F86" s="171">
        <f>round((F85/10),2)</f>
        <v>467.5</v>
      </c>
    </row>
    <row r="87">
      <c r="A87" s="167">
        <v>116.0</v>
      </c>
      <c r="B87" s="158" t="s">
        <v>535</v>
      </c>
      <c r="C87" s="167" t="s">
        <v>27</v>
      </c>
      <c r="D87" s="167">
        <v>0.33</v>
      </c>
      <c r="E87" s="172">
        <v>784.0</v>
      </c>
      <c r="F87" s="174">
        <f t="shared" ref="F87:F89" si="4">D87*E87</f>
        <v>258.72</v>
      </c>
    </row>
    <row r="88">
      <c r="A88" s="167">
        <v>117.0</v>
      </c>
      <c r="B88" s="158" t="s">
        <v>856</v>
      </c>
      <c r="C88" s="167" t="s">
        <v>27</v>
      </c>
      <c r="D88" s="167">
        <v>0.4</v>
      </c>
      <c r="E88" s="172">
        <v>714.0</v>
      </c>
      <c r="F88" s="174">
        <f t="shared" si="4"/>
        <v>285.6</v>
      </c>
    </row>
    <row r="89">
      <c r="A89" s="167">
        <v>114.0</v>
      </c>
      <c r="B89" s="158" t="s">
        <v>97</v>
      </c>
      <c r="C89" s="167" t="s">
        <v>27</v>
      </c>
      <c r="D89" s="167">
        <v>0.4</v>
      </c>
      <c r="E89" s="172">
        <v>645.0</v>
      </c>
      <c r="F89" s="174">
        <f t="shared" si="4"/>
        <v>258</v>
      </c>
    </row>
    <row r="90">
      <c r="A90" s="177"/>
      <c r="B90" s="168" t="s">
        <v>31</v>
      </c>
      <c r="C90" s="136"/>
      <c r="D90" s="136"/>
      <c r="E90" s="137"/>
      <c r="F90" s="170">
        <f>SUM(F87:F89)</f>
        <v>802.32</v>
      </c>
    </row>
    <row r="91">
      <c r="A91" s="177"/>
      <c r="B91" s="168" t="s">
        <v>40</v>
      </c>
      <c r="C91" s="136"/>
      <c r="D91" s="136"/>
      <c r="E91" s="137"/>
      <c r="F91" s="170">
        <f>F90*0.01</f>
        <v>8.0232</v>
      </c>
    </row>
    <row r="92">
      <c r="A92" s="177"/>
      <c r="B92" s="168" t="s">
        <v>42</v>
      </c>
      <c r="C92" s="136"/>
      <c r="D92" s="136"/>
      <c r="E92" s="137"/>
      <c r="F92" s="170">
        <f>SUM(F90:F91)</f>
        <v>810.3432</v>
      </c>
    </row>
    <row r="93">
      <c r="A93" s="177"/>
      <c r="B93" s="168" t="s">
        <v>47</v>
      </c>
      <c r="C93" s="136"/>
      <c r="D93" s="136"/>
      <c r="E93" s="137"/>
      <c r="F93" s="170">
        <f>F92*0.15</f>
        <v>121.55148</v>
      </c>
    </row>
    <row r="94">
      <c r="A94" s="177"/>
      <c r="B94" s="168" t="s">
        <v>42</v>
      </c>
      <c r="C94" s="136"/>
      <c r="D94" s="136"/>
      <c r="E94" s="137"/>
      <c r="F94" s="170">
        <f>SUM(F92:F93)</f>
        <v>931.89468</v>
      </c>
    </row>
    <row r="95">
      <c r="A95" s="177"/>
      <c r="B95" s="168" t="s">
        <v>552</v>
      </c>
      <c r="C95" s="136"/>
      <c r="D95" s="136"/>
      <c r="E95" s="137"/>
      <c r="F95" s="170">
        <f>F94</f>
        <v>931.89468</v>
      </c>
    </row>
    <row r="96">
      <c r="A96" s="177"/>
      <c r="B96" s="168" t="s">
        <v>76</v>
      </c>
      <c r="C96" s="136"/>
      <c r="D96" s="136"/>
      <c r="E96" s="137"/>
      <c r="F96" s="171">
        <f>round((F95/10),2)</f>
        <v>93.19</v>
      </c>
    </row>
    <row r="97">
      <c r="A97" s="192" t="str">
        <f>CONCATENATE("Say ₹ ",F86," + ",F96," x Cost Index")</f>
        <v>Say ₹ 467.5 + 93.19 x Cost Index</v>
      </c>
      <c r="B97" s="136"/>
      <c r="C97" s="136"/>
      <c r="D97" s="136"/>
      <c r="E97" s="136"/>
      <c r="F97" s="137"/>
    </row>
    <row r="98">
      <c r="A98" s="134">
        <v>0.0</v>
      </c>
      <c r="B98" s="135" t="s">
        <v>927</v>
      </c>
      <c r="C98" s="136"/>
      <c r="D98" s="136"/>
      <c r="E98" s="136"/>
      <c r="F98" s="137"/>
    </row>
    <row r="99">
      <c r="A99" s="134" t="s">
        <v>4</v>
      </c>
      <c r="B99" s="134" t="s">
        <v>6</v>
      </c>
      <c r="C99" s="134" t="s">
        <v>8</v>
      </c>
      <c r="D99" s="134" t="s">
        <v>9</v>
      </c>
      <c r="E99" s="134" t="s">
        <v>10</v>
      </c>
      <c r="F99" s="134" t="s">
        <v>11</v>
      </c>
    </row>
    <row r="100">
      <c r="A100" s="138"/>
      <c r="B100" s="139" t="s">
        <v>931</v>
      </c>
      <c r="C100" s="138"/>
      <c r="D100" s="138"/>
      <c r="E100" s="138"/>
      <c r="F100" s="138"/>
    </row>
    <row r="101">
      <c r="A101" s="140"/>
      <c r="B101" s="139" t="s">
        <v>838</v>
      </c>
      <c r="C101" s="140"/>
      <c r="D101" s="140"/>
      <c r="E101" s="140"/>
      <c r="F101" s="140"/>
    </row>
    <row r="102">
      <c r="A102" s="149" t="s">
        <v>932</v>
      </c>
      <c r="B102" s="141" t="s">
        <v>933</v>
      </c>
      <c r="C102" s="145" t="s">
        <v>934</v>
      </c>
      <c r="D102" s="145">
        <v>10.0</v>
      </c>
      <c r="E102" s="149">
        <v>35.0</v>
      </c>
      <c r="F102" s="150">
        <f>D102*E102</f>
        <v>350</v>
      </c>
    </row>
    <row r="103">
      <c r="A103" s="145"/>
      <c r="B103" s="146" t="s">
        <v>37</v>
      </c>
      <c r="C103" s="136"/>
      <c r="D103" s="136"/>
      <c r="E103" s="137"/>
      <c r="F103" s="147">
        <f>SUM(F102)</f>
        <v>350</v>
      </c>
    </row>
    <row r="104">
      <c r="A104" s="145"/>
      <c r="B104" s="146" t="s">
        <v>40</v>
      </c>
      <c r="C104" s="136"/>
      <c r="D104" s="136"/>
      <c r="E104" s="137"/>
      <c r="F104" s="147">
        <f>F103*0.01</f>
        <v>3.5</v>
      </c>
    </row>
    <row r="105">
      <c r="A105" s="145"/>
      <c r="B105" s="146" t="s">
        <v>42</v>
      </c>
      <c r="C105" s="136"/>
      <c r="D105" s="136"/>
      <c r="E105" s="137"/>
      <c r="F105" s="147">
        <f>F103+F104</f>
        <v>353.5</v>
      </c>
    </row>
    <row r="106">
      <c r="A106" s="145"/>
      <c r="B106" s="146" t="s">
        <v>47</v>
      </c>
      <c r="C106" s="136"/>
      <c r="D106" s="136"/>
      <c r="E106" s="137"/>
      <c r="F106" s="147">
        <f>F105*0.15</f>
        <v>53.025</v>
      </c>
    </row>
    <row r="107">
      <c r="A107" s="145"/>
      <c r="B107" s="146" t="s">
        <v>42</v>
      </c>
      <c r="C107" s="136"/>
      <c r="D107" s="136"/>
      <c r="E107" s="137"/>
      <c r="F107" s="147">
        <f>F105+F106</f>
        <v>406.525</v>
      </c>
    </row>
    <row r="108">
      <c r="A108" s="145"/>
      <c r="B108" s="239" t="s">
        <v>943</v>
      </c>
      <c r="C108" s="136"/>
      <c r="D108" s="136"/>
      <c r="E108" s="137"/>
      <c r="F108" s="147">
        <f>F107</f>
        <v>406.525</v>
      </c>
    </row>
    <row r="109">
      <c r="A109" s="145"/>
      <c r="B109" s="239" t="s">
        <v>947</v>
      </c>
      <c r="C109" s="136"/>
      <c r="D109" s="136"/>
      <c r="E109" s="137"/>
      <c r="F109" s="148">
        <f>round((F108/10),2)</f>
        <v>40.65</v>
      </c>
    </row>
    <row r="110">
      <c r="A110" s="145">
        <v>116.0</v>
      </c>
      <c r="B110" s="139" t="s">
        <v>535</v>
      </c>
      <c r="C110" s="145" t="s">
        <v>27</v>
      </c>
      <c r="D110" s="145">
        <v>0.15</v>
      </c>
      <c r="E110" s="149">
        <v>784.0</v>
      </c>
      <c r="F110" s="150">
        <f t="shared" ref="F110:F112" si="5">D110*E110</f>
        <v>117.6</v>
      </c>
    </row>
    <row r="111">
      <c r="A111" s="145">
        <v>103.0</v>
      </c>
      <c r="B111" s="139" t="s">
        <v>951</v>
      </c>
      <c r="C111" s="145" t="s">
        <v>27</v>
      </c>
      <c r="D111" s="145">
        <v>0.1</v>
      </c>
      <c r="E111" s="149">
        <v>714.0</v>
      </c>
      <c r="F111" s="150">
        <f t="shared" si="5"/>
        <v>71.4</v>
      </c>
    </row>
    <row r="112">
      <c r="A112" s="145">
        <v>114.0</v>
      </c>
      <c r="B112" s="139" t="s">
        <v>97</v>
      </c>
      <c r="C112" s="145" t="s">
        <v>27</v>
      </c>
      <c r="D112" s="145">
        <v>0.1</v>
      </c>
      <c r="E112" s="149">
        <v>645.0</v>
      </c>
      <c r="F112" s="150">
        <f t="shared" si="5"/>
        <v>64.5</v>
      </c>
    </row>
    <row r="113">
      <c r="A113" s="151"/>
      <c r="B113" s="146" t="s">
        <v>31</v>
      </c>
      <c r="C113" s="136"/>
      <c r="D113" s="136"/>
      <c r="E113" s="137"/>
      <c r="F113" s="147">
        <f>SUM(F110:F112)</f>
        <v>253.5</v>
      </c>
    </row>
    <row r="114">
      <c r="A114" s="151"/>
      <c r="B114" s="146" t="s">
        <v>40</v>
      </c>
      <c r="C114" s="136"/>
      <c r="D114" s="136"/>
      <c r="E114" s="137"/>
      <c r="F114" s="147">
        <f>F113*0.01</f>
        <v>2.535</v>
      </c>
    </row>
    <row r="115">
      <c r="A115" s="151"/>
      <c r="B115" s="146" t="s">
        <v>42</v>
      </c>
      <c r="C115" s="136"/>
      <c r="D115" s="136"/>
      <c r="E115" s="137"/>
      <c r="F115" s="147">
        <f>SUM(F113:F114)</f>
        <v>256.035</v>
      </c>
    </row>
    <row r="116">
      <c r="A116" s="151"/>
      <c r="B116" s="146" t="s">
        <v>47</v>
      </c>
      <c r="C116" s="136"/>
      <c r="D116" s="136"/>
      <c r="E116" s="137"/>
      <c r="F116" s="147">
        <f>F115*0.15</f>
        <v>38.40525</v>
      </c>
    </row>
    <row r="117">
      <c r="A117" s="151"/>
      <c r="B117" s="146" t="s">
        <v>42</v>
      </c>
      <c r="C117" s="136"/>
      <c r="D117" s="136"/>
      <c r="E117" s="137"/>
      <c r="F117" s="147">
        <f>SUM(F115:F116)</f>
        <v>294.44025</v>
      </c>
    </row>
    <row r="118">
      <c r="A118" s="151"/>
      <c r="B118" s="239" t="s">
        <v>943</v>
      </c>
      <c r="C118" s="136"/>
      <c r="D118" s="136"/>
      <c r="E118" s="137"/>
      <c r="F118" s="147">
        <f>F117</f>
        <v>294.44025</v>
      </c>
    </row>
    <row r="119">
      <c r="A119" s="151"/>
      <c r="B119" s="239" t="s">
        <v>947</v>
      </c>
      <c r="C119" s="136"/>
      <c r="D119" s="136"/>
      <c r="E119" s="137"/>
      <c r="F119" s="148">
        <f>round((F118/10),2)</f>
        <v>29.44</v>
      </c>
    </row>
    <row r="120">
      <c r="A120" s="154" t="str">
        <f>CONCATENATE("Say ₹ ",F109," + ",F119," x Cost Index")</f>
        <v>Say ₹ 40.65 + 29.44 x Cost Index</v>
      </c>
      <c r="B120" s="136"/>
      <c r="C120" s="136"/>
      <c r="D120" s="136"/>
      <c r="E120" s="136"/>
      <c r="F120" s="137"/>
    </row>
  </sheetData>
  <mergeCells count="126">
    <mergeCell ref="C4:C5"/>
    <mergeCell ref="C6:C7"/>
    <mergeCell ref="D6:D7"/>
    <mergeCell ref="E6:E7"/>
    <mergeCell ref="A1:F1"/>
    <mergeCell ref="B2:F2"/>
    <mergeCell ref="A4:A5"/>
    <mergeCell ref="D4:D5"/>
    <mergeCell ref="E4:E5"/>
    <mergeCell ref="F4:F5"/>
    <mergeCell ref="A6:A7"/>
    <mergeCell ref="F6:F7"/>
    <mergeCell ref="B8:E8"/>
    <mergeCell ref="B9:E9"/>
    <mergeCell ref="B10:E10"/>
    <mergeCell ref="B11:E11"/>
    <mergeCell ref="B12:E12"/>
    <mergeCell ref="B13:E13"/>
    <mergeCell ref="B14:E14"/>
    <mergeCell ref="B18:E18"/>
    <mergeCell ref="B19:E19"/>
    <mergeCell ref="B20:E20"/>
    <mergeCell ref="B21:E21"/>
    <mergeCell ref="B22:E22"/>
    <mergeCell ref="B23:E23"/>
    <mergeCell ref="B24:E24"/>
    <mergeCell ref="A25:F25"/>
    <mergeCell ref="B26:F26"/>
    <mergeCell ref="C28:C29"/>
    <mergeCell ref="D28:D29"/>
    <mergeCell ref="E28:E29"/>
    <mergeCell ref="F28:F29"/>
    <mergeCell ref="A28:A29"/>
    <mergeCell ref="A30:A31"/>
    <mergeCell ref="C30:C31"/>
    <mergeCell ref="D30:D31"/>
    <mergeCell ref="E30:E31"/>
    <mergeCell ref="F30:F31"/>
    <mergeCell ref="B32:E32"/>
    <mergeCell ref="B33:E33"/>
    <mergeCell ref="B34:E34"/>
    <mergeCell ref="B35:E35"/>
    <mergeCell ref="B36:E36"/>
    <mergeCell ref="B37:E37"/>
    <mergeCell ref="B38:E38"/>
    <mergeCell ref="B42:E42"/>
    <mergeCell ref="B43:E43"/>
    <mergeCell ref="B44:E44"/>
    <mergeCell ref="B45:E45"/>
    <mergeCell ref="B46:E46"/>
    <mergeCell ref="B47:E47"/>
    <mergeCell ref="B48:E48"/>
    <mergeCell ref="A49:F49"/>
    <mergeCell ref="C54:C55"/>
    <mergeCell ref="D54:D55"/>
    <mergeCell ref="E54:E55"/>
    <mergeCell ref="F54:F55"/>
    <mergeCell ref="B50:F50"/>
    <mergeCell ref="A52:A53"/>
    <mergeCell ref="C52:C53"/>
    <mergeCell ref="D52:D53"/>
    <mergeCell ref="E52:E53"/>
    <mergeCell ref="F52:F53"/>
    <mergeCell ref="A54:A55"/>
    <mergeCell ref="B56:E56"/>
    <mergeCell ref="B57:E57"/>
    <mergeCell ref="B58:E58"/>
    <mergeCell ref="B59:E59"/>
    <mergeCell ref="B60:E60"/>
    <mergeCell ref="B61:E61"/>
    <mergeCell ref="B62:E62"/>
    <mergeCell ref="B66:E66"/>
    <mergeCell ref="B67:E67"/>
    <mergeCell ref="B68:E68"/>
    <mergeCell ref="B69:E69"/>
    <mergeCell ref="B70:E70"/>
    <mergeCell ref="B71:E71"/>
    <mergeCell ref="B72:E72"/>
    <mergeCell ref="E100:E101"/>
    <mergeCell ref="B103:E103"/>
    <mergeCell ref="B104:E104"/>
    <mergeCell ref="B105:E105"/>
    <mergeCell ref="B106:E106"/>
    <mergeCell ref="B107:E107"/>
    <mergeCell ref="B108:E108"/>
    <mergeCell ref="B109:E109"/>
    <mergeCell ref="B113:E113"/>
    <mergeCell ref="B114:E114"/>
    <mergeCell ref="B115:E115"/>
    <mergeCell ref="B116:E116"/>
    <mergeCell ref="B117:E117"/>
    <mergeCell ref="B118:E118"/>
    <mergeCell ref="C76:C77"/>
    <mergeCell ref="C78:C79"/>
    <mergeCell ref="D78:D79"/>
    <mergeCell ref="E78:E79"/>
    <mergeCell ref="A73:F73"/>
    <mergeCell ref="B74:F74"/>
    <mergeCell ref="A76:A77"/>
    <mergeCell ref="D76:D77"/>
    <mergeCell ref="E76:E77"/>
    <mergeCell ref="F76:F77"/>
    <mergeCell ref="A78:A79"/>
    <mergeCell ref="F78:F79"/>
    <mergeCell ref="B80:E80"/>
    <mergeCell ref="B81:E81"/>
    <mergeCell ref="B82:E82"/>
    <mergeCell ref="B83:E83"/>
    <mergeCell ref="B84:E84"/>
    <mergeCell ref="B85:E85"/>
    <mergeCell ref="B86:E86"/>
    <mergeCell ref="B90:E90"/>
    <mergeCell ref="B91:E91"/>
    <mergeCell ref="B92:E92"/>
    <mergeCell ref="B93:E93"/>
    <mergeCell ref="B94:E94"/>
    <mergeCell ref="B95:E95"/>
    <mergeCell ref="B96:E96"/>
    <mergeCell ref="A97:F97"/>
    <mergeCell ref="B98:F98"/>
    <mergeCell ref="A100:A101"/>
    <mergeCell ref="C100:C101"/>
    <mergeCell ref="D100:D101"/>
    <mergeCell ref="F100:F101"/>
    <mergeCell ref="B119:E119"/>
    <mergeCell ref="A120:F12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sheetData>
    <row r="1">
      <c r="A1" s="1" t="s">
        <v>863</v>
      </c>
      <c r="B1" s="2"/>
      <c r="C1" s="2"/>
      <c r="D1" s="2"/>
      <c r="E1" s="2"/>
      <c r="F1" s="3"/>
    </row>
    <row r="2">
      <c r="A2" s="159" t="s">
        <v>864</v>
      </c>
      <c r="B2" s="135" t="s">
        <v>865</v>
      </c>
      <c r="C2" s="136"/>
      <c r="D2" s="136"/>
      <c r="E2" s="136"/>
      <c r="F2" s="137"/>
    </row>
    <row r="3">
      <c r="A3" s="159" t="s">
        <v>4</v>
      </c>
      <c r="B3" s="134" t="s">
        <v>6</v>
      </c>
      <c r="C3" s="134" t="s">
        <v>8</v>
      </c>
      <c r="D3" s="134" t="s">
        <v>9</v>
      </c>
      <c r="E3" s="134" t="s">
        <v>10</v>
      </c>
      <c r="F3" s="164" t="s">
        <v>11</v>
      </c>
    </row>
    <row r="4">
      <c r="A4" s="165"/>
      <c r="B4" s="139" t="s">
        <v>867</v>
      </c>
      <c r="C4" s="145" t="s">
        <v>868</v>
      </c>
      <c r="D4" s="145">
        <v>0.2</v>
      </c>
      <c r="E4" s="149">
        <v>3000.0</v>
      </c>
      <c r="F4" s="148">
        <f t="shared" ref="F4:F6" si="1">D4*E4</f>
        <v>600</v>
      </c>
    </row>
    <row r="5">
      <c r="A5" s="165" t="s">
        <v>870</v>
      </c>
      <c r="B5" s="139" t="s">
        <v>871</v>
      </c>
      <c r="C5" s="145" t="s">
        <v>27</v>
      </c>
      <c r="D5" s="145">
        <v>1.5</v>
      </c>
      <c r="E5" s="149">
        <v>784.0</v>
      </c>
      <c r="F5" s="148">
        <f t="shared" si="1"/>
        <v>1176</v>
      </c>
    </row>
    <row r="6">
      <c r="A6" s="165" t="s">
        <v>872</v>
      </c>
      <c r="B6" s="139" t="s">
        <v>97</v>
      </c>
      <c r="C6" s="145" t="s">
        <v>27</v>
      </c>
      <c r="D6" s="145">
        <v>3.0</v>
      </c>
      <c r="E6" s="149">
        <v>645.0</v>
      </c>
      <c r="F6" s="148">
        <f t="shared" si="1"/>
        <v>1935</v>
      </c>
    </row>
    <row r="7">
      <c r="A7" s="169"/>
      <c r="B7" s="146" t="s">
        <v>42</v>
      </c>
      <c r="C7" s="136"/>
      <c r="D7" s="136"/>
      <c r="E7" s="137"/>
      <c r="F7" s="148">
        <f>SUM(F4:F6)</f>
        <v>3711</v>
      </c>
    </row>
    <row r="8">
      <c r="A8" s="169"/>
      <c r="B8" s="146" t="s">
        <v>40</v>
      </c>
      <c r="C8" s="136"/>
      <c r="D8" s="136"/>
      <c r="E8" s="137"/>
      <c r="F8" s="148">
        <f>F7*0.01</f>
        <v>37.11</v>
      </c>
    </row>
    <row r="9">
      <c r="A9" s="169"/>
      <c r="B9" s="146" t="s">
        <v>42</v>
      </c>
      <c r="C9" s="136"/>
      <c r="D9" s="136"/>
      <c r="E9" s="137"/>
      <c r="F9" s="148">
        <f>SUM(F7:F8)</f>
        <v>3748.11</v>
      </c>
    </row>
    <row r="10">
      <c r="A10" s="169"/>
      <c r="B10" s="146" t="s">
        <v>47</v>
      </c>
      <c r="C10" s="136"/>
      <c r="D10" s="136"/>
      <c r="E10" s="137"/>
      <c r="F10" s="148">
        <f>F9*0.15</f>
        <v>562.2165</v>
      </c>
    </row>
    <row r="11">
      <c r="A11" s="169"/>
      <c r="B11" s="146" t="s">
        <v>42</v>
      </c>
      <c r="C11" s="136"/>
      <c r="D11" s="136"/>
      <c r="E11" s="137"/>
      <c r="F11" s="148">
        <f>Mround(SUM(F9:F10),1)</f>
        <v>4310</v>
      </c>
    </row>
    <row r="12">
      <c r="A12" s="154" t="str">
        <f>CONCATENATE("Say Rs (",F11," x Cost Index)")</f>
        <v>Say Rs (4310 x Cost Index)</v>
      </c>
      <c r="B12" s="136"/>
      <c r="C12" s="136"/>
      <c r="D12" s="136"/>
      <c r="E12" s="136"/>
      <c r="F12" s="137"/>
    </row>
    <row r="13">
      <c r="A13" s="173" t="s">
        <v>864</v>
      </c>
      <c r="B13" s="175" t="s">
        <v>875</v>
      </c>
      <c r="C13" s="136"/>
      <c r="D13" s="136"/>
      <c r="E13" s="136"/>
      <c r="F13" s="137"/>
    </row>
    <row r="14">
      <c r="A14" s="173" t="s">
        <v>4</v>
      </c>
      <c r="B14" s="176" t="s">
        <v>6</v>
      </c>
      <c r="C14" s="176" t="s">
        <v>8</v>
      </c>
      <c r="D14" s="176" t="s">
        <v>9</v>
      </c>
      <c r="E14" s="176" t="s">
        <v>10</v>
      </c>
      <c r="F14" s="178" t="s">
        <v>11</v>
      </c>
    </row>
    <row r="15">
      <c r="A15" s="179" t="s">
        <v>877</v>
      </c>
      <c r="B15" s="180" t="s">
        <v>867</v>
      </c>
      <c r="C15" s="181" t="s">
        <v>868</v>
      </c>
      <c r="D15" s="181">
        <v>0.3</v>
      </c>
      <c r="E15" s="182">
        <v>3000.0</v>
      </c>
      <c r="F15" s="183">
        <f t="shared" ref="F15:F17" si="2">D15*E15</f>
        <v>900</v>
      </c>
    </row>
    <row r="16">
      <c r="A16" s="179" t="s">
        <v>879</v>
      </c>
      <c r="B16" s="180" t="s">
        <v>871</v>
      </c>
      <c r="C16" s="181" t="s">
        <v>27</v>
      </c>
      <c r="D16" s="181">
        <v>2.5</v>
      </c>
      <c r="E16" s="182">
        <v>784.0</v>
      </c>
      <c r="F16" s="183">
        <f t="shared" si="2"/>
        <v>1960</v>
      </c>
    </row>
    <row r="17">
      <c r="A17" s="179" t="s">
        <v>881</v>
      </c>
      <c r="B17" s="180" t="s">
        <v>97</v>
      </c>
      <c r="C17" s="181" t="s">
        <v>27</v>
      </c>
      <c r="D17" s="181">
        <v>3.0</v>
      </c>
      <c r="E17" s="182">
        <v>645.0</v>
      </c>
      <c r="F17" s="183">
        <f t="shared" si="2"/>
        <v>1935</v>
      </c>
    </row>
    <row r="18">
      <c r="A18" s="186"/>
      <c r="B18" s="188" t="s">
        <v>31</v>
      </c>
      <c r="C18" s="136"/>
      <c r="D18" s="136"/>
      <c r="E18" s="137"/>
      <c r="F18" s="183">
        <f>SUM(F15:F17)</f>
        <v>4795</v>
      </c>
    </row>
    <row r="19">
      <c r="A19" s="186"/>
      <c r="B19" s="188" t="s">
        <v>40</v>
      </c>
      <c r="C19" s="136"/>
      <c r="D19" s="136"/>
      <c r="E19" s="137"/>
      <c r="F19" s="183">
        <f>F18*0.01</f>
        <v>47.95</v>
      </c>
    </row>
    <row r="20">
      <c r="A20" s="186"/>
      <c r="B20" s="188" t="s">
        <v>42</v>
      </c>
      <c r="C20" s="136"/>
      <c r="D20" s="136"/>
      <c r="E20" s="137"/>
      <c r="F20" s="183">
        <f>SUM(F18:F19)</f>
        <v>4842.95</v>
      </c>
    </row>
    <row r="21">
      <c r="A21" s="186"/>
      <c r="B21" s="188" t="s">
        <v>47</v>
      </c>
      <c r="C21" s="136"/>
      <c r="D21" s="136"/>
      <c r="E21" s="137"/>
      <c r="F21" s="183">
        <f>F20*0.15</f>
        <v>726.4425</v>
      </c>
    </row>
    <row r="22">
      <c r="A22" s="186"/>
      <c r="B22" s="188" t="s">
        <v>42</v>
      </c>
      <c r="C22" s="136"/>
      <c r="D22" s="136"/>
      <c r="E22" s="137"/>
      <c r="F22" s="183">
        <f>Mround(SUM(F20:F21),1)</f>
        <v>5569</v>
      </c>
    </row>
    <row r="23">
      <c r="A23" s="195" t="str">
        <f>CONCATENATE("Say Rs (",F22," x Cost Index)")</f>
        <v>Say Rs (5569 x Cost Index)</v>
      </c>
      <c r="B23" s="136"/>
      <c r="C23" s="136"/>
      <c r="D23" s="136"/>
      <c r="E23" s="136"/>
      <c r="F23" s="137"/>
    </row>
    <row r="24">
      <c r="A24" s="159" t="s">
        <v>864</v>
      </c>
      <c r="B24" s="135" t="s">
        <v>887</v>
      </c>
      <c r="C24" s="136"/>
      <c r="D24" s="136"/>
      <c r="E24" s="136"/>
      <c r="F24" s="137"/>
    </row>
    <row r="25">
      <c r="A25" s="159" t="s">
        <v>4</v>
      </c>
      <c r="B25" s="134" t="s">
        <v>6</v>
      </c>
      <c r="C25" s="134" t="s">
        <v>8</v>
      </c>
      <c r="D25" s="134" t="s">
        <v>9</v>
      </c>
      <c r="E25" s="134" t="s">
        <v>10</v>
      </c>
      <c r="F25" s="164" t="s">
        <v>11</v>
      </c>
    </row>
    <row r="26">
      <c r="A26" s="165"/>
      <c r="B26" s="139" t="s">
        <v>867</v>
      </c>
      <c r="C26" s="145" t="s">
        <v>868</v>
      </c>
      <c r="D26" s="145">
        <v>0.1</v>
      </c>
      <c r="E26" s="149">
        <v>3000.0</v>
      </c>
      <c r="F26" s="148">
        <f t="shared" ref="F26:F28" si="3">D26*E26</f>
        <v>300</v>
      </c>
    </row>
    <row r="27">
      <c r="A27" s="165" t="s">
        <v>870</v>
      </c>
      <c r="B27" s="139" t="s">
        <v>871</v>
      </c>
      <c r="C27" s="145" t="s">
        <v>27</v>
      </c>
      <c r="D27" s="145">
        <v>0.75</v>
      </c>
      <c r="E27" s="149">
        <v>784.0</v>
      </c>
      <c r="F27" s="148">
        <f t="shared" si="3"/>
        <v>588</v>
      </c>
    </row>
    <row r="28">
      <c r="A28" s="165" t="s">
        <v>872</v>
      </c>
      <c r="B28" s="139" t="s">
        <v>97</v>
      </c>
      <c r="C28" s="145" t="s">
        <v>27</v>
      </c>
      <c r="D28" s="145">
        <v>1.5</v>
      </c>
      <c r="E28" s="149">
        <v>645.0</v>
      </c>
      <c r="F28" s="148">
        <f t="shared" si="3"/>
        <v>967.5</v>
      </c>
    </row>
    <row r="29">
      <c r="A29" s="169"/>
      <c r="B29" s="146" t="s">
        <v>31</v>
      </c>
      <c r="C29" s="136"/>
      <c r="D29" s="136"/>
      <c r="E29" s="137"/>
      <c r="F29" s="148">
        <f>SUM(F26:F28)</f>
        <v>1855.5</v>
      </c>
    </row>
    <row r="30">
      <c r="A30" s="169"/>
      <c r="B30" s="146" t="s">
        <v>40</v>
      </c>
      <c r="C30" s="136"/>
      <c r="D30" s="136"/>
      <c r="E30" s="137"/>
      <c r="F30" s="148">
        <f>F29*0.01</f>
        <v>18.555</v>
      </c>
    </row>
    <row r="31">
      <c r="A31" s="169"/>
      <c r="B31" s="146" t="s">
        <v>42</v>
      </c>
      <c r="C31" s="136"/>
      <c r="D31" s="136"/>
      <c r="E31" s="137"/>
      <c r="F31" s="148">
        <f>SUM(F29:F30)</f>
        <v>1874.055</v>
      </c>
    </row>
    <row r="32">
      <c r="A32" s="169"/>
      <c r="B32" s="146" t="s">
        <v>47</v>
      </c>
      <c r="C32" s="136"/>
      <c r="D32" s="136"/>
      <c r="E32" s="137"/>
      <c r="F32" s="148">
        <f>F31*0.15</f>
        <v>281.10825</v>
      </c>
    </row>
    <row r="33">
      <c r="A33" s="169"/>
      <c r="B33" s="146" t="s">
        <v>42</v>
      </c>
      <c r="C33" s="136"/>
      <c r="D33" s="136"/>
      <c r="E33" s="137"/>
      <c r="F33" s="148">
        <f>Mround(SUM(F31:F32),1)</f>
        <v>2155</v>
      </c>
    </row>
    <row r="34">
      <c r="A34" s="204" t="str">
        <f>CONCATENATE("Say Rs (",F33," x Cost Index)")</f>
        <v>Say Rs (2155 x Cost Index)</v>
      </c>
      <c r="B34" s="136"/>
      <c r="C34" s="136"/>
      <c r="D34" s="136"/>
      <c r="E34" s="136"/>
      <c r="F34" s="137"/>
    </row>
    <row r="35">
      <c r="A35" s="173" t="s">
        <v>864</v>
      </c>
      <c r="B35" s="175" t="s">
        <v>898</v>
      </c>
      <c r="C35" s="136"/>
      <c r="D35" s="136"/>
      <c r="E35" s="136"/>
      <c r="F35" s="137"/>
    </row>
    <row r="36">
      <c r="A36" s="173" t="s">
        <v>4</v>
      </c>
      <c r="B36" s="176" t="s">
        <v>6</v>
      </c>
      <c r="C36" s="176" t="s">
        <v>8</v>
      </c>
      <c r="D36" s="176" t="s">
        <v>9</v>
      </c>
      <c r="E36" s="176" t="s">
        <v>10</v>
      </c>
      <c r="F36" s="178" t="s">
        <v>11</v>
      </c>
    </row>
    <row r="37">
      <c r="A37" s="207"/>
      <c r="B37" s="180" t="s">
        <v>867</v>
      </c>
      <c r="C37" s="181" t="s">
        <v>868</v>
      </c>
      <c r="D37" s="181">
        <v>0.15</v>
      </c>
      <c r="E37" s="182">
        <v>3000.0</v>
      </c>
      <c r="F37" s="183">
        <f t="shared" ref="F37:F39" si="4">D37*E37</f>
        <v>450</v>
      </c>
    </row>
    <row r="38">
      <c r="A38" s="207" t="s">
        <v>870</v>
      </c>
      <c r="B38" s="180" t="s">
        <v>871</v>
      </c>
      <c r="C38" s="181" t="s">
        <v>27</v>
      </c>
      <c r="D38" s="181">
        <v>1.25</v>
      </c>
      <c r="E38" s="182">
        <v>784.0</v>
      </c>
      <c r="F38" s="183">
        <f t="shared" si="4"/>
        <v>980</v>
      </c>
    </row>
    <row r="39">
      <c r="A39" s="207" t="s">
        <v>872</v>
      </c>
      <c r="B39" s="180" t="s">
        <v>97</v>
      </c>
      <c r="C39" s="181" t="s">
        <v>27</v>
      </c>
      <c r="D39" s="181">
        <v>1.5</v>
      </c>
      <c r="E39" s="182">
        <v>645.0</v>
      </c>
      <c r="F39" s="183">
        <f t="shared" si="4"/>
        <v>967.5</v>
      </c>
    </row>
    <row r="40">
      <c r="A40" s="186"/>
      <c r="B40" s="188" t="s">
        <v>31</v>
      </c>
      <c r="C40" s="136"/>
      <c r="D40" s="136"/>
      <c r="E40" s="137"/>
      <c r="F40" s="183">
        <f>SUM(F37:F39)</f>
        <v>2397.5</v>
      </c>
    </row>
    <row r="41">
      <c r="A41" s="186"/>
      <c r="B41" s="188" t="s">
        <v>40</v>
      </c>
      <c r="C41" s="136"/>
      <c r="D41" s="136"/>
      <c r="E41" s="137"/>
      <c r="F41" s="183">
        <f>F40*0.01</f>
        <v>23.975</v>
      </c>
    </row>
    <row r="42">
      <c r="A42" s="186"/>
      <c r="B42" s="188" t="s">
        <v>42</v>
      </c>
      <c r="C42" s="136"/>
      <c r="D42" s="136"/>
      <c r="E42" s="137"/>
      <c r="F42" s="183">
        <f>SUM(F40:F41)</f>
        <v>2421.475</v>
      </c>
    </row>
    <row r="43">
      <c r="A43" s="186"/>
      <c r="B43" s="188" t="s">
        <v>47</v>
      </c>
      <c r="C43" s="136"/>
      <c r="D43" s="136"/>
      <c r="E43" s="137"/>
      <c r="F43" s="183">
        <f>F42*0.15</f>
        <v>363.22125</v>
      </c>
    </row>
    <row r="44">
      <c r="A44" s="186"/>
      <c r="B44" s="188" t="s">
        <v>42</v>
      </c>
      <c r="C44" s="136"/>
      <c r="D44" s="136"/>
      <c r="E44" s="137"/>
      <c r="F44" s="183">
        <f>Mround(SUM(F42:F43),1)</f>
        <v>2785</v>
      </c>
    </row>
    <row r="45">
      <c r="A45" s="195" t="str">
        <f>CONCATENATE("Say Rs (",F44," x Cost Index)")</f>
        <v>Say Rs (2785 x Cost Index)</v>
      </c>
      <c r="B45" s="136"/>
      <c r="C45" s="136"/>
      <c r="D45" s="136"/>
      <c r="E45" s="136"/>
      <c r="F45" s="137"/>
    </row>
    <row r="46">
      <c r="A46" s="159" t="s">
        <v>864</v>
      </c>
      <c r="B46" s="135" t="s">
        <v>909</v>
      </c>
      <c r="C46" s="136"/>
      <c r="D46" s="136"/>
      <c r="E46" s="136"/>
      <c r="F46" s="137"/>
    </row>
    <row r="47">
      <c r="A47" s="159" t="s">
        <v>4</v>
      </c>
      <c r="B47" s="134" t="s">
        <v>6</v>
      </c>
      <c r="C47" s="134" t="s">
        <v>8</v>
      </c>
      <c r="D47" s="134" t="s">
        <v>9</v>
      </c>
      <c r="E47" s="134" t="s">
        <v>10</v>
      </c>
      <c r="F47" s="164" t="s">
        <v>11</v>
      </c>
    </row>
    <row r="48">
      <c r="A48" s="165"/>
      <c r="B48" s="139" t="s">
        <v>867</v>
      </c>
      <c r="C48" s="145" t="s">
        <v>868</v>
      </c>
      <c r="D48" s="149">
        <v>0.1</v>
      </c>
      <c r="E48" s="149">
        <v>3000.0</v>
      </c>
      <c r="F48" s="148">
        <f t="shared" ref="F48:F50" si="5">D48*E48</f>
        <v>300</v>
      </c>
    </row>
    <row r="49">
      <c r="A49" s="165" t="s">
        <v>870</v>
      </c>
      <c r="B49" s="139" t="s">
        <v>871</v>
      </c>
      <c r="C49" s="145" t="s">
        <v>27</v>
      </c>
      <c r="D49" s="149">
        <v>2.0</v>
      </c>
      <c r="E49" s="149">
        <v>784.0</v>
      </c>
      <c r="F49" s="148">
        <f t="shared" si="5"/>
        <v>1568</v>
      </c>
    </row>
    <row r="50">
      <c r="A50" s="165" t="s">
        <v>872</v>
      </c>
      <c r="B50" s="139" t="s">
        <v>97</v>
      </c>
      <c r="C50" s="145" t="s">
        <v>27</v>
      </c>
      <c r="D50" s="149">
        <v>3.5</v>
      </c>
      <c r="E50" s="149">
        <v>645.0</v>
      </c>
      <c r="F50" s="148">
        <f t="shared" si="5"/>
        <v>2257.5</v>
      </c>
    </row>
    <row r="51">
      <c r="A51" s="169"/>
      <c r="B51" s="146" t="s">
        <v>31</v>
      </c>
      <c r="C51" s="136"/>
      <c r="D51" s="136"/>
      <c r="E51" s="137"/>
      <c r="F51" s="148">
        <f>SUM(F48:F50)</f>
        <v>4125.5</v>
      </c>
    </row>
    <row r="52">
      <c r="A52" s="169"/>
      <c r="B52" s="146" t="s">
        <v>40</v>
      </c>
      <c r="C52" s="136"/>
      <c r="D52" s="136"/>
      <c r="E52" s="137"/>
      <c r="F52" s="148">
        <f>F51*0.01</f>
        <v>41.255</v>
      </c>
    </row>
    <row r="53">
      <c r="A53" s="169"/>
      <c r="B53" s="146" t="s">
        <v>42</v>
      </c>
      <c r="C53" s="136"/>
      <c r="D53" s="136"/>
      <c r="E53" s="137"/>
      <c r="F53" s="148">
        <f>SUM(F51:F52)</f>
        <v>4166.755</v>
      </c>
    </row>
    <row r="54">
      <c r="A54" s="169"/>
      <c r="B54" s="146" t="s">
        <v>47</v>
      </c>
      <c r="C54" s="136"/>
      <c r="D54" s="136"/>
      <c r="E54" s="137"/>
      <c r="F54" s="148">
        <f>F53*0.15</f>
        <v>625.01325</v>
      </c>
    </row>
    <row r="55">
      <c r="A55" s="169"/>
      <c r="B55" s="146" t="s">
        <v>42</v>
      </c>
      <c r="C55" s="136"/>
      <c r="D55" s="136"/>
      <c r="E55" s="137"/>
      <c r="F55" s="148">
        <f>Mround(SUM(F53:F54),1)</f>
        <v>4792</v>
      </c>
    </row>
    <row r="56">
      <c r="A56" s="204" t="str">
        <f>CONCATENATE("Say Rs (",F55," x Cost Index)")</f>
        <v>Say Rs (4792 x Cost Index)</v>
      </c>
      <c r="B56" s="136"/>
      <c r="C56" s="136"/>
      <c r="D56" s="136"/>
      <c r="E56" s="136"/>
      <c r="F56" s="137"/>
    </row>
    <row r="57">
      <c r="A57" s="217" t="s">
        <v>864</v>
      </c>
      <c r="B57" s="219" t="s">
        <v>917</v>
      </c>
      <c r="C57" s="136"/>
      <c r="D57" s="136"/>
      <c r="E57" s="136"/>
      <c r="F57" s="137"/>
    </row>
    <row r="58">
      <c r="A58" s="217" t="s">
        <v>4</v>
      </c>
      <c r="B58" s="221" t="s">
        <v>6</v>
      </c>
      <c r="C58" s="221" t="s">
        <v>8</v>
      </c>
      <c r="D58" s="221" t="s">
        <v>9</v>
      </c>
      <c r="E58" s="221" t="s">
        <v>10</v>
      </c>
      <c r="F58" s="222" t="s">
        <v>11</v>
      </c>
    </row>
    <row r="59">
      <c r="A59" s="223"/>
      <c r="B59" s="224" t="s">
        <v>867</v>
      </c>
      <c r="C59" s="225" t="s">
        <v>868</v>
      </c>
      <c r="D59" s="227">
        <v>0.2</v>
      </c>
      <c r="E59" s="227">
        <v>3000.0</v>
      </c>
      <c r="F59" s="228">
        <f t="shared" ref="F59:F61" si="6">D59*E59</f>
        <v>600</v>
      </c>
    </row>
    <row r="60">
      <c r="A60" s="223" t="s">
        <v>870</v>
      </c>
      <c r="B60" s="224" t="s">
        <v>871</v>
      </c>
      <c r="C60" s="225" t="s">
        <v>27</v>
      </c>
      <c r="D60" s="227">
        <v>2.5</v>
      </c>
      <c r="E60" s="227">
        <v>784.0</v>
      </c>
      <c r="F60" s="228">
        <f t="shared" si="6"/>
        <v>1960</v>
      </c>
    </row>
    <row r="61">
      <c r="A61" s="223" t="s">
        <v>872</v>
      </c>
      <c r="B61" s="224" t="s">
        <v>97</v>
      </c>
      <c r="C61" s="225" t="s">
        <v>27</v>
      </c>
      <c r="D61" s="227">
        <v>4.0</v>
      </c>
      <c r="E61" s="227">
        <v>645.0</v>
      </c>
      <c r="F61" s="228">
        <f t="shared" si="6"/>
        <v>2580</v>
      </c>
    </row>
    <row r="62">
      <c r="A62" s="229"/>
      <c r="B62" s="230" t="s">
        <v>31</v>
      </c>
      <c r="C62" s="136"/>
      <c r="D62" s="136"/>
      <c r="E62" s="137"/>
      <c r="F62" s="228">
        <f>SUM(F59:F61)</f>
        <v>5140</v>
      </c>
    </row>
    <row r="63">
      <c r="A63" s="229"/>
      <c r="B63" s="230" t="s">
        <v>40</v>
      </c>
      <c r="C63" s="136"/>
      <c r="D63" s="136"/>
      <c r="E63" s="137"/>
      <c r="F63" s="228">
        <f>F62*0.01</f>
        <v>51.4</v>
      </c>
    </row>
    <row r="64">
      <c r="A64" s="229"/>
      <c r="B64" s="230" t="s">
        <v>42</v>
      </c>
      <c r="C64" s="136"/>
      <c r="D64" s="136"/>
      <c r="E64" s="137"/>
      <c r="F64" s="228">
        <f>SUM(F62:F63)</f>
        <v>5191.4</v>
      </c>
    </row>
    <row r="65">
      <c r="A65" s="229"/>
      <c r="B65" s="230" t="s">
        <v>47</v>
      </c>
      <c r="C65" s="136"/>
      <c r="D65" s="136"/>
      <c r="E65" s="137"/>
      <c r="F65" s="228">
        <f>F64*0.15</f>
        <v>778.71</v>
      </c>
    </row>
    <row r="66">
      <c r="A66" s="229"/>
      <c r="B66" s="230" t="s">
        <v>42</v>
      </c>
      <c r="C66" s="136"/>
      <c r="D66" s="136"/>
      <c r="E66" s="137"/>
      <c r="F66" s="228">
        <f>Mround(SUM(F64:F65),1)</f>
        <v>5970</v>
      </c>
    </row>
    <row r="67">
      <c r="A67" s="231" t="str">
        <f>CONCATENATE("Say Rs (",F66," x Cost Index)")</f>
        <v>Say Rs (5970 x Cost Index)</v>
      </c>
      <c r="B67" s="136"/>
      <c r="C67" s="136"/>
      <c r="D67" s="136"/>
      <c r="E67" s="136"/>
      <c r="F67" s="137"/>
    </row>
  </sheetData>
  <mergeCells count="43">
    <mergeCell ref="A1:F1"/>
    <mergeCell ref="B2:F2"/>
    <mergeCell ref="B7:E7"/>
    <mergeCell ref="B8:E8"/>
    <mergeCell ref="B9:E9"/>
    <mergeCell ref="B10:E10"/>
    <mergeCell ref="B11:E11"/>
    <mergeCell ref="A12:F12"/>
    <mergeCell ref="B13:F13"/>
    <mergeCell ref="B18:E18"/>
    <mergeCell ref="B19:E19"/>
    <mergeCell ref="B20:E20"/>
    <mergeCell ref="B21:E21"/>
    <mergeCell ref="B22:E22"/>
    <mergeCell ref="A23:F23"/>
    <mergeCell ref="B24:F24"/>
    <mergeCell ref="B29:E29"/>
    <mergeCell ref="B30:E30"/>
    <mergeCell ref="B31:E31"/>
    <mergeCell ref="B32:E32"/>
    <mergeCell ref="B33:E33"/>
    <mergeCell ref="A34:F34"/>
    <mergeCell ref="B35:F35"/>
    <mergeCell ref="B40:E40"/>
    <mergeCell ref="B41:E41"/>
    <mergeCell ref="B42:E42"/>
    <mergeCell ref="B43:E43"/>
    <mergeCell ref="B44:E44"/>
    <mergeCell ref="A56:F56"/>
    <mergeCell ref="B57:F57"/>
    <mergeCell ref="B62:E62"/>
    <mergeCell ref="B63:E63"/>
    <mergeCell ref="B64:E64"/>
    <mergeCell ref="B65:E65"/>
    <mergeCell ref="B66:E66"/>
    <mergeCell ref="A67:F67"/>
    <mergeCell ref="A45:F45"/>
    <mergeCell ref="B46:F46"/>
    <mergeCell ref="B51:E51"/>
    <mergeCell ref="B52:E52"/>
    <mergeCell ref="B53:E53"/>
    <mergeCell ref="B54:E54"/>
    <mergeCell ref="B55:E55"/>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hidden="1" min="8" max="9" width="14.43"/>
  </cols>
  <sheetData>
    <row r="1">
      <c r="A1" s="184" t="s">
        <v>878</v>
      </c>
      <c r="B1" s="185"/>
      <c r="C1" s="185"/>
      <c r="D1" s="185"/>
      <c r="E1" s="185"/>
      <c r="F1" s="185"/>
      <c r="G1" s="187"/>
      <c r="H1" s="189"/>
      <c r="I1" s="189"/>
    </row>
    <row r="2">
      <c r="A2" s="190" t="s">
        <v>882</v>
      </c>
      <c r="B2" s="191" t="s">
        <v>883</v>
      </c>
      <c r="C2" s="2"/>
      <c r="D2" s="2"/>
      <c r="E2" s="2"/>
      <c r="F2" s="2"/>
      <c r="G2" s="193"/>
      <c r="H2" s="194"/>
      <c r="I2" s="194"/>
    </row>
    <row r="3">
      <c r="A3" s="196" t="s">
        <v>879</v>
      </c>
      <c r="B3" s="197" t="s">
        <v>888</v>
      </c>
      <c r="C3" s="198">
        <v>1.0</v>
      </c>
      <c r="D3" s="199" t="s">
        <v>868</v>
      </c>
      <c r="E3" s="198">
        <v>784.0</v>
      </c>
      <c r="F3" s="200" t="s">
        <v>890</v>
      </c>
      <c r="G3" s="201">
        <f t="shared" ref="G3:G5" si="1">E3*C3</f>
        <v>784</v>
      </c>
      <c r="H3" s="202"/>
      <c r="I3" s="202"/>
    </row>
    <row r="4">
      <c r="A4" s="196" t="s">
        <v>892</v>
      </c>
      <c r="B4" s="203" t="s">
        <v>893</v>
      </c>
      <c r="C4" s="198">
        <v>1.0</v>
      </c>
      <c r="D4" s="199" t="s">
        <v>868</v>
      </c>
      <c r="E4" s="199">
        <v>714.0</v>
      </c>
      <c r="F4" s="200" t="s">
        <v>890</v>
      </c>
      <c r="G4" s="201">
        <f t="shared" si="1"/>
        <v>714</v>
      </c>
      <c r="H4" s="202"/>
      <c r="I4" s="202"/>
    </row>
    <row r="5">
      <c r="A5" s="196" t="s">
        <v>895</v>
      </c>
      <c r="B5" s="203" t="s">
        <v>26</v>
      </c>
      <c r="C5" s="199">
        <v>4.0</v>
      </c>
      <c r="D5" s="199" t="s">
        <v>868</v>
      </c>
      <c r="E5" s="199">
        <v>645.0</v>
      </c>
      <c r="F5" s="200" t="s">
        <v>890</v>
      </c>
      <c r="G5" s="201">
        <f t="shared" si="1"/>
        <v>2580</v>
      </c>
      <c r="H5" s="202"/>
      <c r="I5" s="202"/>
    </row>
    <row r="6">
      <c r="A6" s="196" t="s">
        <v>896</v>
      </c>
      <c r="B6" s="205" t="s">
        <v>897</v>
      </c>
      <c r="C6" s="2"/>
      <c r="D6" s="2"/>
      <c r="E6" s="2"/>
      <c r="F6" s="2"/>
      <c r="G6" s="193"/>
      <c r="H6" s="206"/>
      <c r="I6" s="206"/>
    </row>
    <row r="7">
      <c r="A7" s="196" t="s">
        <v>899</v>
      </c>
      <c r="B7" s="203" t="s">
        <v>900</v>
      </c>
      <c r="C7" s="198">
        <v>1.0</v>
      </c>
      <c r="D7" s="199" t="s">
        <v>868</v>
      </c>
      <c r="E7" s="199">
        <v>1400.0</v>
      </c>
      <c r="F7" s="200" t="s">
        <v>890</v>
      </c>
      <c r="G7" s="201">
        <f t="shared" ref="G7:G8" si="2">E7*C7</f>
        <v>1400</v>
      </c>
      <c r="H7" s="202"/>
      <c r="I7" s="202"/>
    </row>
    <row r="8">
      <c r="A8" s="196" t="s">
        <v>902</v>
      </c>
      <c r="B8" s="203" t="s">
        <v>903</v>
      </c>
      <c r="C8" s="199">
        <v>50.0</v>
      </c>
      <c r="D8" s="199" t="s">
        <v>904</v>
      </c>
      <c r="E8" s="199">
        <v>2.12</v>
      </c>
      <c r="F8" s="200" t="s">
        <v>905</v>
      </c>
      <c r="G8" s="201">
        <f t="shared" si="2"/>
        <v>106</v>
      </c>
      <c r="H8" s="202"/>
      <c r="I8" s="202"/>
    </row>
    <row r="9">
      <c r="A9" s="208"/>
      <c r="B9" s="209" t="s">
        <v>906</v>
      </c>
      <c r="C9" s="210"/>
      <c r="D9" s="211"/>
      <c r="E9" s="211"/>
      <c r="F9" s="212"/>
      <c r="G9" s="213">
        <f>(SUM(G3:G5,G7:G8,))</f>
        <v>5584</v>
      </c>
      <c r="H9" s="214"/>
      <c r="I9" s="214"/>
    </row>
    <row r="10">
      <c r="A10" s="208"/>
      <c r="B10" s="215" t="s">
        <v>908</v>
      </c>
      <c r="C10" s="198"/>
      <c r="D10" s="198"/>
      <c r="E10" s="198"/>
      <c r="F10" s="216"/>
      <c r="G10" s="201">
        <f>G9*1%</f>
        <v>55.84</v>
      </c>
      <c r="H10" s="202"/>
      <c r="I10" s="202"/>
    </row>
    <row r="11">
      <c r="A11" s="208"/>
      <c r="B11" s="215" t="s">
        <v>37</v>
      </c>
      <c r="C11" s="198"/>
      <c r="D11" s="198"/>
      <c r="E11" s="198"/>
      <c r="F11" s="216"/>
      <c r="G11" s="201">
        <f>SUM(G9:G10)</f>
        <v>5639.84</v>
      </c>
      <c r="H11" s="202"/>
      <c r="I11" s="202"/>
    </row>
    <row r="12">
      <c r="A12" s="208"/>
      <c r="B12" s="215" t="s">
        <v>912</v>
      </c>
      <c r="C12" s="198"/>
      <c r="D12" s="198"/>
      <c r="E12" s="198"/>
      <c r="F12" s="216"/>
      <c r="G12" s="201">
        <f>G11*15%</f>
        <v>845.976</v>
      </c>
      <c r="H12" s="202"/>
      <c r="I12" s="202"/>
    </row>
    <row r="13">
      <c r="A13" s="208"/>
      <c r="B13" s="209" t="s">
        <v>906</v>
      </c>
      <c r="C13" s="210"/>
      <c r="D13" s="211"/>
      <c r="E13" s="211"/>
      <c r="F13" s="212"/>
      <c r="G13" s="213">
        <f>round(SUM(G11:G12),2)</f>
        <v>6485.82</v>
      </c>
      <c r="H13" s="214"/>
      <c r="I13" s="214"/>
    </row>
    <row r="14">
      <c r="A14" s="218" t="str">
        <f>CONCATENATE("Say ₹ ",G13," x Cost Index")</f>
        <v>Say ₹ 6485.82 x Cost Index</v>
      </c>
      <c r="B14" s="2"/>
      <c r="C14" s="2"/>
      <c r="D14" s="2"/>
      <c r="E14" s="2"/>
      <c r="F14" s="2"/>
      <c r="G14" s="3"/>
      <c r="H14" s="220">
        <v>0.0</v>
      </c>
      <c r="I14" s="226">
        <f>G13</f>
        <v>6485.82</v>
      </c>
    </row>
  </sheetData>
  <mergeCells count="4">
    <mergeCell ref="A1:G1"/>
    <mergeCell ref="B2:G2"/>
    <mergeCell ref="B6:G6"/>
    <mergeCell ref="A14:G14"/>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4.43"/>
    <col customWidth="1" min="2" max="2" width="62.71"/>
    <col customWidth="1" min="3" max="4" width="20.0"/>
    <col customWidth="1" hidden="1" min="5" max="7" width="15.43"/>
  </cols>
  <sheetData>
    <row r="1">
      <c r="A1" s="232" t="s">
        <v>922</v>
      </c>
      <c r="B1" s="2"/>
      <c r="C1" s="2"/>
      <c r="D1" s="3"/>
      <c r="E1" s="233" t="str">
        <f t="shared" ref="E1:G1" si="1">B7</f>
        <v>Head Assembly complete (with Head, Handle, Ball Bearings and  Chain Assembly)</v>
      </c>
      <c r="F1" s="233">
        <f t="shared" si="1"/>
        <v>4800</v>
      </c>
      <c r="G1" s="233">
        <f t="shared" si="1"/>
        <v>0</v>
      </c>
    </row>
    <row r="2">
      <c r="A2" s="232" t="s">
        <v>926</v>
      </c>
      <c r="B2" s="2"/>
      <c r="C2" s="2"/>
      <c r="D2" s="3"/>
      <c r="E2" s="233" t="str">
        <f t="shared" ref="E2:G2" si="2">B8</f>
        <v>Head with welded components only without cover</v>
      </c>
      <c r="F2" s="233">
        <f t="shared" si="2"/>
        <v>2280</v>
      </c>
      <c r="G2" s="233">
        <f t="shared" si="2"/>
        <v>0</v>
      </c>
    </row>
    <row r="3">
      <c r="A3" s="234" t="s">
        <v>930</v>
      </c>
      <c r="B3" s="2"/>
      <c r="C3" s="2"/>
      <c r="D3" s="3"/>
      <c r="E3" s="233" t="str">
        <f t="shared" ref="E3:G3" si="3">B9</f>
        <v>Handle (welded components only)</v>
      </c>
      <c r="F3" s="233">
        <f t="shared" si="3"/>
        <v>1800</v>
      </c>
      <c r="G3" s="233">
        <f t="shared" si="3"/>
        <v>0</v>
      </c>
    </row>
    <row r="4">
      <c r="A4" s="232" t="s">
        <v>935</v>
      </c>
      <c r="B4" s="2"/>
      <c r="C4" s="2"/>
      <c r="D4" s="3"/>
      <c r="E4" s="233" t="str">
        <f t="shared" ref="E4:G4" si="4">B10</f>
        <v>Additional Plate</v>
      </c>
      <c r="F4" s="233">
        <f t="shared" si="4"/>
        <v>450</v>
      </c>
      <c r="G4" s="233">
        <f t="shared" si="4"/>
        <v>0</v>
      </c>
    </row>
    <row r="5">
      <c r="A5" s="236" t="s">
        <v>937</v>
      </c>
      <c r="B5" s="2"/>
      <c r="C5" s="2"/>
      <c r="D5" s="3"/>
      <c r="E5" s="233" t="str">
        <f t="shared" ref="E5:G5" si="5">B13</f>
        <v>Ball Bearing 6204 Z</v>
      </c>
      <c r="F5" s="233">
        <f t="shared" si="5"/>
        <v>216</v>
      </c>
      <c r="G5" s="233">
        <f t="shared" si="5"/>
        <v>0</v>
      </c>
    </row>
    <row r="6">
      <c r="A6" s="238" t="s">
        <v>940</v>
      </c>
      <c r="B6" s="2"/>
      <c r="C6" s="2"/>
      <c r="D6" s="3"/>
      <c r="E6" s="233" t="str">
        <f t="shared" ref="E6:G6" si="6">B14</f>
        <v>Chain with coupling</v>
      </c>
      <c r="F6" s="233">
        <f t="shared" si="6"/>
        <v>240</v>
      </c>
      <c r="G6" s="233">
        <f t="shared" si="6"/>
        <v>0</v>
      </c>
    </row>
    <row r="7">
      <c r="A7" s="240">
        <v>1.0</v>
      </c>
      <c r="B7" s="241" t="s">
        <v>946</v>
      </c>
      <c r="C7" s="242">
        <v>4800.0</v>
      </c>
      <c r="D7" s="243">
        <v>0.0</v>
      </c>
      <c r="E7" s="233" t="str">
        <f t="shared" ref="E7:G7" si="7">B15</f>
        <v>Spacer for Axle Pin</v>
      </c>
      <c r="F7" s="233">
        <f t="shared" si="7"/>
        <v>24</v>
      </c>
      <c r="G7" s="233">
        <f t="shared" si="7"/>
        <v>0</v>
      </c>
    </row>
    <row r="8">
      <c r="A8" s="240">
        <v>2.0</v>
      </c>
      <c r="B8" s="245" t="s">
        <v>954</v>
      </c>
      <c r="C8" s="242">
        <v>2280.0</v>
      </c>
      <c r="D8" s="243">
        <v>0.0</v>
      </c>
      <c r="E8" s="233" t="str">
        <f t="shared" ref="E8:G8" si="8">B16</f>
        <v>M 12 x 20 Hex Bolt for Top Head Cover</v>
      </c>
      <c r="F8" s="233">
        <f t="shared" si="8"/>
        <v>18</v>
      </c>
      <c r="G8" s="233">
        <f t="shared" si="8"/>
        <v>0</v>
      </c>
    </row>
    <row r="9">
      <c r="A9" s="240">
        <v>3.0</v>
      </c>
      <c r="B9" s="241" t="s">
        <v>958</v>
      </c>
      <c r="C9" s="242">
        <v>1800.0</v>
      </c>
      <c r="D9" s="243">
        <v>0.0</v>
      </c>
      <c r="E9" s="233" t="str">
        <f t="shared" ref="E9:G9" si="9">B17</f>
        <v>M 12 x 40 Hex Bolt</v>
      </c>
      <c r="F9" s="233">
        <f t="shared" si="9"/>
        <v>18</v>
      </c>
      <c r="G9" s="233">
        <f t="shared" si="9"/>
        <v>0</v>
      </c>
    </row>
    <row r="10">
      <c r="A10" s="240">
        <v>4.0</v>
      </c>
      <c r="B10" s="241" t="s">
        <v>960</v>
      </c>
      <c r="C10" s="242">
        <v>450.0</v>
      </c>
      <c r="D10" s="243">
        <v>0.0</v>
      </c>
      <c r="E10" s="233" t="str">
        <f t="shared" ref="E10:G10" si="10">B18</f>
        <v>M 12 Nut</v>
      </c>
      <c r="F10" s="233">
        <f t="shared" si="10"/>
        <v>12</v>
      </c>
      <c r="G10" s="233">
        <f t="shared" si="10"/>
        <v>0</v>
      </c>
    </row>
    <row r="11">
      <c r="A11" s="240">
        <v>5.0</v>
      </c>
      <c r="B11" s="241" t="s">
        <v>961</v>
      </c>
      <c r="C11" s="242">
        <v>300.0</v>
      </c>
      <c r="D11" s="243">
        <v>0.0</v>
      </c>
      <c r="E11" s="233" t="str">
        <f t="shared" ref="E11:G11" si="11">B19</f>
        <v>M.12 Washer</v>
      </c>
      <c r="F11" s="233">
        <f t="shared" si="11"/>
        <v>12</v>
      </c>
      <c r="G11" s="233">
        <f t="shared" si="11"/>
        <v>0</v>
      </c>
    </row>
    <row r="12">
      <c r="A12" s="240">
        <v>6.0</v>
      </c>
      <c r="B12" s="241" t="s">
        <v>962</v>
      </c>
      <c r="C12" s="242">
        <v>228.0</v>
      </c>
      <c r="D12" s="243">
        <v>0.0</v>
      </c>
      <c r="E12" s="233" t="str">
        <f t="shared" ref="E12:G12" si="12">B20</f>
        <v>M 10 x 40 H.T Bolt</v>
      </c>
      <c r="F12" s="233">
        <f t="shared" si="12"/>
        <v>18</v>
      </c>
      <c r="G12" s="233">
        <f t="shared" si="12"/>
        <v>0</v>
      </c>
    </row>
    <row r="13">
      <c r="A13" s="240">
        <v>7.0</v>
      </c>
      <c r="B13" s="241" t="s">
        <v>964</v>
      </c>
      <c r="C13" s="242">
        <v>216.0</v>
      </c>
      <c r="D13" s="243">
        <v>0.0</v>
      </c>
      <c r="E13" s="233" t="str">
        <f t="shared" ref="E13:G13" si="13">B21</f>
        <v>M.10 Nylon Nut</v>
      </c>
      <c r="F13" s="233">
        <f t="shared" si="13"/>
        <v>12</v>
      </c>
      <c r="G13" s="233">
        <f t="shared" si="13"/>
        <v>0</v>
      </c>
    </row>
    <row r="14">
      <c r="A14" s="240">
        <v>8.0</v>
      </c>
      <c r="B14" s="241" t="s">
        <v>967</v>
      </c>
      <c r="C14" s="242">
        <v>240.0</v>
      </c>
      <c r="D14" s="243">
        <v>0.0</v>
      </c>
      <c r="E14" s="233" t="str">
        <f t="shared" ref="E14:G14" si="14">B22</f>
        <v>Special Washer for Axle</v>
      </c>
      <c r="F14" s="233">
        <f t="shared" si="14"/>
        <v>12</v>
      </c>
      <c r="G14" s="233">
        <f t="shared" si="14"/>
        <v>0</v>
      </c>
    </row>
    <row r="15">
      <c r="A15" s="240">
        <v>9.0</v>
      </c>
      <c r="B15" s="241" t="s">
        <v>970</v>
      </c>
      <c r="C15" s="242">
        <v>24.0</v>
      </c>
      <c r="D15" s="243">
        <v>0.0</v>
      </c>
      <c r="E15" s="233" t="str">
        <f t="shared" ref="E15:G15" si="15">B24</f>
        <v>Cylinder Assembly Complete</v>
      </c>
      <c r="F15" s="233">
        <f t="shared" si="15"/>
        <v>3000</v>
      </c>
      <c r="G15" s="233">
        <f t="shared" si="15"/>
        <v>0</v>
      </c>
    </row>
    <row r="16">
      <c r="A16" s="240">
        <v>10.0</v>
      </c>
      <c r="B16" s="241" t="s">
        <v>972</v>
      </c>
      <c r="C16" s="242">
        <v>18.0</v>
      </c>
      <c r="D16" s="243">
        <v>0.0</v>
      </c>
      <c r="E16" s="233" t="str">
        <f t="shared" ref="E16:G16" si="16">B25</f>
        <v>C.I.Cylinder Body with liner</v>
      </c>
      <c r="F16" s="233">
        <f t="shared" si="16"/>
        <v>1080</v>
      </c>
      <c r="G16" s="233">
        <f t="shared" si="16"/>
        <v>0</v>
      </c>
    </row>
    <row r="17">
      <c r="A17" s="240">
        <v>11.0</v>
      </c>
      <c r="B17" s="241" t="s">
        <v>975</v>
      </c>
      <c r="C17" s="242">
        <v>18.0</v>
      </c>
      <c r="D17" s="243">
        <v>0.0</v>
      </c>
      <c r="E17" s="233" t="str">
        <f t="shared" ref="E17:G17" si="17">B26</f>
        <v>Plunger Rod S.S</v>
      </c>
      <c r="F17" s="233">
        <f t="shared" si="17"/>
        <v>216</v>
      </c>
      <c r="G17" s="233">
        <f t="shared" si="17"/>
        <v>0</v>
      </c>
    </row>
    <row r="18">
      <c r="A18" s="240">
        <v>12.0</v>
      </c>
      <c r="B18" s="241" t="s">
        <v>977</v>
      </c>
      <c r="C18" s="242">
        <v>12.0</v>
      </c>
      <c r="D18" s="243">
        <v>0.0</v>
      </c>
      <c r="E18" s="233" t="str">
        <f t="shared" ref="E18:G18" si="18">B27</f>
        <v>Reducer cap</v>
      </c>
      <c r="F18" s="233">
        <f t="shared" si="18"/>
        <v>156</v>
      </c>
      <c r="G18" s="233">
        <f t="shared" si="18"/>
        <v>0</v>
      </c>
    </row>
    <row r="19">
      <c r="A19" s="240">
        <v>13.0</v>
      </c>
      <c r="B19" s="241" t="s">
        <v>979</v>
      </c>
      <c r="C19" s="242">
        <v>12.0</v>
      </c>
      <c r="D19" s="243">
        <v>0.0</v>
      </c>
      <c r="E19" s="233" t="str">
        <f t="shared" ref="E19:G19" si="19">B28</f>
        <v>Plunger Yoke body</v>
      </c>
      <c r="F19" s="233">
        <f t="shared" si="19"/>
        <v>288</v>
      </c>
      <c r="G19" s="233">
        <f t="shared" si="19"/>
        <v>0</v>
      </c>
    </row>
    <row r="20">
      <c r="A20" s="240">
        <v>14.0</v>
      </c>
      <c r="B20" s="241" t="s">
        <v>983</v>
      </c>
      <c r="C20" s="242">
        <v>18.0</v>
      </c>
      <c r="D20" s="243">
        <v>0.0</v>
      </c>
      <c r="E20" s="233" t="str">
        <f t="shared" ref="E20:G20" si="20">B29</f>
        <v>Spacer</v>
      </c>
      <c r="F20" s="233">
        <f t="shared" si="20"/>
        <v>228</v>
      </c>
      <c r="G20" s="233">
        <f t="shared" si="20"/>
        <v>0</v>
      </c>
    </row>
    <row r="21">
      <c r="A21" s="240">
        <v>15.0</v>
      </c>
      <c r="B21" s="241" t="s">
        <v>985</v>
      </c>
      <c r="C21" s="242">
        <v>12.0</v>
      </c>
      <c r="D21" s="243">
        <v>0.0</v>
      </c>
      <c r="E21" s="233" t="str">
        <f t="shared" ref="E21:G21" si="21">B30</f>
        <v>Follower</v>
      </c>
      <c r="F21" s="233">
        <f t="shared" si="21"/>
        <v>252</v>
      </c>
      <c r="G21" s="233">
        <f t="shared" si="21"/>
        <v>0</v>
      </c>
    </row>
    <row r="22">
      <c r="A22" s="240">
        <v>16.0</v>
      </c>
      <c r="B22" s="241" t="s">
        <v>988</v>
      </c>
      <c r="C22" s="242">
        <v>12.0</v>
      </c>
      <c r="D22" s="243">
        <v>0.0</v>
      </c>
      <c r="E22" s="233" t="str">
        <f t="shared" ref="E22:G22" si="22">B31</f>
        <v>Upper Valve ( one piece)</v>
      </c>
      <c r="F22" s="233">
        <f t="shared" si="22"/>
        <v>90</v>
      </c>
      <c r="G22" s="233">
        <f t="shared" si="22"/>
        <v>0</v>
      </c>
    </row>
    <row r="23">
      <c r="A23" s="238" t="s">
        <v>992</v>
      </c>
      <c r="B23" s="2"/>
      <c r="C23" s="2"/>
      <c r="D23" s="3"/>
      <c r="E23" s="233" t="str">
        <f t="shared" ref="E23:G23" si="23">B32</f>
        <v>Check valve guide</v>
      </c>
      <c r="F23" s="233">
        <f t="shared" si="23"/>
        <v>120</v>
      </c>
      <c r="G23" s="233">
        <f t="shared" si="23"/>
        <v>0</v>
      </c>
    </row>
    <row r="24">
      <c r="A24" s="240">
        <v>1.0</v>
      </c>
      <c r="B24" s="241" t="s">
        <v>993</v>
      </c>
      <c r="C24" s="242">
        <v>3000.0</v>
      </c>
      <c r="D24" s="243">
        <v>0.0</v>
      </c>
      <c r="E24" s="233" t="str">
        <f t="shared" ref="E24:G24" si="24">B33</f>
        <v>Check valve seat</v>
      </c>
      <c r="F24" s="233">
        <f t="shared" si="24"/>
        <v>192</v>
      </c>
      <c r="G24" s="233">
        <f t="shared" si="24"/>
        <v>0</v>
      </c>
    </row>
    <row r="25">
      <c r="A25" s="240">
        <v>2.0</v>
      </c>
      <c r="B25" s="241" t="s">
        <v>995</v>
      </c>
      <c r="C25" s="242">
        <v>1080.0</v>
      </c>
      <c r="D25" s="243">
        <v>0.0</v>
      </c>
      <c r="E25" s="233" t="str">
        <f t="shared" ref="E25:G25" si="25">B34</f>
        <v>Rubber seat Retainer</v>
      </c>
      <c r="F25" s="233">
        <f t="shared" si="25"/>
        <v>96</v>
      </c>
      <c r="G25" s="233">
        <f t="shared" si="25"/>
        <v>0</v>
      </c>
    </row>
    <row r="26">
      <c r="A26" s="240">
        <v>3.0</v>
      </c>
      <c r="B26" s="241" t="s">
        <v>998</v>
      </c>
      <c r="C26" s="242">
        <v>216.0</v>
      </c>
      <c r="D26" s="243">
        <v>0.0</v>
      </c>
      <c r="E26" s="233" t="str">
        <f t="shared" ref="E26:G26" si="26">B35</f>
        <v>Sealing ring (Nitrile Rubber)</v>
      </c>
      <c r="F26" s="233">
        <f t="shared" si="26"/>
        <v>18</v>
      </c>
      <c r="G26" s="233">
        <f t="shared" si="26"/>
        <v>0</v>
      </c>
    </row>
    <row r="27">
      <c r="A27" s="240">
        <v>4.0</v>
      </c>
      <c r="B27" s="241" t="s">
        <v>1000</v>
      </c>
      <c r="C27" s="242">
        <v>156.0</v>
      </c>
      <c r="D27" s="243">
        <v>0.0</v>
      </c>
      <c r="E27" s="233" t="str">
        <f t="shared" ref="E27:G27" si="27">B36</f>
        <v>Rubber seating upper valve</v>
      </c>
      <c r="F27" s="233">
        <f t="shared" si="27"/>
        <v>12</v>
      </c>
      <c r="G27" s="233">
        <f t="shared" si="27"/>
        <v>0</v>
      </c>
    </row>
    <row r="28">
      <c r="A28" s="240">
        <v>5.0</v>
      </c>
      <c r="B28" s="241" t="s">
        <v>1002</v>
      </c>
      <c r="C28" s="242">
        <v>288.0</v>
      </c>
      <c r="D28" s="243">
        <v>0.0</v>
      </c>
      <c r="E28" s="233" t="str">
        <f t="shared" ref="E28:G28" si="28">B37</f>
        <v>Rubber seating check valve</v>
      </c>
      <c r="F28" s="233">
        <f t="shared" si="28"/>
        <v>12</v>
      </c>
      <c r="G28" s="233">
        <f t="shared" si="28"/>
        <v>0</v>
      </c>
    </row>
    <row r="29">
      <c r="A29" s="240">
        <v>6.0</v>
      </c>
      <c r="B29" s="241" t="s">
        <v>1005</v>
      </c>
      <c r="C29" s="242">
        <v>228.0</v>
      </c>
      <c r="D29" s="243">
        <v>0.0</v>
      </c>
      <c r="E29" s="233" t="str">
        <f t="shared" ref="E29:G29" si="29">B38</f>
        <v>Pump Bucket (Nitrile Rubber)</v>
      </c>
      <c r="F29" s="233">
        <f t="shared" si="29"/>
        <v>30</v>
      </c>
      <c r="G29" s="233">
        <f t="shared" si="29"/>
        <v>0</v>
      </c>
    </row>
    <row r="30">
      <c r="A30" s="240">
        <v>7.0</v>
      </c>
      <c r="B30" s="241" t="s">
        <v>1008</v>
      </c>
      <c r="C30" s="242">
        <v>252.0</v>
      </c>
      <c r="D30" s="243">
        <v>0.0</v>
      </c>
      <c r="E30" s="233" t="str">
        <f t="shared" ref="E30:G30" si="30">B39</f>
        <v>Upper valve Assembly comprising of SS Plunger rod, Plunger Yoke body, 2 spacer &amp; 2 bucket washers</v>
      </c>
      <c r="F30" s="233">
        <f t="shared" si="30"/>
        <v>1200</v>
      </c>
      <c r="G30" s="233">
        <f t="shared" si="30"/>
        <v>0</v>
      </c>
    </row>
    <row r="31">
      <c r="A31" s="240">
        <v>8.0</v>
      </c>
      <c r="B31" s="241" t="s">
        <v>1009</v>
      </c>
      <c r="C31" s="242">
        <v>90.0</v>
      </c>
      <c r="D31" s="243">
        <v>0.0</v>
      </c>
      <c r="E31" s="233" t="str">
        <f t="shared" ref="E31:G31" si="31">B40</f>
        <v>Same as above but without plunger rod</v>
      </c>
      <c r="F31" s="233">
        <f t="shared" si="31"/>
        <v>1080</v>
      </c>
      <c r="G31" s="233">
        <f t="shared" si="31"/>
        <v>0</v>
      </c>
    </row>
    <row r="32">
      <c r="A32" s="240">
        <v>9.0</v>
      </c>
      <c r="B32" s="241" t="s">
        <v>1012</v>
      </c>
      <c r="C32" s="242">
        <v>120.0</v>
      </c>
      <c r="D32" s="243">
        <v>0.0</v>
      </c>
      <c r="E32" s="233" t="str">
        <f t="shared" ref="E32:G32" si="32">B41</f>
        <v>Lower Valve Assembly comprising of Rubber Seat Retainer, Check valve guide and rubber seating</v>
      </c>
      <c r="F32" s="233">
        <f t="shared" si="32"/>
        <v>540</v>
      </c>
      <c r="G32" s="233">
        <f t="shared" si="32"/>
        <v>0</v>
      </c>
    </row>
    <row r="33">
      <c r="A33" s="240">
        <v>10.0</v>
      </c>
      <c r="B33" s="241" t="s">
        <v>1015</v>
      </c>
      <c r="C33" s="242">
        <v>192.0</v>
      </c>
      <c r="D33" s="243">
        <v>0.0</v>
      </c>
      <c r="E33" s="233" t="str">
        <f t="shared" ref="E33:G33" si="33">B43</f>
        <v>Water Tank</v>
      </c>
      <c r="F33" s="233">
        <f t="shared" si="33"/>
        <v>1800</v>
      </c>
      <c r="G33" s="233">
        <f t="shared" si="33"/>
        <v>0</v>
      </c>
    </row>
    <row r="34">
      <c r="A34" s="240">
        <v>11.0</v>
      </c>
      <c r="B34" s="241" t="s">
        <v>1018</v>
      </c>
      <c r="C34" s="242">
        <v>96.0</v>
      </c>
      <c r="D34" s="243">
        <v>0.0</v>
      </c>
      <c r="E34" s="233" t="str">
        <f t="shared" ref="E34:G34" si="34">B44</f>
        <v>Pipe Sockets</v>
      </c>
      <c r="F34" s="233">
        <f t="shared" si="34"/>
        <v>120</v>
      </c>
      <c r="G34" s="233">
        <f t="shared" si="34"/>
        <v>0</v>
      </c>
    </row>
    <row r="35">
      <c r="A35" s="240">
        <v>12.0</v>
      </c>
      <c r="B35" s="245" t="s">
        <v>1020</v>
      </c>
      <c r="C35" s="242">
        <v>18.0</v>
      </c>
      <c r="D35" s="243">
        <v>0.0</v>
      </c>
      <c r="E35" s="233" t="str">
        <f t="shared" ref="E35:G35" si="35">B46</f>
        <v>Pedestal (Ordinary)</v>
      </c>
      <c r="F35" s="233">
        <f t="shared" si="35"/>
        <v>3120</v>
      </c>
      <c r="G35" s="233">
        <f t="shared" si="35"/>
        <v>0</v>
      </c>
    </row>
    <row r="36">
      <c r="A36" s="240">
        <v>13.0</v>
      </c>
      <c r="B36" s="241" t="s">
        <v>1023</v>
      </c>
      <c r="C36" s="242">
        <v>12.0</v>
      </c>
      <c r="D36" s="243">
        <v>0.0</v>
      </c>
      <c r="E36" s="233" t="str">
        <f t="shared" ref="E36:G36" si="36">B48</f>
        <v>12 mm dia x 3 m electro galvanized</v>
      </c>
      <c r="F36" s="233">
        <f t="shared" si="36"/>
        <v>336</v>
      </c>
      <c r="G36" s="233">
        <f t="shared" si="36"/>
        <v>0</v>
      </c>
    </row>
    <row r="37">
      <c r="A37" s="240">
        <v>14.0</v>
      </c>
      <c r="B37" s="241" t="s">
        <v>1026</v>
      </c>
      <c r="C37" s="242">
        <v>12.0</v>
      </c>
      <c r="D37" s="243">
        <v>0.0</v>
      </c>
      <c r="E37" s="233" t="str">
        <f t="shared" ref="E37:G37" si="37">B49</f>
        <v>Hex. Coupler 12 x 50 mm</v>
      </c>
      <c r="F37" s="233">
        <f t="shared" si="37"/>
        <v>30</v>
      </c>
      <c r="G37" s="233">
        <f t="shared" si="37"/>
        <v>0</v>
      </c>
    </row>
    <row r="38">
      <c r="A38" s="240">
        <v>15.0</v>
      </c>
      <c r="B38" s="245" t="s">
        <v>1030</v>
      </c>
      <c r="C38" s="242">
        <v>30.0</v>
      </c>
      <c r="D38" s="243">
        <v>0.0</v>
      </c>
      <c r="E38" s="233" t="str">
        <f t="shared" ref="E38:G38" si="38">B50</f>
        <v>Hex. Coupler 12 x 20 mm</v>
      </c>
      <c r="F38" s="233">
        <f t="shared" si="38"/>
        <v>24</v>
      </c>
      <c r="G38" s="233">
        <f t="shared" si="38"/>
        <v>0</v>
      </c>
    </row>
    <row r="39">
      <c r="A39" s="240">
        <v>16.0</v>
      </c>
      <c r="B39" s="241" t="s">
        <v>1032</v>
      </c>
      <c r="C39" s="242">
        <v>1200.0</v>
      </c>
      <c r="D39" s="243">
        <v>0.0</v>
      </c>
      <c r="E39" s="233" t="str">
        <f t="shared" ref="E39:G39" si="39">B52</f>
        <v>GI Riser pipe (B class) 3 m long 32mm bore size both end threaded with one end socket (Code: 1548 - Including Water Charge and CPOH)</v>
      </c>
      <c r="F39" s="233">
        <f t="shared" si="39"/>
        <v>0</v>
      </c>
      <c r="G39" s="233">
        <f t="shared" si="39"/>
        <v>784.02</v>
      </c>
    </row>
    <row r="40">
      <c r="A40" s="240">
        <v>17.0</v>
      </c>
      <c r="B40" s="241" t="s">
        <v>1034</v>
      </c>
      <c r="C40" s="242">
        <v>1080.0</v>
      </c>
      <c r="D40" s="243">
        <v>0.0</v>
      </c>
      <c r="E40" s="233" t="str">
        <f t="shared" ref="E40:G40" si="40">B54</f>
        <v>Cylinder Extra deep well hand pump</v>
      </c>
      <c r="F40" s="233">
        <f t="shared" si="40"/>
        <v>4320</v>
      </c>
      <c r="G40" s="233">
        <f t="shared" si="40"/>
        <v>0</v>
      </c>
    </row>
    <row r="41">
      <c r="A41" s="240">
        <v>18.0</v>
      </c>
      <c r="B41" s="241" t="s">
        <v>1038</v>
      </c>
      <c r="C41" s="242">
        <v>540.0</v>
      </c>
      <c r="D41" s="243">
        <v>0.0</v>
      </c>
      <c r="E41" s="233" t="str">
        <f t="shared" ref="E41:G41" si="41">B55</f>
        <v>Head Assembly for extra deep well pump with T</v>
      </c>
      <c r="F41" s="233">
        <f t="shared" si="41"/>
        <v>7200</v>
      </c>
      <c r="G41" s="233">
        <f t="shared" si="41"/>
        <v>0</v>
      </c>
    </row>
    <row r="42">
      <c r="A42" s="238" t="s">
        <v>1040</v>
      </c>
      <c r="B42" s="2"/>
      <c r="C42" s="2"/>
      <c r="D42" s="3"/>
      <c r="E42" s="233" t="str">
        <f t="shared" ref="E42:G42" si="42">B57</f>
        <v> ISI marked India Mark II (Standard) Deep well hand pumps confirming to IS: 15500 (Part II) 2004 complete with 10 Nos. GI pipe (B class) 3m long  32mm bore both end threaded with one end socket and 10 Nos connecting rods</v>
      </c>
      <c r="F42" s="233">
        <f t="shared" si="42"/>
        <v>31000</v>
      </c>
      <c r="G42" s="233">
        <f t="shared" si="42"/>
        <v>0</v>
      </c>
    </row>
    <row r="43">
      <c r="A43" s="240">
        <v>1.0</v>
      </c>
      <c r="B43" s="245" t="s">
        <v>1040</v>
      </c>
      <c r="C43" s="242">
        <v>1800.0</v>
      </c>
      <c r="D43" s="243">
        <v>0.0</v>
      </c>
      <c r="E43" s="233" t="str">
        <f t="shared" ref="E43:G43" si="43">B58</f>
        <v> ISI marked India Mark II (Standard) Extra Deep well hand pumps confirming to IS: 15500 (Part II) 2004 complete with 20 Nos. GI pipe (B class) 3m long  32mm bore both end threaded with one end socket and 20 Nos connecting rods</v>
      </c>
      <c r="F43" s="233">
        <f t="shared" si="43"/>
        <v>49000</v>
      </c>
      <c r="G43" s="233">
        <f t="shared" si="43"/>
        <v>0</v>
      </c>
    </row>
    <row r="44">
      <c r="A44" s="240">
        <v>2.0</v>
      </c>
      <c r="B44" s="245" t="s">
        <v>1050</v>
      </c>
      <c r="C44" s="242">
        <v>120.0</v>
      </c>
      <c r="D44" s="243">
        <v>0.0</v>
      </c>
      <c r="E44" s="233" t="str">
        <f t="shared" ref="E44:E51" si="44">B59</f>
        <v/>
      </c>
      <c r="F44" s="233"/>
      <c r="G44" s="233"/>
    </row>
    <row r="45">
      <c r="A45" s="238" t="s">
        <v>1054</v>
      </c>
      <c r="B45" s="2"/>
      <c r="C45" s="2"/>
      <c r="D45" s="3"/>
      <c r="E45" s="233" t="str">
        <f t="shared" si="44"/>
        <v/>
      </c>
      <c r="F45" s="233"/>
      <c r="G45" s="233"/>
    </row>
    <row r="46">
      <c r="A46" s="240">
        <v>1.0</v>
      </c>
      <c r="B46" s="245" t="s">
        <v>1056</v>
      </c>
      <c r="C46" s="242">
        <v>3120.0</v>
      </c>
      <c r="D46" s="243">
        <v>0.0</v>
      </c>
      <c r="E46" s="233" t="str">
        <f t="shared" si="44"/>
        <v/>
      </c>
      <c r="F46" s="233"/>
      <c r="G46" s="233"/>
    </row>
    <row r="47">
      <c r="A47" s="238" t="s">
        <v>1057</v>
      </c>
      <c r="B47" s="2"/>
      <c r="C47" s="2"/>
      <c r="D47" s="3"/>
      <c r="E47" s="233" t="str">
        <f t="shared" si="44"/>
        <v/>
      </c>
      <c r="F47" s="233"/>
      <c r="G47" s="233"/>
    </row>
    <row r="48">
      <c r="A48" s="240">
        <v>1.0</v>
      </c>
      <c r="B48" s="241" t="s">
        <v>1061</v>
      </c>
      <c r="C48" s="242">
        <v>336.0</v>
      </c>
      <c r="D48" s="243">
        <v>0.0</v>
      </c>
      <c r="E48" s="233" t="str">
        <f t="shared" si="44"/>
        <v/>
      </c>
      <c r="F48" s="233"/>
      <c r="G48" s="233"/>
    </row>
    <row r="49">
      <c r="A49" s="240">
        <v>2.0</v>
      </c>
      <c r="B49" s="241" t="s">
        <v>1063</v>
      </c>
      <c r="C49" s="242">
        <v>30.0</v>
      </c>
      <c r="D49" s="243">
        <v>0.0</v>
      </c>
      <c r="E49" s="233" t="str">
        <f t="shared" si="44"/>
        <v/>
      </c>
      <c r="F49" s="233"/>
      <c r="G49" s="233"/>
    </row>
    <row r="50">
      <c r="A50" s="240">
        <v>3.0</v>
      </c>
      <c r="B50" s="241" t="s">
        <v>1064</v>
      </c>
      <c r="C50" s="242">
        <v>24.0</v>
      </c>
      <c r="D50" s="243">
        <v>0.0</v>
      </c>
      <c r="E50" s="233" t="str">
        <f t="shared" si="44"/>
        <v/>
      </c>
      <c r="F50" s="233"/>
      <c r="G50" s="233"/>
    </row>
    <row r="51">
      <c r="A51" s="238" t="s">
        <v>1066</v>
      </c>
      <c r="B51" s="2"/>
      <c r="C51" s="2"/>
      <c r="D51" s="3"/>
      <c r="E51" s="233" t="str">
        <f t="shared" si="44"/>
        <v/>
      </c>
      <c r="F51" s="233"/>
      <c r="G51" s="233"/>
    </row>
    <row r="52">
      <c r="A52" s="240">
        <v>1.0</v>
      </c>
      <c r="B52" s="245" t="s">
        <v>1068</v>
      </c>
      <c r="C52" s="243">
        <v>0.0</v>
      </c>
      <c r="D52" s="243">
        <f>261.34*3</f>
        <v>784.02</v>
      </c>
      <c r="E52" s="271"/>
      <c r="F52" s="271"/>
      <c r="G52" s="271"/>
    </row>
    <row r="53">
      <c r="A53" s="238" t="s">
        <v>1074</v>
      </c>
      <c r="B53" s="2"/>
      <c r="C53" s="2"/>
      <c r="D53" s="3"/>
      <c r="E53" s="271"/>
      <c r="F53" s="271"/>
      <c r="G53" s="271"/>
    </row>
    <row r="54">
      <c r="A54" s="240">
        <v>1.0</v>
      </c>
      <c r="B54" s="245" t="s">
        <v>1077</v>
      </c>
      <c r="C54" s="242">
        <v>4320.0</v>
      </c>
      <c r="D54" s="243">
        <v>0.0</v>
      </c>
      <c r="E54" s="271"/>
      <c r="F54" s="271"/>
      <c r="G54" s="271"/>
    </row>
    <row r="55">
      <c r="A55" s="240">
        <v>2.0</v>
      </c>
      <c r="B55" s="241" t="s">
        <v>1078</v>
      </c>
      <c r="C55" s="242">
        <v>7200.0</v>
      </c>
      <c r="D55" s="243">
        <v>0.0</v>
      </c>
      <c r="E55" s="271"/>
      <c r="F55" s="271"/>
      <c r="G55" s="271"/>
    </row>
    <row r="56">
      <c r="A56" s="238" t="s">
        <v>1079</v>
      </c>
      <c r="B56" s="2"/>
      <c r="C56" s="2"/>
      <c r="D56" s="3"/>
      <c r="E56" s="271"/>
      <c r="F56" s="271"/>
      <c r="G56" s="271"/>
    </row>
    <row r="57">
      <c r="A57" s="240">
        <v>1.0</v>
      </c>
      <c r="B57" s="241" t="s">
        <v>1082</v>
      </c>
      <c r="C57" s="273">
        <v>31000.0</v>
      </c>
      <c r="D57" s="243">
        <v>0.0</v>
      </c>
      <c r="E57" s="271"/>
      <c r="F57" s="271"/>
      <c r="G57" s="271"/>
    </row>
    <row r="58">
      <c r="A58" s="240">
        <v>2.0</v>
      </c>
      <c r="B58" s="241" t="s">
        <v>1084</v>
      </c>
      <c r="C58" s="273">
        <v>49000.0</v>
      </c>
      <c r="D58" s="243">
        <v>0.0</v>
      </c>
      <c r="E58" s="271"/>
      <c r="F58" s="271"/>
      <c r="G58" s="271"/>
    </row>
  </sheetData>
  <mergeCells count="13">
    <mergeCell ref="A42:D42"/>
    <mergeCell ref="A45:D45"/>
    <mergeCell ref="A47:D47"/>
    <mergeCell ref="A51:D51"/>
    <mergeCell ref="A53:D53"/>
    <mergeCell ref="A56:D56"/>
    <mergeCell ref="A1:D1"/>
    <mergeCell ref="A2:D2"/>
    <mergeCell ref="A3:D3"/>
    <mergeCell ref="A4:D4"/>
    <mergeCell ref="A5:D5"/>
    <mergeCell ref="A6:D6"/>
    <mergeCell ref="A23:D23"/>
  </mergeCells>
  <printOptions/>
  <pageMargins bottom="0.75" footer="0.0" header="0.0" left="0.7" right="0.7" top="0.75"/>
  <pageSetup orientation="portrait"/>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7.14"/>
    <col customWidth="1" min="2" max="2" width="38.43"/>
    <col customWidth="1" min="3" max="3" width="7.14"/>
    <col customWidth="1" min="4" max="4" width="6.43"/>
    <col customWidth="1" min="5" max="5" width="9.57"/>
    <col customWidth="1" min="6" max="6" width="10.29"/>
    <col customWidth="1" min="7" max="8" width="19.71"/>
  </cols>
  <sheetData>
    <row r="1">
      <c r="A1" s="36" t="s">
        <v>929</v>
      </c>
      <c r="B1" s="2"/>
      <c r="C1" s="2"/>
      <c r="D1" s="2"/>
      <c r="E1" s="2"/>
      <c r="F1" s="2"/>
      <c r="G1" s="3"/>
      <c r="H1" s="235" t="s">
        <v>4</v>
      </c>
    </row>
    <row r="2">
      <c r="A2" s="23">
        <v>1.0</v>
      </c>
      <c r="B2" s="15" t="s">
        <v>938</v>
      </c>
      <c r="C2" s="23">
        <v>110.0</v>
      </c>
      <c r="D2" s="23" t="s">
        <v>790</v>
      </c>
      <c r="E2" s="23">
        <v>170.0</v>
      </c>
      <c r="F2" s="23" t="s">
        <v>939</v>
      </c>
      <c r="G2" s="237">
        <f t="shared" ref="G2:G3" si="1">C2*E2/100</f>
        <v>187</v>
      </c>
      <c r="H2" s="237"/>
    </row>
    <row r="3">
      <c r="A3" s="23">
        <v>2.0</v>
      </c>
      <c r="B3" s="15" t="s">
        <v>941</v>
      </c>
      <c r="C3" s="23">
        <v>150.0</v>
      </c>
      <c r="D3" s="23" t="s">
        <v>790</v>
      </c>
      <c r="E3" s="23">
        <v>65.0</v>
      </c>
      <c r="F3" s="23" t="s">
        <v>939</v>
      </c>
      <c r="G3" s="237">
        <f t="shared" si="1"/>
        <v>97.5</v>
      </c>
      <c r="H3" s="237"/>
    </row>
    <row r="4">
      <c r="A4" s="23">
        <v>3.0</v>
      </c>
      <c r="B4" s="18" t="s">
        <v>944</v>
      </c>
      <c r="C4" s="23">
        <v>1.0</v>
      </c>
      <c r="D4" s="23" t="s">
        <v>945</v>
      </c>
      <c r="E4" s="22">
        <f t="array" ref="E4">IFERROR(INDEX(LMRRates,MATCH(H4,LMRCodes,0), ), )</f>
        <v>64</v>
      </c>
      <c r="F4" s="23" t="s">
        <v>948</v>
      </c>
      <c r="G4" s="237">
        <f t="shared" ref="G4:G8" si="2">C4*E4</f>
        <v>64</v>
      </c>
      <c r="H4" s="244" t="s">
        <v>949</v>
      </c>
    </row>
    <row r="5">
      <c r="A5" s="23">
        <v>4.0</v>
      </c>
      <c r="B5" s="15" t="s">
        <v>952</v>
      </c>
      <c r="C5" s="23">
        <v>1.0</v>
      </c>
      <c r="D5" s="23" t="s">
        <v>945</v>
      </c>
      <c r="E5" s="23">
        <v>40.0</v>
      </c>
      <c r="F5" s="23" t="s">
        <v>948</v>
      </c>
      <c r="G5" s="237">
        <f t="shared" si="2"/>
        <v>40</v>
      </c>
      <c r="H5" s="237"/>
    </row>
    <row r="6">
      <c r="A6" s="23">
        <v>5.0</v>
      </c>
      <c r="B6" s="15" t="s">
        <v>953</v>
      </c>
      <c r="C6" s="23">
        <v>2.0</v>
      </c>
      <c r="D6" s="22" t="s">
        <v>945</v>
      </c>
      <c r="E6" s="23">
        <v>45.0</v>
      </c>
      <c r="F6" s="23" t="s">
        <v>948</v>
      </c>
      <c r="G6" s="237">
        <f t="shared" si="2"/>
        <v>90</v>
      </c>
      <c r="H6" s="237"/>
    </row>
    <row r="7">
      <c r="A7" s="23">
        <v>6.0</v>
      </c>
      <c r="B7" s="18" t="s">
        <v>955</v>
      </c>
      <c r="C7" s="23">
        <v>1.0</v>
      </c>
      <c r="D7" s="23" t="s">
        <v>945</v>
      </c>
      <c r="E7" s="23">
        <v>45.0</v>
      </c>
      <c r="F7" s="23" t="s">
        <v>948</v>
      </c>
      <c r="G7" s="237">
        <f t="shared" si="2"/>
        <v>45</v>
      </c>
      <c r="H7" s="237"/>
    </row>
    <row r="8">
      <c r="A8" s="23">
        <v>7.0</v>
      </c>
      <c r="B8" s="15" t="s">
        <v>956</v>
      </c>
      <c r="C8" s="23">
        <v>1.0</v>
      </c>
      <c r="D8" s="23" t="s">
        <v>945</v>
      </c>
      <c r="E8" s="23">
        <v>55.0</v>
      </c>
      <c r="F8" s="23" t="s">
        <v>948</v>
      </c>
      <c r="G8" s="237">
        <f t="shared" si="2"/>
        <v>55</v>
      </c>
      <c r="H8" s="237"/>
    </row>
    <row r="9">
      <c r="A9" s="23"/>
      <c r="B9" s="15" t="s">
        <v>957</v>
      </c>
      <c r="C9" s="23"/>
      <c r="D9" s="23"/>
      <c r="E9" s="23"/>
      <c r="F9" s="23"/>
      <c r="G9" s="237">
        <f>SUM(G2:G8)</f>
        <v>578.5</v>
      </c>
      <c r="H9" s="237"/>
    </row>
    <row r="10">
      <c r="A10" s="23"/>
      <c r="B10" s="15" t="s">
        <v>908</v>
      </c>
      <c r="C10" s="23"/>
      <c r="D10" s="23"/>
      <c r="E10" s="23"/>
      <c r="F10" s="23"/>
      <c r="G10" s="237">
        <f>G9*0.01</f>
        <v>5.785</v>
      </c>
      <c r="H10" s="237"/>
    </row>
    <row r="11">
      <c r="A11" s="23"/>
      <c r="B11" s="15" t="s">
        <v>37</v>
      </c>
      <c r="C11" s="23"/>
      <c r="D11" s="23"/>
      <c r="E11" s="23"/>
      <c r="F11" s="23"/>
      <c r="G11" s="237">
        <f>SUM(G9:G10)</f>
        <v>584.285</v>
      </c>
      <c r="H11" s="237"/>
    </row>
    <row r="12">
      <c r="A12" s="23"/>
      <c r="B12" s="15" t="s">
        <v>912</v>
      </c>
      <c r="C12" s="23"/>
      <c r="D12" s="23"/>
      <c r="E12" s="23"/>
      <c r="F12" s="23"/>
      <c r="G12" s="237">
        <f>G11*15%</f>
        <v>87.64275</v>
      </c>
      <c r="H12" s="237"/>
    </row>
    <row r="13">
      <c r="A13" s="23"/>
      <c r="B13" s="18" t="s">
        <v>963</v>
      </c>
      <c r="C13" s="23"/>
      <c r="D13" s="23"/>
      <c r="E13" s="23"/>
      <c r="F13" s="23"/>
      <c r="G13" s="246">
        <f>round(SUM(G11:G12),2)</f>
        <v>671.93</v>
      </c>
      <c r="H13" s="246"/>
    </row>
    <row r="14">
      <c r="A14" s="23">
        <v>8.0</v>
      </c>
      <c r="B14" s="18" t="s">
        <v>966</v>
      </c>
      <c r="C14" s="23">
        <v>0.1</v>
      </c>
      <c r="D14" s="23" t="s">
        <v>968</v>
      </c>
      <c r="E14" s="22">
        <v>249.03</v>
      </c>
      <c r="F14" s="23" t="s">
        <v>969</v>
      </c>
      <c r="G14" s="237">
        <f t="shared" ref="G14:G19" si="3">C14*E14</f>
        <v>24.903</v>
      </c>
      <c r="H14" s="237"/>
    </row>
    <row r="15">
      <c r="A15" s="23">
        <v>9.0</v>
      </c>
      <c r="B15" s="18" t="s">
        <v>971</v>
      </c>
      <c r="C15" s="23">
        <v>0.146</v>
      </c>
      <c r="D15" s="23" t="s">
        <v>974</v>
      </c>
      <c r="E15" s="247">
        <v>6393.89</v>
      </c>
      <c r="F15" s="23" t="s">
        <v>969</v>
      </c>
      <c r="G15" s="237">
        <f t="shared" si="3"/>
        <v>933.50794</v>
      </c>
      <c r="H15" s="237"/>
    </row>
    <row r="16">
      <c r="A16" s="23">
        <v>10.0</v>
      </c>
      <c r="B16" s="18" t="s">
        <v>976</v>
      </c>
      <c r="C16" s="23">
        <f>2*(0.8+0.5)*0.1</f>
        <v>0.26</v>
      </c>
      <c r="D16" s="23" t="s">
        <v>978</v>
      </c>
      <c r="E16" s="22">
        <v>267.33</v>
      </c>
      <c r="F16" s="23" t="s">
        <v>980</v>
      </c>
      <c r="G16" s="237">
        <f t="shared" si="3"/>
        <v>69.5058</v>
      </c>
      <c r="H16" s="237"/>
    </row>
    <row r="17">
      <c r="A17" s="23">
        <v>11.0</v>
      </c>
      <c r="B17" s="15" t="s">
        <v>982</v>
      </c>
      <c r="C17" s="23">
        <f>0.8*0.5+C16</f>
        <v>0.66</v>
      </c>
      <c r="D17" s="23" t="s">
        <v>984</v>
      </c>
      <c r="E17" s="22">
        <v>255.98</v>
      </c>
      <c r="F17" s="23" t="s">
        <v>986</v>
      </c>
      <c r="G17" s="237">
        <f t="shared" si="3"/>
        <v>168.9468</v>
      </c>
      <c r="H17" s="237"/>
    </row>
    <row r="18">
      <c r="A18" s="11">
        <v>12.0</v>
      </c>
      <c r="B18" s="18" t="s">
        <v>987</v>
      </c>
      <c r="C18" s="23">
        <v>0.22</v>
      </c>
      <c r="D18" s="22" t="s">
        <v>868</v>
      </c>
      <c r="E18" s="22">
        <v>784.0</v>
      </c>
      <c r="F18" s="22" t="s">
        <v>890</v>
      </c>
      <c r="G18" s="237">
        <f t="shared" si="3"/>
        <v>172.48</v>
      </c>
      <c r="H18" s="237"/>
    </row>
    <row r="19">
      <c r="A19" s="20"/>
      <c r="B19" s="18" t="s">
        <v>989</v>
      </c>
      <c r="C19" s="23">
        <v>0.22</v>
      </c>
      <c r="D19" s="22" t="s">
        <v>868</v>
      </c>
      <c r="E19" s="22">
        <v>645.0</v>
      </c>
      <c r="F19" s="22" t="s">
        <v>890</v>
      </c>
      <c r="G19" s="237">
        <f t="shared" si="3"/>
        <v>141.9</v>
      </c>
      <c r="H19" s="237"/>
    </row>
    <row r="20">
      <c r="A20" s="23"/>
      <c r="B20" s="15" t="s">
        <v>990</v>
      </c>
      <c r="C20" s="23"/>
      <c r="D20" s="23"/>
      <c r="E20" s="23"/>
      <c r="F20" s="23"/>
      <c r="G20" s="237">
        <f>SUM(G18:G19)</f>
        <v>314.38</v>
      </c>
      <c r="H20" s="237"/>
    </row>
    <row r="21">
      <c r="A21" s="23"/>
      <c r="B21" s="15" t="s">
        <v>908</v>
      </c>
      <c r="C21" s="23"/>
      <c r="D21" s="23"/>
      <c r="E21" s="23"/>
      <c r="F21" s="23"/>
      <c r="G21" s="237">
        <f>G20*0.01</f>
        <v>3.1438</v>
      </c>
      <c r="H21" s="237"/>
    </row>
    <row r="22">
      <c r="A22" s="23"/>
      <c r="B22" s="15" t="s">
        <v>37</v>
      </c>
      <c r="C22" s="23"/>
      <c r="D22" s="23"/>
      <c r="E22" s="23"/>
      <c r="F22" s="23"/>
      <c r="G22" s="237">
        <f>SUM(G20:G21)</f>
        <v>317.5238</v>
      </c>
      <c r="H22" s="237"/>
    </row>
    <row r="23">
      <c r="A23" s="23"/>
      <c r="B23" s="15" t="s">
        <v>912</v>
      </c>
      <c r="C23" s="23"/>
      <c r="D23" s="23"/>
      <c r="E23" s="23"/>
      <c r="F23" s="23"/>
      <c r="G23" s="237">
        <f>G22*15%</f>
        <v>47.62857</v>
      </c>
      <c r="H23" s="237"/>
    </row>
    <row r="24">
      <c r="A24" s="23"/>
      <c r="B24" s="22" t="s">
        <v>996</v>
      </c>
      <c r="C24" s="23"/>
      <c r="D24" s="23"/>
      <c r="E24" s="23"/>
      <c r="F24" s="23"/>
      <c r="G24" s="237">
        <f>SUM(G22:G23)</f>
        <v>365.15237</v>
      </c>
      <c r="H24" s="237"/>
    </row>
    <row r="25">
      <c r="A25" s="23"/>
      <c r="B25" s="235" t="s">
        <v>963</v>
      </c>
      <c r="C25" s="23"/>
      <c r="D25" s="23"/>
      <c r="E25" s="23"/>
      <c r="F25" s="23"/>
      <c r="G25" s="246">
        <f>round(G14+G15+G16+G17+G24,2)</f>
        <v>1562.02</v>
      </c>
      <c r="H25" s="246"/>
    </row>
    <row r="26" ht="21.75" customHeight="1">
      <c r="A26" s="36" t="str">
        <f>CONCATENATE("Say ₹ ",G13," + ",G25," x Cost Index")</f>
        <v>Say ₹ 671.93 + 1562.02 x Cost Index</v>
      </c>
      <c r="B26" s="2"/>
      <c r="C26" s="2"/>
      <c r="D26" s="2"/>
      <c r="E26" s="2"/>
      <c r="F26" s="2"/>
      <c r="G26" s="3"/>
      <c r="H26" s="235"/>
    </row>
    <row r="27">
      <c r="A27" s="255" t="s">
        <v>1006</v>
      </c>
      <c r="B27" s="2"/>
      <c r="C27" s="2"/>
      <c r="D27" s="2"/>
      <c r="E27" s="2"/>
      <c r="F27" s="2"/>
      <c r="G27" s="3"/>
      <c r="H27" s="256"/>
    </row>
    <row r="28">
      <c r="A28" s="257">
        <v>1.0</v>
      </c>
      <c r="B28" s="258" t="s">
        <v>1010</v>
      </c>
      <c r="C28" s="257">
        <v>110.0</v>
      </c>
      <c r="D28" s="257" t="s">
        <v>790</v>
      </c>
      <c r="E28" s="257">
        <v>170.0</v>
      </c>
      <c r="F28" s="257" t="s">
        <v>939</v>
      </c>
      <c r="G28" s="261">
        <f t="shared" ref="G28:G29" si="4">C28*E28/100</f>
        <v>187</v>
      </c>
      <c r="H28" s="261"/>
    </row>
    <row r="29">
      <c r="A29" s="257">
        <v>2.0</v>
      </c>
      <c r="B29" s="258" t="s">
        <v>1016</v>
      </c>
      <c r="C29" s="257">
        <v>150.0</v>
      </c>
      <c r="D29" s="257" t="s">
        <v>790</v>
      </c>
      <c r="E29" s="257">
        <v>65.0</v>
      </c>
      <c r="F29" s="257" t="s">
        <v>939</v>
      </c>
      <c r="G29" s="261">
        <f t="shared" si="4"/>
        <v>97.5</v>
      </c>
      <c r="H29" s="261"/>
    </row>
    <row r="30">
      <c r="A30" s="257">
        <v>3.0</v>
      </c>
      <c r="B30" s="263" t="s">
        <v>944</v>
      </c>
      <c r="C30" s="257">
        <v>1.0</v>
      </c>
      <c r="D30" s="257" t="s">
        <v>945</v>
      </c>
      <c r="E30" s="264">
        <f t="array" ref="E30">IFERROR(INDEX(LMRRates,MATCH(H30,LMRCodes,0), ), )</f>
        <v>64</v>
      </c>
      <c r="F30" s="257" t="s">
        <v>948</v>
      </c>
      <c r="G30" s="261">
        <f t="shared" ref="G30:G34" si="5">C30*E30</f>
        <v>64</v>
      </c>
      <c r="H30" s="265" t="s">
        <v>949</v>
      </c>
    </row>
    <row r="31">
      <c r="A31" s="257">
        <v>4.0</v>
      </c>
      <c r="B31" s="258" t="s">
        <v>952</v>
      </c>
      <c r="C31" s="257">
        <v>1.0</v>
      </c>
      <c r="D31" s="257" t="s">
        <v>945</v>
      </c>
      <c r="E31" s="257">
        <v>40.0</v>
      </c>
      <c r="F31" s="257" t="s">
        <v>948</v>
      </c>
      <c r="G31" s="261">
        <f t="shared" si="5"/>
        <v>40</v>
      </c>
      <c r="H31" s="261"/>
    </row>
    <row r="32">
      <c r="A32" s="257">
        <v>5.0</v>
      </c>
      <c r="B32" s="258" t="s">
        <v>953</v>
      </c>
      <c r="C32" s="257">
        <v>2.0</v>
      </c>
      <c r="D32" s="257" t="s">
        <v>934</v>
      </c>
      <c r="E32" s="257">
        <v>45.0</v>
      </c>
      <c r="F32" s="257" t="s">
        <v>948</v>
      </c>
      <c r="G32" s="261">
        <f t="shared" si="5"/>
        <v>90</v>
      </c>
      <c r="H32" s="261"/>
    </row>
    <row r="33">
      <c r="A33" s="257">
        <v>6.0</v>
      </c>
      <c r="B33" s="258" t="s">
        <v>1025</v>
      </c>
      <c r="C33" s="257">
        <v>1.0</v>
      </c>
      <c r="D33" s="257" t="s">
        <v>945</v>
      </c>
      <c r="E33" s="257">
        <v>45.0</v>
      </c>
      <c r="F33" s="257" t="s">
        <v>948</v>
      </c>
      <c r="G33" s="261">
        <f t="shared" si="5"/>
        <v>45</v>
      </c>
      <c r="H33" s="261"/>
    </row>
    <row r="34">
      <c r="A34" s="257">
        <v>7.0</v>
      </c>
      <c r="B34" s="258" t="s">
        <v>956</v>
      </c>
      <c r="C34" s="257">
        <v>1.0</v>
      </c>
      <c r="D34" s="257"/>
      <c r="E34" s="257">
        <v>55.0</v>
      </c>
      <c r="F34" s="257" t="s">
        <v>948</v>
      </c>
      <c r="G34" s="261">
        <f t="shared" si="5"/>
        <v>55</v>
      </c>
      <c r="H34" s="261"/>
    </row>
    <row r="35">
      <c r="A35" s="257"/>
      <c r="B35" s="258" t="s">
        <v>957</v>
      </c>
      <c r="C35" s="257"/>
      <c r="D35" s="257"/>
      <c r="E35" s="257"/>
      <c r="F35" s="257"/>
      <c r="G35" s="261">
        <f>SUM(G28:G34)</f>
        <v>578.5</v>
      </c>
      <c r="H35" s="261"/>
    </row>
    <row r="36">
      <c r="A36" s="257"/>
      <c r="B36" s="258" t="s">
        <v>908</v>
      </c>
      <c r="C36" s="257"/>
      <c r="D36" s="257"/>
      <c r="E36" s="257"/>
      <c r="F36" s="257"/>
      <c r="G36" s="261">
        <f>G35*0.01</f>
        <v>5.785</v>
      </c>
      <c r="H36" s="261"/>
    </row>
    <row r="37">
      <c r="A37" s="257"/>
      <c r="B37" s="258" t="s">
        <v>37</v>
      </c>
      <c r="C37" s="257"/>
      <c r="D37" s="257"/>
      <c r="E37" s="257"/>
      <c r="F37" s="257"/>
      <c r="G37" s="261">
        <f>SUM(G35:G36)</f>
        <v>584.285</v>
      </c>
      <c r="H37" s="261"/>
    </row>
    <row r="38">
      <c r="A38" s="257"/>
      <c r="B38" s="258" t="s">
        <v>912</v>
      </c>
      <c r="C38" s="257"/>
      <c r="D38" s="257"/>
      <c r="E38" s="257"/>
      <c r="F38" s="257"/>
      <c r="G38" s="261">
        <f>G37*15%</f>
        <v>87.64275</v>
      </c>
      <c r="H38" s="261"/>
    </row>
    <row r="39">
      <c r="A39" s="257"/>
      <c r="B39" s="263" t="s">
        <v>963</v>
      </c>
      <c r="C39" s="257"/>
      <c r="D39" s="257"/>
      <c r="E39" s="257"/>
      <c r="F39" s="257"/>
      <c r="G39" s="266">
        <f>round(SUM(G37:G38),2)</f>
        <v>671.93</v>
      </c>
      <c r="H39" s="266"/>
    </row>
    <row r="40">
      <c r="A40" s="257">
        <v>8.0</v>
      </c>
      <c r="B40" s="263" t="s">
        <v>966</v>
      </c>
      <c r="C40" s="257">
        <v>0.054</v>
      </c>
      <c r="D40" s="257" t="s">
        <v>1041</v>
      </c>
      <c r="E40" s="264">
        <v>249.03</v>
      </c>
      <c r="F40" s="257" t="s">
        <v>969</v>
      </c>
      <c r="G40" s="261">
        <f t="shared" ref="G40:G45" si="6">C40*E40</f>
        <v>13.44762</v>
      </c>
      <c r="H40" s="261"/>
    </row>
    <row r="41">
      <c r="A41" s="257">
        <v>9.0</v>
      </c>
      <c r="B41" s="263" t="s">
        <v>971</v>
      </c>
      <c r="C41" s="257">
        <v>0.08</v>
      </c>
      <c r="D41" s="257" t="s">
        <v>1044</v>
      </c>
      <c r="E41" s="267">
        <v>6393.89</v>
      </c>
      <c r="F41" s="257" t="s">
        <v>969</v>
      </c>
      <c r="G41" s="261">
        <f t="shared" si="6"/>
        <v>511.5112</v>
      </c>
      <c r="H41" s="261"/>
    </row>
    <row r="42">
      <c r="A42" s="257">
        <v>10.0</v>
      </c>
      <c r="B42" s="263" t="s">
        <v>976</v>
      </c>
      <c r="C42" s="257">
        <v>0.18</v>
      </c>
      <c r="D42" s="257" t="s">
        <v>1047</v>
      </c>
      <c r="E42" s="264">
        <v>267.33</v>
      </c>
      <c r="F42" s="257" t="s">
        <v>1049</v>
      </c>
      <c r="G42" s="261">
        <f t="shared" si="6"/>
        <v>48.1194</v>
      </c>
      <c r="H42" s="261"/>
    </row>
    <row r="43">
      <c r="A43" s="257">
        <v>11.0</v>
      </c>
      <c r="B43" s="258" t="s">
        <v>982</v>
      </c>
      <c r="C43" s="257">
        <v>0.36</v>
      </c>
      <c r="D43" s="257" t="s">
        <v>1051</v>
      </c>
      <c r="E43" s="264">
        <v>255.98</v>
      </c>
      <c r="F43" s="257" t="s">
        <v>1053</v>
      </c>
      <c r="G43" s="269">
        <f t="shared" si="6"/>
        <v>92.1528</v>
      </c>
      <c r="H43" s="269"/>
    </row>
    <row r="44">
      <c r="A44" s="270">
        <v>12.0</v>
      </c>
      <c r="B44" s="263" t="s">
        <v>987</v>
      </c>
      <c r="C44" s="257">
        <v>0.22</v>
      </c>
      <c r="D44" s="257" t="s">
        <v>934</v>
      </c>
      <c r="E44" s="264">
        <v>784.0</v>
      </c>
      <c r="F44" s="257" t="s">
        <v>948</v>
      </c>
      <c r="G44" s="261">
        <f t="shared" si="6"/>
        <v>172.48</v>
      </c>
      <c r="H44" s="261"/>
    </row>
    <row r="45">
      <c r="A45" s="20"/>
      <c r="B45" s="263" t="s">
        <v>989</v>
      </c>
      <c r="C45" s="257">
        <v>0.22</v>
      </c>
      <c r="D45" s="257" t="s">
        <v>934</v>
      </c>
      <c r="E45" s="264">
        <v>645.0</v>
      </c>
      <c r="F45" s="257" t="s">
        <v>948</v>
      </c>
      <c r="G45" s="261">
        <f t="shared" si="6"/>
        <v>141.9</v>
      </c>
      <c r="H45" s="261"/>
    </row>
    <row r="46">
      <c r="A46" s="257"/>
      <c r="B46" s="258" t="s">
        <v>990</v>
      </c>
      <c r="C46" s="257"/>
      <c r="D46" s="257"/>
      <c r="E46" s="257"/>
      <c r="F46" s="257"/>
      <c r="G46" s="261">
        <f>SUM(G44:G45)</f>
        <v>314.38</v>
      </c>
      <c r="H46" s="261"/>
    </row>
    <row r="47">
      <c r="A47" s="257"/>
      <c r="B47" s="258" t="s">
        <v>908</v>
      </c>
      <c r="C47" s="257"/>
      <c r="D47" s="257"/>
      <c r="E47" s="257"/>
      <c r="F47" s="257"/>
      <c r="G47" s="261">
        <f>G46*0.01</f>
        <v>3.1438</v>
      </c>
      <c r="H47" s="261"/>
    </row>
    <row r="48">
      <c r="A48" s="257"/>
      <c r="B48" s="258" t="s">
        <v>37</v>
      </c>
      <c r="C48" s="257"/>
      <c r="D48" s="257"/>
      <c r="E48" s="257"/>
      <c r="F48" s="257"/>
      <c r="G48" s="261">
        <f>SUM(G46:G47)</f>
        <v>317.5238</v>
      </c>
      <c r="H48" s="261"/>
    </row>
    <row r="49">
      <c r="A49" s="257"/>
      <c r="B49" s="258" t="s">
        <v>912</v>
      </c>
      <c r="C49" s="257"/>
      <c r="D49" s="257"/>
      <c r="E49" s="257"/>
      <c r="F49" s="257"/>
      <c r="G49" s="261">
        <f>G48*15%</f>
        <v>47.62857</v>
      </c>
      <c r="H49" s="261"/>
    </row>
    <row r="50">
      <c r="A50" s="257"/>
      <c r="B50" s="264" t="s">
        <v>1069</v>
      </c>
      <c r="C50" s="257"/>
      <c r="D50" s="257"/>
      <c r="E50" s="257"/>
      <c r="F50" s="257"/>
      <c r="G50" s="261">
        <f>SUM(G48:G49)</f>
        <v>365.15237</v>
      </c>
      <c r="H50" s="261"/>
    </row>
    <row r="51">
      <c r="A51" s="257"/>
      <c r="B51" s="256" t="s">
        <v>963</v>
      </c>
      <c r="C51" s="257"/>
      <c r="D51" s="257"/>
      <c r="E51" s="257"/>
      <c r="F51" s="257"/>
      <c r="G51" s="266">
        <f>round(G40+G41+G42+G43+G50,2)</f>
        <v>1030.38</v>
      </c>
      <c r="H51" s="266"/>
    </row>
    <row r="52" ht="27.0" customHeight="1">
      <c r="A52" s="255" t="str">
        <f>CONCATENATE("Say ₹ ",G39," + ",G51," x Cost Index")</f>
        <v>Say ₹ 671.93 + 1030.38 x Cost Index</v>
      </c>
      <c r="B52" s="2"/>
      <c r="C52" s="2"/>
      <c r="D52" s="2"/>
      <c r="E52" s="2"/>
      <c r="F52" s="2"/>
      <c r="G52" s="3"/>
      <c r="H52" s="256"/>
    </row>
  </sheetData>
  <mergeCells count="6">
    <mergeCell ref="A1:G1"/>
    <mergeCell ref="A18:A19"/>
    <mergeCell ref="A26:G26"/>
    <mergeCell ref="A27:G27"/>
    <mergeCell ref="A44:A45"/>
    <mergeCell ref="A52:G52"/>
  </mergeCells>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3.57"/>
    <col customWidth="1" min="2" max="2" width="48.29"/>
    <col customWidth="1" min="3" max="3" width="9.14"/>
    <col customWidth="1" min="4" max="6" width="6.86"/>
    <col customWidth="1" min="7" max="7" width="11.14"/>
    <col customWidth="1" min="8" max="8" width="9.43"/>
    <col customWidth="1" min="9" max="9" width="8.57"/>
    <col customWidth="1" min="10" max="10" width="12.43"/>
  </cols>
  <sheetData>
    <row r="1">
      <c r="A1" s="248" t="s">
        <v>994</v>
      </c>
    </row>
    <row r="2">
      <c r="A2" s="249">
        <v>1.0</v>
      </c>
      <c r="B2" s="250" t="s">
        <v>999</v>
      </c>
      <c r="C2" s="136"/>
      <c r="D2" s="136"/>
      <c r="E2" s="136"/>
      <c r="F2" s="136"/>
      <c r="G2" s="136"/>
      <c r="H2" s="136"/>
      <c r="I2" s="136"/>
      <c r="J2" s="137"/>
    </row>
    <row r="3">
      <c r="A3" s="251"/>
      <c r="B3" s="252" t="s">
        <v>1001</v>
      </c>
      <c r="C3" s="136"/>
      <c r="D3" s="136"/>
      <c r="E3" s="136"/>
      <c r="F3" s="137"/>
      <c r="G3" s="253" t="s">
        <v>1003</v>
      </c>
      <c r="H3" s="253" t="s">
        <v>778</v>
      </c>
      <c r="I3" s="253" t="s">
        <v>8</v>
      </c>
      <c r="J3" s="254" t="s">
        <v>37</v>
      </c>
    </row>
    <row r="4">
      <c r="A4" s="251"/>
      <c r="B4" s="177" t="s">
        <v>1007</v>
      </c>
      <c r="C4" s="259" t="s">
        <v>1011</v>
      </c>
      <c r="D4" s="136"/>
      <c r="E4" s="136"/>
      <c r="F4" s="137"/>
      <c r="G4" s="260">
        <v>4.0</v>
      </c>
      <c r="H4" s="260">
        <v>4.6</v>
      </c>
      <c r="I4" s="260" t="s">
        <v>1014</v>
      </c>
      <c r="J4" s="262">
        <f t="shared" ref="J4:J11" si="1">G4*H4</f>
        <v>18.4</v>
      </c>
    </row>
    <row r="5">
      <c r="A5" s="251"/>
      <c r="B5" s="177" t="s">
        <v>1017</v>
      </c>
      <c r="C5" s="259" t="s">
        <v>1019</v>
      </c>
      <c r="D5" s="136"/>
      <c r="E5" s="136"/>
      <c r="F5" s="137"/>
      <c r="G5" s="260">
        <v>4.0</v>
      </c>
      <c r="H5" s="260">
        <v>0.9</v>
      </c>
      <c r="I5" s="260" t="s">
        <v>1014</v>
      </c>
      <c r="J5" s="262">
        <f t="shared" si="1"/>
        <v>3.6</v>
      </c>
    </row>
    <row r="6">
      <c r="A6" s="251"/>
      <c r="B6" s="177" t="s">
        <v>1022</v>
      </c>
      <c r="C6" s="259" t="s">
        <v>1024</v>
      </c>
      <c r="D6" s="136"/>
      <c r="E6" s="136"/>
      <c r="F6" s="137"/>
      <c r="G6" s="260">
        <v>4.0</v>
      </c>
      <c r="H6" s="260">
        <v>2.6</v>
      </c>
      <c r="I6" s="260" t="s">
        <v>1014</v>
      </c>
      <c r="J6" s="262">
        <f t="shared" si="1"/>
        <v>10.4</v>
      </c>
    </row>
    <row r="7">
      <c r="A7" s="251"/>
      <c r="B7" s="177" t="s">
        <v>1027</v>
      </c>
      <c r="C7" s="259" t="s">
        <v>1029</v>
      </c>
      <c r="D7" s="136"/>
      <c r="E7" s="136"/>
      <c r="F7" s="137"/>
      <c r="G7" s="260">
        <v>4.0</v>
      </c>
      <c r="H7" s="260">
        <v>2.4</v>
      </c>
      <c r="I7" s="260" t="s">
        <v>1014</v>
      </c>
      <c r="J7" s="262">
        <f t="shared" si="1"/>
        <v>9.6</v>
      </c>
    </row>
    <row r="8">
      <c r="A8" s="251"/>
      <c r="B8" s="177" t="s">
        <v>1031</v>
      </c>
      <c r="C8" s="259" t="s">
        <v>1033</v>
      </c>
      <c r="D8" s="136"/>
      <c r="E8" s="136"/>
      <c r="F8" s="137"/>
      <c r="G8" s="260">
        <v>4.0</v>
      </c>
      <c r="H8" s="260">
        <v>2.3</v>
      </c>
      <c r="I8" s="260" t="s">
        <v>1014</v>
      </c>
      <c r="J8" s="262">
        <f t="shared" si="1"/>
        <v>9.2</v>
      </c>
    </row>
    <row r="9">
      <c r="A9" s="251"/>
      <c r="B9" s="177" t="s">
        <v>1035</v>
      </c>
      <c r="C9" s="259" t="s">
        <v>1037</v>
      </c>
      <c r="D9" s="136"/>
      <c r="E9" s="136"/>
      <c r="F9" s="137"/>
      <c r="G9" s="260">
        <v>8.0</v>
      </c>
      <c r="H9" s="260">
        <v>2.9</v>
      </c>
      <c r="I9" s="260" t="s">
        <v>1014</v>
      </c>
      <c r="J9" s="262">
        <f t="shared" si="1"/>
        <v>23.2</v>
      </c>
    </row>
    <row r="10">
      <c r="A10" s="251"/>
      <c r="B10" s="177" t="s">
        <v>1039</v>
      </c>
      <c r="C10" s="259" t="s">
        <v>1042</v>
      </c>
      <c r="D10" s="136"/>
      <c r="E10" s="136"/>
      <c r="F10" s="137"/>
      <c r="G10" s="260">
        <v>8.0</v>
      </c>
      <c r="H10" s="260">
        <v>2.8</v>
      </c>
      <c r="I10" s="260" t="s">
        <v>1014</v>
      </c>
      <c r="J10" s="262">
        <f t="shared" si="1"/>
        <v>22.4</v>
      </c>
    </row>
    <row r="11">
      <c r="A11" s="251"/>
      <c r="B11" s="177" t="s">
        <v>1043</v>
      </c>
      <c r="C11" s="259" t="s">
        <v>1045</v>
      </c>
      <c r="D11" s="136"/>
      <c r="E11" s="136"/>
      <c r="F11" s="137"/>
      <c r="G11" s="260">
        <v>8.0</v>
      </c>
      <c r="H11" s="260">
        <v>0.5</v>
      </c>
      <c r="I11" s="260" t="s">
        <v>1014</v>
      </c>
      <c r="J11" s="262">
        <f t="shared" si="1"/>
        <v>4</v>
      </c>
    </row>
    <row r="12">
      <c r="A12" s="251"/>
      <c r="B12" s="268" t="s">
        <v>1048</v>
      </c>
      <c r="C12" s="136"/>
      <c r="D12" s="136"/>
      <c r="E12" s="136"/>
      <c r="F12" s="136"/>
      <c r="G12" s="136"/>
      <c r="H12" s="136"/>
      <c r="I12" s="136"/>
      <c r="J12" s="137"/>
    </row>
    <row r="13">
      <c r="A13" s="251"/>
      <c r="B13" s="177" t="s">
        <v>1052</v>
      </c>
      <c r="C13" s="259" t="s">
        <v>1055</v>
      </c>
      <c r="D13" s="136"/>
      <c r="E13" s="136"/>
      <c r="F13" s="137"/>
      <c r="G13" s="260">
        <v>4.0</v>
      </c>
      <c r="H13" s="260">
        <v>2.2</v>
      </c>
      <c r="I13" s="260" t="s">
        <v>1014</v>
      </c>
      <c r="J13" s="262">
        <f t="shared" ref="J13:J14" si="2">G13*H13</f>
        <v>8.8</v>
      </c>
    </row>
    <row r="14">
      <c r="A14" s="251"/>
      <c r="B14" s="177" t="s">
        <v>1058</v>
      </c>
      <c r="C14" s="259" t="s">
        <v>1060</v>
      </c>
      <c r="D14" s="136"/>
      <c r="E14" s="136"/>
      <c r="F14" s="137"/>
      <c r="G14" s="260">
        <v>6.0</v>
      </c>
      <c r="H14" s="260">
        <v>2.2</v>
      </c>
      <c r="I14" s="260" t="s">
        <v>1014</v>
      </c>
      <c r="J14" s="262">
        <f t="shared" si="2"/>
        <v>13.2</v>
      </c>
    </row>
    <row r="15">
      <c r="A15" s="251"/>
      <c r="B15" s="268" t="s">
        <v>1062</v>
      </c>
      <c r="C15" s="136"/>
      <c r="D15" s="136"/>
      <c r="E15" s="136"/>
      <c r="F15" s="136"/>
      <c r="G15" s="136"/>
      <c r="H15" s="136"/>
      <c r="I15" s="136"/>
      <c r="J15" s="137"/>
    </row>
    <row r="16">
      <c r="A16" s="251"/>
      <c r="B16" s="177" t="s">
        <v>1065</v>
      </c>
      <c r="C16" s="259" t="s">
        <v>1067</v>
      </c>
      <c r="D16" s="136"/>
      <c r="E16" s="136"/>
      <c r="F16" s="137"/>
      <c r="G16" s="260">
        <v>16.0</v>
      </c>
      <c r="H16" s="260">
        <v>0.9</v>
      </c>
      <c r="I16" s="260" t="s">
        <v>1014</v>
      </c>
      <c r="J16" s="262">
        <f t="shared" ref="J16:J17" si="3">G16*H16</f>
        <v>14.4</v>
      </c>
    </row>
    <row r="17">
      <c r="A17" s="251"/>
      <c r="B17" s="177" t="s">
        <v>1070</v>
      </c>
      <c r="C17" s="259" t="s">
        <v>1072</v>
      </c>
      <c r="D17" s="136"/>
      <c r="E17" s="136"/>
      <c r="F17" s="137"/>
      <c r="G17" s="260">
        <v>4.0</v>
      </c>
      <c r="H17" s="260">
        <v>2.2</v>
      </c>
      <c r="I17" s="260" t="s">
        <v>1014</v>
      </c>
      <c r="J17" s="262">
        <f t="shared" si="3"/>
        <v>8.8</v>
      </c>
    </row>
    <row r="18">
      <c r="A18" s="251"/>
      <c r="B18" s="268" t="s">
        <v>1073</v>
      </c>
      <c r="C18" s="136"/>
      <c r="D18" s="136"/>
      <c r="E18" s="136"/>
      <c r="F18" s="136"/>
      <c r="G18" s="136"/>
      <c r="H18" s="136"/>
      <c r="I18" s="136"/>
      <c r="J18" s="137"/>
    </row>
    <row r="19">
      <c r="A19" s="251"/>
      <c r="B19" s="177" t="s">
        <v>1075</v>
      </c>
      <c r="C19" s="259" t="s">
        <v>1076</v>
      </c>
      <c r="D19" s="136"/>
      <c r="E19" s="136"/>
      <c r="F19" s="137"/>
      <c r="G19" s="260">
        <v>2.0</v>
      </c>
      <c r="H19" s="260">
        <v>4.4</v>
      </c>
      <c r="I19" s="260" t="s">
        <v>1014</v>
      </c>
      <c r="J19" s="262">
        <f t="shared" ref="J19:J21" si="4">G19*H19</f>
        <v>8.8</v>
      </c>
    </row>
    <row r="20">
      <c r="A20" s="251"/>
      <c r="B20" s="177" t="s">
        <v>1080</v>
      </c>
      <c r="C20" s="259" t="s">
        <v>1076</v>
      </c>
      <c r="D20" s="136"/>
      <c r="E20" s="136"/>
      <c r="F20" s="137"/>
      <c r="G20" s="260">
        <v>12.0</v>
      </c>
      <c r="H20" s="260">
        <v>0.3</v>
      </c>
      <c r="I20" s="260" t="s">
        <v>1014</v>
      </c>
      <c r="J20" s="262">
        <f t="shared" si="4"/>
        <v>3.6</v>
      </c>
    </row>
    <row r="21">
      <c r="A21" s="251"/>
      <c r="B21" s="272" t="s">
        <v>1083</v>
      </c>
      <c r="C21" s="259"/>
      <c r="D21" s="136"/>
      <c r="E21" s="136"/>
      <c r="F21" s="137"/>
      <c r="G21" s="260">
        <v>2.2</v>
      </c>
      <c r="H21" s="260">
        <v>2.2</v>
      </c>
      <c r="I21" s="260" t="s">
        <v>1085</v>
      </c>
      <c r="J21" s="262">
        <f t="shared" si="4"/>
        <v>4.84</v>
      </c>
    </row>
    <row r="22">
      <c r="A22" s="251"/>
      <c r="B22" s="177" t="s">
        <v>1086</v>
      </c>
      <c r="C22" s="259">
        <v>4.0</v>
      </c>
      <c r="D22" s="136"/>
      <c r="E22" s="136"/>
      <c r="F22" s="137"/>
      <c r="G22" s="260">
        <v>0.3</v>
      </c>
      <c r="H22" s="260">
        <v>0.3</v>
      </c>
      <c r="I22" s="260" t="s">
        <v>1087</v>
      </c>
      <c r="J22" s="262">
        <f>G22*H22*C22</f>
        <v>0.36</v>
      </c>
    </row>
    <row r="23">
      <c r="A23" s="251"/>
      <c r="B23" s="259"/>
      <c r="C23" s="136"/>
      <c r="D23" s="136"/>
      <c r="E23" s="136"/>
      <c r="F23" s="136"/>
      <c r="G23" s="136"/>
      <c r="H23" s="136"/>
      <c r="I23" s="136"/>
      <c r="J23" s="137"/>
    </row>
    <row r="24">
      <c r="A24" s="251"/>
      <c r="B24" s="268" t="s">
        <v>1089</v>
      </c>
      <c r="C24" s="136"/>
      <c r="D24" s="136"/>
      <c r="E24" s="136"/>
      <c r="F24" s="137"/>
      <c r="G24" s="253" t="s">
        <v>778</v>
      </c>
      <c r="H24" s="253" t="s">
        <v>1090</v>
      </c>
      <c r="I24" s="253" t="s">
        <v>8</v>
      </c>
      <c r="J24" s="254" t="s">
        <v>1091</v>
      </c>
    </row>
    <row r="25">
      <c r="A25" s="251"/>
      <c r="B25" s="177" t="s">
        <v>1092</v>
      </c>
      <c r="C25" s="259" t="s">
        <v>1093</v>
      </c>
      <c r="D25" s="136"/>
      <c r="E25" s="136"/>
      <c r="F25" s="137"/>
      <c r="G25" s="260">
        <v>30.8</v>
      </c>
      <c r="H25" s="260">
        <v>6.8</v>
      </c>
      <c r="I25" s="260" t="s">
        <v>1094</v>
      </c>
      <c r="J25" s="262">
        <f t="shared" ref="J25:J29" si="5">G25*H25</f>
        <v>209.44</v>
      </c>
    </row>
    <row r="26">
      <c r="A26" s="251"/>
      <c r="B26" s="177" t="s">
        <v>1092</v>
      </c>
      <c r="C26" s="259" t="s">
        <v>1097</v>
      </c>
      <c r="D26" s="136"/>
      <c r="E26" s="136"/>
      <c r="F26" s="137"/>
      <c r="G26" s="260">
        <v>46.4</v>
      </c>
      <c r="H26" s="260">
        <v>4.5</v>
      </c>
      <c r="I26" s="260" t="s">
        <v>1094</v>
      </c>
      <c r="J26" s="262">
        <f t="shared" si="5"/>
        <v>208.8</v>
      </c>
    </row>
    <row r="27">
      <c r="A27" s="251"/>
      <c r="B27" s="177" t="s">
        <v>1092</v>
      </c>
      <c r="C27" s="259" t="s">
        <v>1098</v>
      </c>
      <c r="D27" s="136"/>
      <c r="E27" s="136"/>
      <c r="F27" s="137"/>
      <c r="G27" s="260">
        <v>54.4</v>
      </c>
      <c r="H27" s="260">
        <v>2.6</v>
      </c>
      <c r="I27" s="260" t="s">
        <v>1094</v>
      </c>
      <c r="J27" s="262">
        <f t="shared" si="5"/>
        <v>141.44</v>
      </c>
    </row>
    <row r="28">
      <c r="A28" s="251"/>
      <c r="B28" s="177" t="s">
        <v>1092</v>
      </c>
      <c r="C28" s="259" t="s">
        <v>1099</v>
      </c>
      <c r="D28" s="136"/>
      <c r="E28" s="136"/>
      <c r="F28" s="137"/>
      <c r="G28" s="260">
        <v>14.4</v>
      </c>
      <c r="H28" s="260">
        <v>1.8</v>
      </c>
      <c r="I28" s="260" t="s">
        <v>1094</v>
      </c>
      <c r="J28" s="262">
        <f t="shared" si="5"/>
        <v>25.92</v>
      </c>
    </row>
    <row r="29">
      <c r="A29" s="251"/>
      <c r="B29" s="177" t="s">
        <v>1100</v>
      </c>
      <c r="C29" s="259" t="s">
        <v>1076</v>
      </c>
      <c r="D29" s="136"/>
      <c r="E29" s="136"/>
      <c r="F29" s="137"/>
      <c r="G29" s="260">
        <v>12.4</v>
      </c>
      <c r="H29" s="260">
        <v>1.68</v>
      </c>
      <c r="I29" s="260" t="s">
        <v>1094</v>
      </c>
      <c r="J29" s="262">
        <f t="shared" si="5"/>
        <v>20.832</v>
      </c>
    </row>
    <row r="30">
      <c r="A30" s="251"/>
      <c r="B30" s="283" t="s">
        <v>990</v>
      </c>
      <c r="C30" s="136"/>
      <c r="D30" s="136"/>
      <c r="E30" s="136"/>
      <c r="F30" s="136"/>
      <c r="G30" s="136"/>
      <c r="H30" s="136"/>
      <c r="I30" s="137"/>
      <c r="J30" s="262">
        <f>SUM(J25:J29)</f>
        <v>606.432</v>
      </c>
    </row>
    <row r="31">
      <c r="A31" s="251"/>
      <c r="B31" s="272" t="s">
        <v>1083</v>
      </c>
      <c r="C31" s="260"/>
      <c r="D31" s="260"/>
      <c r="E31" s="260"/>
      <c r="F31" s="260"/>
      <c r="G31" s="260">
        <v>4.84</v>
      </c>
      <c r="H31" s="260">
        <v>12.56</v>
      </c>
      <c r="I31" s="260" t="s">
        <v>1110</v>
      </c>
      <c r="J31" s="262">
        <f t="shared" ref="J31:J32" si="6">G31*H31</f>
        <v>60.7904</v>
      </c>
    </row>
    <row r="32">
      <c r="A32" s="251"/>
      <c r="B32" s="285" t="s">
        <v>1086</v>
      </c>
      <c r="C32" s="249"/>
      <c r="D32" s="249"/>
      <c r="E32" s="249"/>
      <c r="F32" s="249"/>
      <c r="G32" s="249">
        <v>0.36</v>
      </c>
      <c r="H32" s="249">
        <v>117.8</v>
      </c>
      <c r="I32" s="249" t="s">
        <v>1114</v>
      </c>
      <c r="J32" s="287">
        <f t="shared" si="6"/>
        <v>42.408</v>
      </c>
    </row>
    <row r="33">
      <c r="A33" s="251"/>
      <c r="B33" s="288" t="s">
        <v>37</v>
      </c>
      <c r="C33" s="2"/>
      <c r="D33" s="2"/>
      <c r="E33" s="2"/>
      <c r="F33" s="2"/>
      <c r="G33" s="2"/>
      <c r="H33" s="2"/>
      <c r="I33" s="3"/>
      <c r="J33" s="290">
        <f>SUM(J30:J32)</f>
        <v>709.6304</v>
      </c>
    </row>
    <row r="34">
      <c r="A34" s="292"/>
      <c r="B34" s="293" t="s">
        <v>1120</v>
      </c>
      <c r="C34" s="295" t="s">
        <v>945</v>
      </c>
      <c r="D34" s="295" t="s">
        <v>778</v>
      </c>
      <c r="E34" s="295" t="s">
        <v>1109</v>
      </c>
      <c r="F34" s="295" t="s">
        <v>1121</v>
      </c>
      <c r="G34" s="295" t="s">
        <v>9</v>
      </c>
      <c r="H34" s="295" t="s">
        <v>10</v>
      </c>
      <c r="I34" s="295" t="s">
        <v>8</v>
      </c>
      <c r="J34" s="296" t="s">
        <v>11</v>
      </c>
    </row>
    <row r="35">
      <c r="A35" s="298">
        <v>2.0</v>
      </c>
      <c r="B35" s="158" t="s">
        <v>1123</v>
      </c>
      <c r="C35" s="167"/>
      <c r="D35" s="167"/>
      <c r="E35" s="167"/>
      <c r="F35" s="167"/>
      <c r="G35" s="262">
        <f>J33</f>
        <v>709.6304</v>
      </c>
      <c r="H35" s="299">
        <v>80.78</v>
      </c>
      <c r="I35" s="260" t="s">
        <v>1125</v>
      </c>
      <c r="J35" s="262">
        <f t="shared" ref="J35:J37" si="7">G35*H35</f>
        <v>57323.94371</v>
      </c>
    </row>
    <row r="36">
      <c r="A36" s="299">
        <v>3.0</v>
      </c>
      <c r="B36" s="158" t="s">
        <v>1126</v>
      </c>
      <c r="C36" s="167"/>
      <c r="D36" s="167"/>
      <c r="E36" s="167"/>
      <c r="F36" s="167"/>
      <c r="G36" s="260">
        <v>4.0</v>
      </c>
      <c r="H36" s="299">
        <v>121.67</v>
      </c>
      <c r="I36" s="260" t="s">
        <v>1125</v>
      </c>
      <c r="J36" s="262">
        <f t="shared" si="7"/>
        <v>486.68</v>
      </c>
    </row>
    <row r="37">
      <c r="A37" s="299">
        <v>4.0</v>
      </c>
      <c r="B37" s="158" t="s">
        <v>1127</v>
      </c>
      <c r="C37" s="167">
        <v>4.0</v>
      </c>
      <c r="D37" s="167">
        <v>0.75</v>
      </c>
      <c r="E37" s="167">
        <v>0.75</v>
      </c>
      <c r="F37" s="167">
        <v>1.0</v>
      </c>
      <c r="G37" s="260">
        <f t="shared" ref="G37:G39" si="8">C37*D37*E37*F37</f>
        <v>2.25</v>
      </c>
      <c r="H37" s="299">
        <v>249.03</v>
      </c>
      <c r="I37" s="167" t="s">
        <v>969</v>
      </c>
      <c r="J37" s="262">
        <f t="shared" si="7"/>
        <v>560.3175</v>
      </c>
    </row>
    <row r="38" ht="21.0" customHeight="1">
      <c r="A38" s="302">
        <v>5.0</v>
      </c>
      <c r="B38" s="303" t="s">
        <v>1129</v>
      </c>
      <c r="C38" s="167">
        <v>4.0</v>
      </c>
      <c r="D38" s="167">
        <v>0.75</v>
      </c>
      <c r="E38" s="167">
        <v>0.75</v>
      </c>
      <c r="F38" s="167">
        <v>0.4</v>
      </c>
      <c r="G38" s="260">
        <f t="shared" si="8"/>
        <v>0.9</v>
      </c>
      <c r="H38" s="260"/>
      <c r="I38" s="167"/>
      <c r="J38" s="262"/>
    </row>
    <row r="39" ht="21.0" customHeight="1">
      <c r="A39" s="251"/>
      <c r="B39" s="251"/>
      <c r="C39" s="167">
        <v>4.0</v>
      </c>
      <c r="D39" s="167">
        <v>0.6</v>
      </c>
      <c r="E39" s="167">
        <v>0.6</v>
      </c>
      <c r="F39" s="167">
        <v>0.7</v>
      </c>
      <c r="G39" s="260">
        <f t="shared" si="8"/>
        <v>1.008</v>
      </c>
      <c r="H39" s="260"/>
      <c r="I39" s="167"/>
      <c r="J39" s="262"/>
    </row>
    <row r="40" ht="21.0" customHeight="1">
      <c r="A40" s="140"/>
      <c r="B40" s="140"/>
      <c r="C40" s="304" t="s">
        <v>37</v>
      </c>
      <c r="D40" s="136"/>
      <c r="E40" s="136"/>
      <c r="F40" s="137"/>
      <c r="G40" s="260">
        <f>SUM(G38:G39)</f>
        <v>1.908</v>
      </c>
      <c r="H40" s="299">
        <v>6393.89</v>
      </c>
      <c r="I40" s="167" t="s">
        <v>969</v>
      </c>
      <c r="J40" s="262">
        <f>G40*H40</f>
        <v>12199.54212</v>
      </c>
    </row>
    <row r="41">
      <c r="A41" s="299">
        <v>6.0</v>
      </c>
      <c r="B41" s="250" t="s">
        <v>1132</v>
      </c>
      <c r="C41" s="136"/>
      <c r="D41" s="136"/>
      <c r="E41" s="136"/>
      <c r="F41" s="136"/>
      <c r="G41" s="136"/>
      <c r="H41" s="136"/>
      <c r="I41" s="137"/>
      <c r="J41" s="308">
        <v>429.52</v>
      </c>
    </row>
    <row r="42">
      <c r="A42" s="299">
        <v>7.0</v>
      </c>
      <c r="B42" s="268" t="s">
        <v>37</v>
      </c>
      <c r="C42" s="136"/>
      <c r="D42" s="136"/>
      <c r="E42" s="136"/>
      <c r="F42" s="136"/>
      <c r="G42" s="136"/>
      <c r="H42" s="136"/>
      <c r="I42" s="137"/>
      <c r="J42" s="254">
        <f>SUM(J35:J41)</f>
        <v>71000.00333</v>
      </c>
    </row>
    <row r="43">
      <c r="A43" s="299">
        <v>8.0</v>
      </c>
      <c r="B43" s="309" t="s">
        <v>1135</v>
      </c>
      <c r="C43" s="136"/>
      <c r="D43" s="136"/>
      <c r="E43" s="136"/>
      <c r="F43" s="136"/>
      <c r="G43" s="136"/>
      <c r="H43" s="136"/>
      <c r="I43" s="136"/>
      <c r="J43" s="137"/>
    </row>
    <row r="44">
      <c r="A44" s="310" t="s">
        <v>1137</v>
      </c>
    </row>
    <row r="45">
      <c r="A45" s="312">
        <v>1.0</v>
      </c>
      <c r="B45" s="314" t="s">
        <v>999</v>
      </c>
      <c r="C45" s="136"/>
      <c r="D45" s="136"/>
      <c r="E45" s="136"/>
      <c r="F45" s="136"/>
      <c r="G45" s="136"/>
      <c r="H45" s="136"/>
      <c r="I45" s="136"/>
      <c r="J45" s="137"/>
    </row>
    <row r="46">
      <c r="A46" s="315"/>
      <c r="B46" s="316" t="s">
        <v>1001</v>
      </c>
      <c r="C46" s="136"/>
      <c r="D46" s="136"/>
      <c r="E46" s="136"/>
      <c r="F46" s="137"/>
      <c r="G46" s="317" t="s">
        <v>1003</v>
      </c>
      <c r="H46" s="317" t="s">
        <v>778</v>
      </c>
      <c r="I46" s="317" t="s">
        <v>8</v>
      </c>
      <c r="J46" s="320" t="s">
        <v>37</v>
      </c>
    </row>
    <row r="47">
      <c r="A47" s="315"/>
      <c r="B47" s="322" t="s">
        <v>1007</v>
      </c>
      <c r="C47" s="323" t="s">
        <v>1142</v>
      </c>
      <c r="D47" s="136"/>
      <c r="E47" s="136"/>
      <c r="F47" s="137"/>
      <c r="G47" s="324">
        <v>4.0</v>
      </c>
      <c r="H47" s="324">
        <v>4.6</v>
      </c>
      <c r="I47" s="324" t="s">
        <v>1014</v>
      </c>
      <c r="J47" s="325">
        <v>18.4</v>
      </c>
    </row>
    <row r="48">
      <c r="A48" s="315"/>
      <c r="B48" s="326" t="s">
        <v>1017</v>
      </c>
      <c r="C48" s="323" t="s">
        <v>1142</v>
      </c>
      <c r="D48" s="136"/>
      <c r="E48" s="136"/>
      <c r="F48" s="137"/>
      <c r="G48" s="324">
        <v>4.0</v>
      </c>
      <c r="H48" s="324">
        <v>0.9</v>
      </c>
      <c r="I48" s="324" t="s">
        <v>1014</v>
      </c>
      <c r="J48" s="325">
        <v>3.6</v>
      </c>
    </row>
    <row r="49">
      <c r="A49" s="315"/>
      <c r="B49" s="326" t="s">
        <v>1145</v>
      </c>
      <c r="C49" s="323" t="s">
        <v>1146</v>
      </c>
      <c r="D49" s="136"/>
      <c r="E49" s="136"/>
      <c r="F49" s="137"/>
      <c r="G49" s="324">
        <v>4.0</v>
      </c>
      <c r="H49" s="324">
        <v>2.2</v>
      </c>
      <c r="I49" s="324" t="s">
        <v>1014</v>
      </c>
      <c r="J49" s="325">
        <v>8.8</v>
      </c>
    </row>
    <row r="50">
      <c r="A50" s="315"/>
      <c r="B50" s="326" t="s">
        <v>1147</v>
      </c>
      <c r="C50" s="323" t="s">
        <v>1146</v>
      </c>
      <c r="D50" s="136"/>
      <c r="E50" s="136"/>
      <c r="F50" s="137"/>
      <c r="G50" s="324">
        <v>4.0</v>
      </c>
      <c r="H50" s="324">
        <v>2.0</v>
      </c>
      <c r="I50" s="324" t="s">
        <v>1014</v>
      </c>
      <c r="J50" s="325">
        <v>8.0</v>
      </c>
    </row>
    <row r="51">
      <c r="A51" s="315"/>
      <c r="B51" s="326" t="s">
        <v>1148</v>
      </c>
      <c r="C51" s="323" t="s">
        <v>1146</v>
      </c>
      <c r="D51" s="136"/>
      <c r="E51" s="136"/>
      <c r="F51" s="137"/>
      <c r="G51" s="324">
        <v>4.0</v>
      </c>
      <c r="H51" s="324">
        <v>1.8</v>
      </c>
      <c r="I51" s="324" t="s">
        <v>1014</v>
      </c>
      <c r="J51" s="325">
        <v>7.2</v>
      </c>
    </row>
    <row r="52">
      <c r="A52" s="315"/>
      <c r="B52" s="326" t="s">
        <v>1150</v>
      </c>
      <c r="C52" s="323" t="s">
        <v>1151</v>
      </c>
      <c r="D52" s="136"/>
      <c r="E52" s="136"/>
      <c r="F52" s="137"/>
      <c r="G52" s="324">
        <v>8.0</v>
      </c>
      <c r="H52" s="324">
        <v>2.6</v>
      </c>
      <c r="I52" s="324" t="s">
        <v>1014</v>
      </c>
      <c r="J52" s="325">
        <v>20.8</v>
      </c>
    </row>
    <row r="53">
      <c r="A53" s="315"/>
      <c r="B53" s="326" t="s">
        <v>1152</v>
      </c>
      <c r="C53" s="323" t="s">
        <v>1151</v>
      </c>
      <c r="D53" s="136"/>
      <c r="E53" s="136"/>
      <c r="F53" s="137"/>
      <c r="G53" s="324">
        <v>8.0</v>
      </c>
      <c r="H53" s="324">
        <v>2.4</v>
      </c>
      <c r="I53" s="324" t="s">
        <v>1014</v>
      </c>
      <c r="J53" s="325">
        <v>19.2</v>
      </c>
    </row>
    <row r="54">
      <c r="A54" s="315"/>
      <c r="B54" s="326" t="s">
        <v>1043</v>
      </c>
      <c r="C54" s="323" t="s">
        <v>1151</v>
      </c>
      <c r="D54" s="136"/>
      <c r="E54" s="136"/>
      <c r="F54" s="137"/>
      <c r="G54" s="324">
        <v>8.0</v>
      </c>
      <c r="H54" s="324">
        <v>0.5</v>
      </c>
      <c r="I54" s="324" t="s">
        <v>1014</v>
      </c>
      <c r="J54" s="325">
        <v>4.0</v>
      </c>
    </row>
    <row r="55">
      <c r="A55" s="315"/>
      <c r="B55" s="327" t="s">
        <v>1048</v>
      </c>
      <c r="C55" s="136"/>
      <c r="D55" s="136"/>
      <c r="E55" s="136"/>
      <c r="F55" s="136"/>
      <c r="G55" s="136"/>
      <c r="H55" s="136"/>
      <c r="I55" s="136"/>
      <c r="J55" s="137"/>
    </row>
    <row r="56">
      <c r="A56" s="315"/>
      <c r="B56" s="326" t="s">
        <v>1052</v>
      </c>
      <c r="C56" s="323" t="s">
        <v>1142</v>
      </c>
      <c r="D56" s="136"/>
      <c r="E56" s="136"/>
      <c r="F56" s="137"/>
      <c r="G56" s="324">
        <v>4.0</v>
      </c>
      <c r="H56" s="324">
        <v>1.8</v>
      </c>
      <c r="I56" s="324" t="s">
        <v>1014</v>
      </c>
      <c r="J56" s="325">
        <v>7.2</v>
      </c>
    </row>
    <row r="57">
      <c r="A57" s="315"/>
      <c r="B57" s="326" t="s">
        <v>1058</v>
      </c>
      <c r="C57" s="323" t="s">
        <v>1146</v>
      </c>
      <c r="D57" s="136"/>
      <c r="E57" s="136"/>
      <c r="F57" s="137"/>
      <c r="G57" s="324">
        <v>6.0</v>
      </c>
      <c r="H57" s="324">
        <v>1.8</v>
      </c>
      <c r="I57" s="324" t="s">
        <v>1014</v>
      </c>
      <c r="J57" s="325">
        <v>10.8</v>
      </c>
    </row>
    <row r="58">
      <c r="A58" s="315"/>
      <c r="B58" s="327" t="s">
        <v>1062</v>
      </c>
      <c r="C58" s="136"/>
      <c r="D58" s="136"/>
      <c r="E58" s="136"/>
      <c r="F58" s="136"/>
      <c r="G58" s="136"/>
      <c r="H58" s="136"/>
      <c r="I58" s="136"/>
      <c r="J58" s="137"/>
    </row>
    <row r="59">
      <c r="A59" s="315"/>
      <c r="B59" s="326" t="s">
        <v>1065</v>
      </c>
      <c r="C59" s="323" t="s">
        <v>1157</v>
      </c>
      <c r="D59" s="136"/>
      <c r="E59" s="136"/>
      <c r="F59" s="137"/>
      <c r="G59" s="324">
        <v>16.0</v>
      </c>
      <c r="H59" s="324">
        <v>0.9</v>
      </c>
      <c r="I59" s="324" t="s">
        <v>1014</v>
      </c>
      <c r="J59" s="325">
        <v>14.4</v>
      </c>
    </row>
    <row r="60">
      <c r="A60" s="315"/>
      <c r="B60" s="326" t="s">
        <v>1070</v>
      </c>
      <c r="C60" s="323" t="s">
        <v>1151</v>
      </c>
      <c r="D60" s="136"/>
      <c r="E60" s="136"/>
      <c r="F60" s="137"/>
      <c r="G60" s="324">
        <v>4.0</v>
      </c>
      <c r="H60" s="324">
        <v>1.8</v>
      </c>
      <c r="I60" s="324" t="s">
        <v>1014</v>
      </c>
      <c r="J60" s="325">
        <v>7.2</v>
      </c>
    </row>
    <row r="61">
      <c r="A61" s="315"/>
      <c r="B61" s="327" t="s">
        <v>1073</v>
      </c>
      <c r="C61" s="136"/>
      <c r="D61" s="136"/>
      <c r="E61" s="136"/>
      <c r="F61" s="136"/>
      <c r="G61" s="136"/>
      <c r="H61" s="136"/>
      <c r="I61" s="136"/>
      <c r="J61" s="137"/>
    </row>
    <row r="62">
      <c r="A62" s="315"/>
      <c r="B62" s="326" t="s">
        <v>1075</v>
      </c>
      <c r="C62" s="323" t="s">
        <v>1076</v>
      </c>
      <c r="D62" s="136"/>
      <c r="E62" s="136"/>
      <c r="F62" s="137"/>
      <c r="G62" s="324">
        <v>2.0</v>
      </c>
      <c r="H62" s="324">
        <v>4.7</v>
      </c>
      <c r="I62" s="324" t="s">
        <v>1014</v>
      </c>
      <c r="J62" s="325">
        <v>9.4</v>
      </c>
    </row>
    <row r="63">
      <c r="A63" s="315"/>
      <c r="B63" s="326" t="s">
        <v>1158</v>
      </c>
      <c r="C63" s="323" t="s">
        <v>1076</v>
      </c>
      <c r="D63" s="136"/>
      <c r="E63" s="136"/>
      <c r="F63" s="137"/>
      <c r="G63" s="324">
        <v>12.0</v>
      </c>
      <c r="H63" s="324">
        <v>0.3</v>
      </c>
      <c r="I63" s="324" t="s">
        <v>1014</v>
      </c>
      <c r="J63" s="325">
        <v>3.6</v>
      </c>
    </row>
    <row r="64">
      <c r="A64" s="315"/>
      <c r="B64" s="326" t="s">
        <v>1083</v>
      </c>
      <c r="C64" s="328"/>
      <c r="D64" s="136"/>
      <c r="E64" s="136"/>
      <c r="F64" s="137"/>
      <c r="G64" s="324">
        <v>1.8</v>
      </c>
      <c r="H64" s="324">
        <v>1.8</v>
      </c>
      <c r="I64" s="324" t="s">
        <v>1159</v>
      </c>
      <c r="J64" s="325">
        <v>3.24</v>
      </c>
    </row>
    <row r="65">
      <c r="A65" s="315"/>
      <c r="B65" s="326" t="s">
        <v>1160</v>
      </c>
      <c r="C65" s="323">
        <v>4.0</v>
      </c>
      <c r="D65" s="136"/>
      <c r="E65" s="136"/>
      <c r="F65" s="137"/>
      <c r="G65" s="324">
        <v>0.3</v>
      </c>
      <c r="H65" s="324">
        <v>0.3</v>
      </c>
      <c r="I65" s="324" t="s">
        <v>1159</v>
      </c>
      <c r="J65" s="325">
        <v>0.36</v>
      </c>
    </row>
    <row r="66">
      <c r="A66" s="315"/>
      <c r="B66" s="330"/>
      <c r="C66" s="136"/>
      <c r="D66" s="136"/>
      <c r="E66" s="136"/>
      <c r="F66" s="136"/>
      <c r="G66" s="136"/>
      <c r="H66" s="136"/>
      <c r="I66" s="136"/>
      <c r="J66" s="137"/>
    </row>
    <row r="67">
      <c r="A67" s="315"/>
      <c r="B67" s="327" t="s">
        <v>1089</v>
      </c>
      <c r="C67" s="136"/>
      <c r="D67" s="136"/>
      <c r="E67" s="136"/>
      <c r="F67" s="137"/>
      <c r="G67" s="317" t="s">
        <v>778</v>
      </c>
      <c r="H67" s="317" t="s">
        <v>1090</v>
      </c>
      <c r="I67" s="317" t="s">
        <v>8</v>
      </c>
      <c r="J67" s="320" t="s">
        <v>1091</v>
      </c>
    </row>
    <row r="68">
      <c r="A68" s="315"/>
      <c r="B68" s="326" t="s">
        <v>1092</v>
      </c>
      <c r="C68" s="323" t="s">
        <v>1142</v>
      </c>
      <c r="D68" s="136"/>
      <c r="E68" s="136"/>
      <c r="F68" s="137"/>
      <c r="G68" s="324">
        <v>29.2</v>
      </c>
      <c r="H68" s="324">
        <v>5.8</v>
      </c>
      <c r="I68" s="324" t="s">
        <v>1094</v>
      </c>
      <c r="J68" s="325">
        <v>169.36</v>
      </c>
    </row>
    <row r="69">
      <c r="A69" s="315"/>
      <c r="B69" s="326" t="s">
        <v>1092</v>
      </c>
      <c r="C69" s="323" t="s">
        <v>1146</v>
      </c>
      <c r="D69" s="136"/>
      <c r="E69" s="136"/>
      <c r="F69" s="137"/>
      <c r="G69" s="324">
        <v>34.8</v>
      </c>
      <c r="H69" s="324">
        <v>4.5</v>
      </c>
      <c r="I69" s="324" t="s">
        <v>1094</v>
      </c>
      <c r="J69" s="325">
        <v>156.6</v>
      </c>
    </row>
    <row r="70">
      <c r="A70" s="315"/>
      <c r="B70" s="326" t="s">
        <v>1092</v>
      </c>
      <c r="C70" s="323" t="s">
        <v>1151</v>
      </c>
      <c r="D70" s="136"/>
      <c r="E70" s="136"/>
      <c r="F70" s="137"/>
      <c r="G70" s="324">
        <v>51.2</v>
      </c>
      <c r="H70" s="324">
        <v>2.6</v>
      </c>
      <c r="I70" s="324" t="s">
        <v>1094</v>
      </c>
      <c r="J70" s="325">
        <v>133.12</v>
      </c>
    </row>
    <row r="71">
      <c r="A71" s="315"/>
      <c r="B71" s="326" t="s">
        <v>1092</v>
      </c>
      <c r="C71" s="323" t="s">
        <v>1157</v>
      </c>
      <c r="D71" s="136"/>
      <c r="E71" s="136"/>
      <c r="F71" s="137"/>
      <c r="G71" s="324">
        <v>14.4</v>
      </c>
      <c r="H71" s="324">
        <v>1.8</v>
      </c>
      <c r="I71" s="324" t="s">
        <v>1094</v>
      </c>
      <c r="J71" s="325">
        <v>25.92</v>
      </c>
    </row>
    <row r="72">
      <c r="A72" s="315"/>
      <c r="B72" s="326" t="s">
        <v>1100</v>
      </c>
      <c r="C72" s="323" t="s">
        <v>1076</v>
      </c>
      <c r="D72" s="136"/>
      <c r="E72" s="136"/>
      <c r="F72" s="137"/>
      <c r="G72" s="324">
        <v>13.0</v>
      </c>
      <c r="H72" s="324">
        <v>1.68</v>
      </c>
      <c r="I72" s="324" t="s">
        <v>1094</v>
      </c>
      <c r="J72" s="325">
        <v>21.84</v>
      </c>
    </row>
    <row r="73">
      <c r="A73" s="315"/>
      <c r="B73" s="335" t="s">
        <v>990</v>
      </c>
      <c r="C73" s="136"/>
      <c r="D73" s="136"/>
      <c r="E73" s="136"/>
      <c r="F73" s="136"/>
      <c r="G73" s="136"/>
      <c r="H73" s="136"/>
      <c r="I73" s="137"/>
      <c r="J73" s="325">
        <v>506.84</v>
      </c>
    </row>
    <row r="74">
      <c r="A74" s="315"/>
      <c r="B74" s="326" t="s">
        <v>1083</v>
      </c>
      <c r="C74" s="336"/>
      <c r="D74" s="336"/>
      <c r="E74" s="336"/>
      <c r="F74" s="336"/>
      <c r="G74" s="324">
        <v>3.24</v>
      </c>
      <c r="H74" s="324">
        <v>12.56</v>
      </c>
      <c r="I74" s="324" t="s">
        <v>1167</v>
      </c>
      <c r="J74" s="325">
        <v>40.69</v>
      </c>
    </row>
    <row r="75">
      <c r="A75" s="315"/>
      <c r="B75" s="326" t="s">
        <v>1160</v>
      </c>
      <c r="C75" s="336"/>
      <c r="D75" s="336"/>
      <c r="E75" s="336"/>
      <c r="F75" s="336"/>
      <c r="G75" s="324">
        <v>0.36</v>
      </c>
      <c r="H75" s="324">
        <v>117.8</v>
      </c>
      <c r="I75" s="324" t="s">
        <v>1167</v>
      </c>
      <c r="J75" s="325">
        <v>42.41</v>
      </c>
    </row>
    <row r="76">
      <c r="A76" s="338"/>
      <c r="B76" s="340" t="s">
        <v>37</v>
      </c>
      <c r="C76" s="2"/>
      <c r="D76" s="2"/>
      <c r="E76" s="2"/>
      <c r="F76" s="2"/>
      <c r="G76" s="2"/>
      <c r="H76" s="2"/>
      <c r="I76" s="3"/>
      <c r="J76" s="342">
        <v>589.94</v>
      </c>
    </row>
    <row r="77">
      <c r="A77" s="343"/>
      <c r="B77" s="317" t="s">
        <v>1120</v>
      </c>
      <c r="C77" s="317" t="s">
        <v>945</v>
      </c>
      <c r="D77" s="317" t="s">
        <v>778</v>
      </c>
      <c r="E77" s="317" t="s">
        <v>1109</v>
      </c>
      <c r="F77" s="317" t="s">
        <v>1121</v>
      </c>
      <c r="G77" s="317" t="s">
        <v>9</v>
      </c>
      <c r="H77" s="317" t="s">
        <v>10</v>
      </c>
      <c r="I77" s="317" t="s">
        <v>8</v>
      </c>
      <c r="J77" s="320" t="s">
        <v>11</v>
      </c>
    </row>
    <row r="78">
      <c r="A78" s="324">
        <v>2.0</v>
      </c>
      <c r="B78" s="345" t="s">
        <v>1171</v>
      </c>
      <c r="C78" s="347"/>
      <c r="D78" s="347"/>
      <c r="E78" s="347"/>
      <c r="F78" s="347"/>
      <c r="G78" s="324">
        <v>589.94</v>
      </c>
      <c r="H78" s="324">
        <v>80.78</v>
      </c>
      <c r="I78" s="324" t="s">
        <v>1125</v>
      </c>
      <c r="J78" s="325">
        <v>47655.55</v>
      </c>
    </row>
    <row r="79">
      <c r="A79" s="324">
        <v>3.0</v>
      </c>
      <c r="B79" s="345" t="s">
        <v>1126</v>
      </c>
      <c r="C79" s="347"/>
      <c r="D79" s="347"/>
      <c r="E79" s="347"/>
      <c r="F79" s="347"/>
      <c r="G79" s="324">
        <v>3.0</v>
      </c>
      <c r="H79" s="324">
        <v>121.67</v>
      </c>
      <c r="I79" s="324" t="s">
        <v>1125</v>
      </c>
      <c r="J79" s="325">
        <v>365.01</v>
      </c>
    </row>
    <row r="80">
      <c r="A80" s="324">
        <v>4.0</v>
      </c>
      <c r="B80" s="345" t="s">
        <v>1127</v>
      </c>
      <c r="C80" s="350">
        <v>4.0</v>
      </c>
      <c r="D80" s="350">
        <v>0.75</v>
      </c>
      <c r="E80" s="350">
        <v>0.75</v>
      </c>
      <c r="F80" s="350">
        <v>1.0</v>
      </c>
      <c r="G80" s="324">
        <v>2.25</v>
      </c>
      <c r="H80" s="324">
        <v>249.03</v>
      </c>
      <c r="I80" s="350" t="s">
        <v>969</v>
      </c>
      <c r="J80" s="325">
        <v>560.32</v>
      </c>
    </row>
    <row r="81" ht="21.0" customHeight="1">
      <c r="A81" s="352">
        <v>5.0</v>
      </c>
      <c r="B81" s="353" t="s">
        <v>1129</v>
      </c>
      <c r="C81" s="350">
        <v>4.0</v>
      </c>
      <c r="D81" s="350">
        <v>0.75</v>
      </c>
      <c r="E81" s="350">
        <v>0.75</v>
      </c>
      <c r="F81" s="350">
        <v>0.4</v>
      </c>
      <c r="G81" s="324">
        <v>0.9</v>
      </c>
      <c r="H81" s="336"/>
      <c r="I81" s="347"/>
      <c r="J81" s="354"/>
    </row>
    <row r="82" ht="21.0" customHeight="1">
      <c r="A82" s="251"/>
      <c r="B82" s="251"/>
      <c r="C82" s="350">
        <v>4.0</v>
      </c>
      <c r="D82" s="350">
        <v>0.6</v>
      </c>
      <c r="E82" s="350">
        <v>0.6</v>
      </c>
      <c r="F82" s="350">
        <v>0.7</v>
      </c>
      <c r="G82" s="324">
        <v>1.008</v>
      </c>
      <c r="H82" s="336"/>
      <c r="I82" s="347"/>
      <c r="J82" s="354"/>
    </row>
    <row r="83" ht="21.0" customHeight="1">
      <c r="A83" s="140"/>
      <c r="B83" s="140"/>
      <c r="C83" s="355" t="s">
        <v>37</v>
      </c>
      <c r="D83" s="136"/>
      <c r="E83" s="136"/>
      <c r="F83" s="137"/>
      <c r="G83" s="324">
        <v>1.908</v>
      </c>
      <c r="H83" s="324">
        <v>6393.89</v>
      </c>
      <c r="I83" s="350" t="s">
        <v>969</v>
      </c>
      <c r="J83" s="325">
        <v>12199.54</v>
      </c>
    </row>
    <row r="84">
      <c r="A84" s="324">
        <v>6.0</v>
      </c>
      <c r="B84" s="356" t="s">
        <v>1132</v>
      </c>
      <c r="C84" s="136"/>
      <c r="D84" s="136"/>
      <c r="E84" s="136"/>
      <c r="F84" s="136"/>
      <c r="G84" s="136"/>
      <c r="H84" s="136"/>
      <c r="I84" s="137"/>
      <c r="J84" s="325">
        <v>1219.58</v>
      </c>
    </row>
    <row r="85">
      <c r="A85" s="324">
        <v>7.0</v>
      </c>
      <c r="B85" s="358" t="s">
        <v>37</v>
      </c>
      <c r="C85" s="136"/>
      <c r="D85" s="136"/>
      <c r="E85" s="136"/>
      <c r="F85" s="136"/>
      <c r="G85" s="136"/>
      <c r="H85" s="136"/>
      <c r="I85" s="137"/>
      <c r="J85" s="320">
        <v>62000.0</v>
      </c>
    </row>
    <row r="86">
      <c r="A86" s="360">
        <v>8.0</v>
      </c>
      <c r="B86" s="361" t="s">
        <v>1182</v>
      </c>
      <c r="C86" s="136"/>
      <c r="D86" s="136"/>
      <c r="E86" s="136"/>
      <c r="F86" s="136"/>
      <c r="G86" s="136"/>
      <c r="H86" s="136"/>
      <c r="I86" s="136"/>
      <c r="J86" s="137"/>
    </row>
    <row r="87">
      <c r="A87" s="248" t="s">
        <v>1184</v>
      </c>
    </row>
    <row r="88">
      <c r="A88" s="364">
        <v>1.0</v>
      </c>
      <c r="B88" s="250" t="s">
        <v>999</v>
      </c>
      <c r="C88" s="136"/>
      <c r="D88" s="136"/>
      <c r="E88" s="136"/>
      <c r="F88" s="136"/>
      <c r="G88" s="136"/>
      <c r="H88" s="136"/>
      <c r="I88" s="136"/>
      <c r="J88" s="137"/>
    </row>
    <row r="89">
      <c r="A89" s="315"/>
      <c r="B89" s="252" t="s">
        <v>1001</v>
      </c>
      <c r="C89" s="136"/>
      <c r="D89" s="136"/>
      <c r="E89" s="136"/>
      <c r="F89" s="137"/>
      <c r="G89" s="253" t="s">
        <v>1003</v>
      </c>
      <c r="H89" s="253" t="s">
        <v>778</v>
      </c>
      <c r="I89" s="253" t="s">
        <v>8</v>
      </c>
      <c r="J89" s="254" t="s">
        <v>37</v>
      </c>
    </row>
    <row r="90">
      <c r="A90" s="315"/>
      <c r="B90" s="365" t="s">
        <v>1007</v>
      </c>
      <c r="C90" s="259" t="s">
        <v>1189</v>
      </c>
      <c r="D90" s="136"/>
      <c r="E90" s="136"/>
      <c r="F90" s="137"/>
      <c r="G90" s="260">
        <v>4.0</v>
      </c>
      <c r="H90" s="260">
        <v>7.0</v>
      </c>
      <c r="I90" s="260" t="s">
        <v>1014</v>
      </c>
      <c r="J90" s="262">
        <f t="shared" ref="J90:J99" si="9">G90*H90</f>
        <v>28</v>
      </c>
    </row>
    <row r="91">
      <c r="A91" s="315"/>
      <c r="B91" s="177" t="s">
        <v>1017</v>
      </c>
      <c r="C91" s="259" t="s">
        <v>1192</v>
      </c>
      <c r="D91" s="136"/>
      <c r="E91" s="136"/>
      <c r="F91" s="137"/>
      <c r="G91" s="260">
        <v>4.0</v>
      </c>
      <c r="H91" s="260">
        <v>0.9</v>
      </c>
      <c r="I91" s="260" t="s">
        <v>1014</v>
      </c>
      <c r="J91" s="262">
        <f t="shared" si="9"/>
        <v>3.6</v>
      </c>
    </row>
    <row r="92">
      <c r="A92" s="315"/>
      <c r="B92" s="177" t="s">
        <v>1194</v>
      </c>
      <c r="C92" s="259" t="s">
        <v>1195</v>
      </c>
      <c r="D92" s="136"/>
      <c r="E92" s="136"/>
      <c r="F92" s="137"/>
      <c r="G92" s="260">
        <v>4.0</v>
      </c>
      <c r="H92" s="260">
        <v>2.8</v>
      </c>
      <c r="I92" s="260" t="s">
        <v>1014</v>
      </c>
      <c r="J92" s="262">
        <f t="shared" si="9"/>
        <v>11.2</v>
      </c>
    </row>
    <row r="93">
      <c r="A93" s="315"/>
      <c r="B93" s="177" t="s">
        <v>1196</v>
      </c>
      <c r="C93" s="259" t="s">
        <v>1199</v>
      </c>
      <c r="D93" s="136"/>
      <c r="E93" s="136"/>
      <c r="F93" s="137"/>
      <c r="G93" s="260">
        <v>4.0</v>
      </c>
      <c r="H93" s="260">
        <v>2.6</v>
      </c>
      <c r="I93" s="260" t="s">
        <v>1014</v>
      </c>
      <c r="J93" s="262">
        <f t="shared" si="9"/>
        <v>10.4</v>
      </c>
    </row>
    <row r="94">
      <c r="A94" s="315"/>
      <c r="B94" s="177" t="s">
        <v>1200</v>
      </c>
      <c r="C94" s="259" t="s">
        <v>1203</v>
      </c>
      <c r="D94" s="136"/>
      <c r="E94" s="136"/>
      <c r="F94" s="137"/>
      <c r="G94" s="260">
        <v>4.0</v>
      </c>
      <c r="H94" s="260">
        <v>2.5</v>
      </c>
      <c r="I94" s="260" t="s">
        <v>1014</v>
      </c>
      <c r="J94" s="262">
        <f t="shared" si="9"/>
        <v>10</v>
      </c>
    </row>
    <row r="95">
      <c r="A95" s="315"/>
      <c r="B95" s="177" t="s">
        <v>1205</v>
      </c>
      <c r="C95" s="259" t="s">
        <v>1209</v>
      </c>
      <c r="D95" s="136"/>
      <c r="E95" s="136"/>
      <c r="F95" s="137"/>
      <c r="G95" s="260">
        <v>4.0</v>
      </c>
      <c r="H95" s="260">
        <v>2.3</v>
      </c>
      <c r="I95" s="260" t="s">
        <v>1014</v>
      </c>
      <c r="J95" s="262">
        <f t="shared" si="9"/>
        <v>9.2</v>
      </c>
    </row>
    <row r="96">
      <c r="A96" s="315"/>
      <c r="B96" s="177" t="s">
        <v>1210</v>
      </c>
      <c r="C96" s="259" t="s">
        <v>1212</v>
      </c>
      <c r="D96" s="136"/>
      <c r="E96" s="136"/>
      <c r="F96" s="137"/>
      <c r="G96" s="260">
        <v>8.0</v>
      </c>
      <c r="H96" s="260">
        <v>3.1</v>
      </c>
      <c r="I96" s="260" t="s">
        <v>1014</v>
      </c>
      <c r="J96" s="262">
        <f t="shared" si="9"/>
        <v>24.8</v>
      </c>
    </row>
    <row r="97">
      <c r="A97" s="315"/>
      <c r="B97" s="177" t="s">
        <v>1214</v>
      </c>
      <c r="C97" s="259" t="s">
        <v>1216</v>
      </c>
      <c r="D97" s="136"/>
      <c r="E97" s="136"/>
      <c r="F97" s="137"/>
      <c r="G97" s="260">
        <v>8.0</v>
      </c>
      <c r="H97" s="260">
        <v>2.9</v>
      </c>
      <c r="I97" s="260" t="s">
        <v>1014</v>
      </c>
      <c r="J97" s="262">
        <f t="shared" si="9"/>
        <v>23.2</v>
      </c>
    </row>
    <row r="98">
      <c r="A98" s="315"/>
      <c r="B98" s="177" t="s">
        <v>1217</v>
      </c>
      <c r="C98" s="259" t="s">
        <v>1218</v>
      </c>
      <c r="D98" s="136"/>
      <c r="E98" s="136"/>
      <c r="F98" s="137"/>
      <c r="G98" s="260">
        <v>8.0</v>
      </c>
      <c r="H98" s="260">
        <v>2.8</v>
      </c>
      <c r="I98" s="260" t="s">
        <v>1014</v>
      </c>
      <c r="J98" s="262">
        <f t="shared" si="9"/>
        <v>22.4</v>
      </c>
    </row>
    <row r="99">
      <c r="A99" s="315"/>
      <c r="B99" s="177" t="s">
        <v>1043</v>
      </c>
      <c r="C99" s="259" t="s">
        <v>1221</v>
      </c>
      <c r="D99" s="136"/>
      <c r="E99" s="136"/>
      <c r="F99" s="137"/>
      <c r="G99" s="260">
        <v>8.0</v>
      </c>
      <c r="H99" s="260">
        <v>1.0</v>
      </c>
      <c r="I99" s="260" t="s">
        <v>1014</v>
      </c>
      <c r="J99" s="262">
        <f t="shared" si="9"/>
        <v>8</v>
      </c>
    </row>
    <row r="100">
      <c r="A100" s="315"/>
      <c r="B100" s="268" t="s">
        <v>1048</v>
      </c>
      <c r="C100" s="136"/>
      <c r="D100" s="136"/>
      <c r="E100" s="136"/>
      <c r="F100" s="136"/>
      <c r="G100" s="136"/>
      <c r="H100" s="136"/>
      <c r="I100" s="136"/>
      <c r="J100" s="137"/>
    </row>
    <row r="101">
      <c r="A101" s="315"/>
      <c r="B101" s="177" t="s">
        <v>1052</v>
      </c>
      <c r="C101" s="259" t="s">
        <v>1223</v>
      </c>
      <c r="D101" s="136"/>
      <c r="E101" s="136"/>
      <c r="F101" s="137"/>
      <c r="G101" s="260">
        <v>4.0</v>
      </c>
      <c r="H101" s="260">
        <v>2.2</v>
      </c>
      <c r="I101" s="260" t="s">
        <v>1014</v>
      </c>
      <c r="J101" s="262">
        <f t="shared" ref="J101:J102" si="10">G101*H101</f>
        <v>8.8</v>
      </c>
    </row>
    <row r="102">
      <c r="A102" s="315"/>
      <c r="B102" s="177" t="s">
        <v>1058</v>
      </c>
      <c r="C102" s="259" t="s">
        <v>1226</v>
      </c>
      <c r="D102" s="136"/>
      <c r="E102" s="136"/>
      <c r="F102" s="137"/>
      <c r="G102" s="260">
        <v>6.0</v>
      </c>
      <c r="H102" s="260">
        <v>2.2</v>
      </c>
      <c r="I102" s="260" t="s">
        <v>1014</v>
      </c>
      <c r="J102" s="262">
        <f t="shared" si="10"/>
        <v>13.2</v>
      </c>
    </row>
    <row r="103">
      <c r="A103" s="315"/>
      <c r="B103" s="268" t="s">
        <v>1062</v>
      </c>
      <c r="C103" s="136"/>
      <c r="D103" s="136"/>
      <c r="E103" s="136"/>
      <c r="F103" s="136"/>
      <c r="G103" s="136"/>
      <c r="H103" s="136"/>
      <c r="I103" s="136"/>
      <c r="J103" s="137"/>
    </row>
    <row r="104">
      <c r="A104" s="315"/>
      <c r="B104" s="177" t="s">
        <v>1065</v>
      </c>
      <c r="C104" s="259" t="s">
        <v>1227</v>
      </c>
      <c r="D104" s="136"/>
      <c r="E104" s="136"/>
      <c r="F104" s="137"/>
      <c r="G104" s="260">
        <v>16.0</v>
      </c>
      <c r="H104" s="260">
        <v>0.9</v>
      </c>
      <c r="I104" s="260" t="s">
        <v>1014</v>
      </c>
      <c r="J104" s="262">
        <f t="shared" ref="J104:J105" si="11">G104*H104</f>
        <v>14.4</v>
      </c>
    </row>
    <row r="105">
      <c r="A105" s="315"/>
      <c r="B105" s="177" t="s">
        <v>1070</v>
      </c>
      <c r="C105" s="259" t="s">
        <v>1230</v>
      </c>
      <c r="D105" s="136"/>
      <c r="E105" s="136"/>
      <c r="F105" s="137"/>
      <c r="G105" s="260">
        <v>4.0</v>
      </c>
      <c r="H105" s="260">
        <v>2.2</v>
      </c>
      <c r="I105" s="260" t="s">
        <v>1014</v>
      </c>
      <c r="J105" s="262">
        <f t="shared" si="11"/>
        <v>8.8</v>
      </c>
    </row>
    <row r="106">
      <c r="A106" s="315"/>
      <c r="B106" s="268" t="s">
        <v>1073</v>
      </c>
      <c r="C106" s="136"/>
      <c r="D106" s="136"/>
      <c r="E106" s="136"/>
      <c r="F106" s="136"/>
      <c r="G106" s="136"/>
      <c r="H106" s="136"/>
      <c r="I106" s="136"/>
      <c r="J106" s="137"/>
    </row>
    <row r="107">
      <c r="A107" s="315"/>
      <c r="B107" s="177" t="s">
        <v>1075</v>
      </c>
      <c r="C107" s="259" t="s">
        <v>1076</v>
      </c>
      <c r="D107" s="136"/>
      <c r="E107" s="136"/>
      <c r="F107" s="137"/>
      <c r="G107" s="260">
        <v>2.0</v>
      </c>
      <c r="H107" s="260">
        <v>6.4</v>
      </c>
      <c r="I107" s="260" t="s">
        <v>1014</v>
      </c>
      <c r="J107" s="262">
        <f t="shared" ref="J107:J109" si="12">G107*H107</f>
        <v>12.8</v>
      </c>
    </row>
    <row r="108">
      <c r="A108" s="315"/>
      <c r="B108" s="177" t="s">
        <v>1080</v>
      </c>
      <c r="C108" s="259" t="s">
        <v>1076</v>
      </c>
      <c r="D108" s="136"/>
      <c r="E108" s="136"/>
      <c r="F108" s="137"/>
      <c r="G108" s="260">
        <v>18.0</v>
      </c>
      <c r="H108" s="260">
        <v>0.3</v>
      </c>
      <c r="I108" s="260" t="s">
        <v>1014</v>
      </c>
      <c r="J108" s="262">
        <f t="shared" si="12"/>
        <v>5.4</v>
      </c>
    </row>
    <row r="109">
      <c r="A109" s="315"/>
      <c r="B109" s="272" t="s">
        <v>1083</v>
      </c>
      <c r="C109" s="259"/>
      <c r="D109" s="136"/>
      <c r="E109" s="136"/>
      <c r="F109" s="137"/>
      <c r="G109" s="260">
        <v>2.2</v>
      </c>
      <c r="H109" s="260">
        <v>2.2</v>
      </c>
      <c r="I109" s="260" t="s">
        <v>1234</v>
      </c>
      <c r="J109" s="262">
        <f t="shared" si="12"/>
        <v>4.84</v>
      </c>
    </row>
    <row r="110">
      <c r="A110" s="315"/>
      <c r="B110" s="177" t="s">
        <v>1086</v>
      </c>
      <c r="C110" s="259">
        <v>4.0</v>
      </c>
      <c r="D110" s="136"/>
      <c r="E110" s="136"/>
      <c r="F110" s="137"/>
      <c r="G110" s="260">
        <v>0.3</v>
      </c>
      <c r="H110" s="260">
        <v>0.3</v>
      </c>
      <c r="I110" s="260" t="s">
        <v>1239</v>
      </c>
      <c r="J110" s="262">
        <f>G110*H110*C110</f>
        <v>0.36</v>
      </c>
    </row>
    <row r="111">
      <c r="A111" s="315"/>
      <c r="B111" s="259"/>
      <c r="C111" s="136"/>
      <c r="D111" s="136"/>
      <c r="E111" s="136"/>
      <c r="F111" s="136"/>
      <c r="G111" s="136"/>
      <c r="H111" s="136"/>
      <c r="I111" s="136"/>
      <c r="J111" s="137"/>
    </row>
    <row r="112">
      <c r="A112" s="315"/>
      <c r="B112" s="268" t="s">
        <v>1089</v>
      </c>
      <c r="C112" s="136"/>
      <c r="D112" s="136"/>
      <c r="E112" s="136"/>
      <c r="F112" s="137"/>
      <c r="G112" s="253" t="s">
        <v>778</v>
      </c>
      <c r="H112" s="253" t="s">
        <v>1090</v>
      </c>
      <c r="I112" s="253" t="s">
        <v>8</v>
      </c>
      <c r="J112" s="254" t="s">
        <v>1091</v>
      </c>
    </row>
    <row r="113">
      <c r="A113" s="315"/>
      <c r="B113" s="177" t="s">
        <v>1092</v>
      </c>
      <c r="C113" s="259" t="s">
        <v>1243</v>
      </c>
      <c r="D113" s="136"/>
      <c r="E113" s="136"/>
      <c r="F113" s="137"/>
      <c r="G113" s="260">
        <v>40.4</v>
      </c>
      <c r="H113" s="260">
        <v>6.8</v>
      </c>
      <c r="I113" s="260" t="s">
        <v>1094</v>
      </c>
      <c r="J113" s="262">
        <f t="shared" ref="J113:J117" si="13">G113*H113</f>
        <v>274.72</v>
      </c>
    </row>
    <row r="114">
      <c r="A114" s="315"/>
      <c r="B114" s="177" t="s">
        <v>1092</v>
      </c>
      <c r="C114" s="259" t="s">
        <v>1247</v>
      </c>
      <c r="D114" s="136"/>
      <c r="E114" s="136"/>
      <c r="F114" s="137"/>
      <c r="G114" s="260">
        <v>62.0</v>
      </c>
      <c r="H114" s="260">
        <v>4.5</v>
      </c>
      <c r="I114" s="260" t="s">
        <v>1094</v>
      </c>
      <c r="J114" s="262">
        <f t="shared" si="13"/>
        <v>279</v>
      </c>
    </row>
    <row r="115">
      <c r="A115" s="315"/>
      <c r="B115" s="177" t="s">
        <v>1092</v>
      </c>
      <c r="C115" s="259" t="s">
        <v>1249</v>
      </c>
      <c r="D115" s="136"/>
      <c r="E115" s="136"/>
      <c r="F115" s="137"/>
      <c r="G115" s="260">
        <v>79.2</v>
      </c>
      <c r="H115" s="260">
        <v>2.6</v>
      </c>
      <c r="I115" s="260" t="s">
        <v>1094</v>
      </c>
      <c r="J115" s="262">
        <f t="shared" si="13"/>
        <v>205.92</v>
      </c>
    </row>
    <row r="116">
      <c r="A116" s="315"/>
      <c r="B116" s="177" t="s">
        <v>1092</v>
      </c>
      <c r="C116" s="259" t="s">
        <v>1252</v>
      </c>
      <c r="D116" s="136"/>
      <c r="E116" s="136"/>
      <c r="F116" s="137"/>
      <c r="G116" s="260">
        <v>14.4</v>
      </c>
      <c r="H116" s="260">
        <v>1.8</v>
      </c>
      <c r="I116" s="260" t="s">
        <v>1094</v>
      </c>
      <c r="J116" s="262">
        <f t="shared" si="13"/>
        <v>25.92</v>
      </c>
    </row>
    <row r="117">
      <c r="A117" s="315"/>
      <c r="B117" s="177" t="s">
        <v>1100</v>
      </c>
      <c r="C117" s="259" t="s">
        <v>1076</v>
      </c>
      <c r="D117" s="136"/>
      <c r="E117" s="136"/>
      <c r="F117" s="137"/>
      <c r="G117" s="260">
        <v>18.2</v>
      </c>
      <c r="H117" s="260">
        <v>1.68</v>
      </c>
      <c r="I117" s="260" t="s">
        <v>1094</v>
      </c>
      <c r="J117" s="262">
        <f t="shared" si="13"/>
        <v>30.576</v>
      </c>
    </row>
    <row r="118">
      <c r="A118" s="315"/>
      <c r="B118" s="283" t="s">
        <v>990</v>
      </c>
      <c r="C118" s="136"/>
      <c r="D118" s="136"/>
      <c r="E118" s="136"/>
      <c r="F118" s="136"/>
      <c r="G118" s="136"/>
      <c r="H118" s="136"/>
      <c r="I118" s="137"/>
      <c r="J118" s="262">
        <f>SUM(J113:J117)</f>
        <v>816.136</v>
      </c>
    </row>
    <row r="119">
      <c r="A119" s="315"/>
      <c r="B119" s="272" t="s">
        <v>1083</v>
      </c>
      <c r="C119" s="260"/>
      <c r="D119" s="260"/>
      <c r="E119" s="260"/>
      <c r="F119" s="260"/>
      <c r="G119" s="260">
        <v>4.84</v>
      </c>
      <c r="H119" s="260">
        <v>12.56</v>
      </c>
      <c r="I119" s="260" t="s">
        <v>1255</v>
      </c>
      <c r="J119" s="262">
        <f t="shared" ref="J119:J120" si="14">G119*H119</f>
        <v>60.7904</v>
      </c>
    </row>
    <row r="120">
      <c r="A120" s="315"/>
      <c r="B120" s="177" t="s">
        <v>1086</v>
      </c>
      <c r="C120" s="260"/>
      <c r="D120" s="260"/>
      <c r="E120" s="260"/>
      <c r="F120" s="260"/>
      <c r="G120" s="260">
        <v>0.36</v>
      </c>
      <c r="H120" s="260">
        <v>117.8</v>
      </c>
      <c r="I120" s="260" t="s">
        <v>1258</v>
      </c>
      <c r="J120" s="262">
        <f t="shared" si="14"/>
        <v>42.408</v>
      </c>
    </row>
    <row r="121">
      <c r="A121" s="338"/>
      <c r="B121" s="376" t="s">
        <v>37</v>
      </c>
      <c r="C121" s="2"/>
      <c r="D121" s="2"/>
      <c r="E121" s="2"/>
      <c r="F121" s="2"/>
      <c r="G121" s="2"/>
      <c r="H121" s="2"/>
      <c r="I121" s="3"/>
      <c r="J121" s="290">
        <f>SUM(J118:J120)</f>
        <v>919.3344</v>
      </c>
    </row>
    <row r="122">
      <c r="A122" s="253"/>
      <c r="B122" s="253" t="s">
        <v>1120</v>
      </c>
      <c r="C122" s="253" t="s">
        <v>945</v>
      </c>
      <c r="D122" s="253" t="s">
        <v>778</v>
      </c>
      <c r="E122" s="253" t="s">
        <v>1109</v>
      </c>
      <c r="F122" s="253" t="s">
        <v>1121</v>
      </c>
      <c r="G122" s="253" t="s">
        <v>9</v>
      </c>
      <c r="H122" s="253" t="s">
        <v>10</v>
      </c>
      <c r="I122" s="253" t="s">
        <v>8</v>
      </c>
      <c r="J122" s="254" t="s">
        <v>11</v>
      </c>
    </row>
    <row r="123">
      <c r="A123" s="260">
        <v>2.0</v>
      </c>
      <c r="B123" s="158" t="s">
        <v>1171</v>
      </c>
      <c r="C123" s="167"/>
      <c r="D123" s="167"/>
      <c r="E123" s="167"/>
      <c r="F123" s="167"/>
      <c r="G123" s="262">
        <f>J121</f>
        <v>919.3344</v>
      </c>
      <c r="H123" s="299">
        <v>80.78</v>
      </c>
      <c r="I123" s="260" t="s">
        <v>1125</v>
      </c>
      <c r="J123" s="262">
        <f t="shared" ref="J123:J125" si="15">G123*H123</f>
        <v>74263.83283</v>
      </c>
    </row>
    <row r="124">
      <c r="A124" s="299">
        <v>3.0</v>
      </c>
      <c r="B124" s="158" t="s">
        <v>1126</v>
      </c>
      <c r="C124" s="167"/>
      <c r="D124" s="167"/>
      <c r="E124" s="167"/>
      <c r="F124" s="167"/>
      <c r="G124" s="260">
        <v>5.0</v>
      </c>
      <c r="H124" s="299">
        <v>121.67</v>
      </c>
      <c r="I124" s="260" t="s">
        <v>1125</v>
      </c>
      <c r="J124" s="262">
        <f t="shared" si="15"/>
        <v>608.35</v>
      </c>
    </row>
    <row r="125">
      <c r="A125" s="299">
        <v>4.0</v>
      </c>
      <c r="B125" s="158" t="s">
        <v>1127</v>
      </c>
      <c r="C125" s="167">
        <v>4.0</v>
      </c>
      <c r="D125" s="167">
        <v>0.75</v>
      </c>
      <c r="E125" s="167">
        <v>0.75</v>
      </c>
      <c r="F125" s="167">
        <v>1.5</v>
      </c>
      <c r="G125" s="260">
        <f t="shared" ref="G125:G127" si="16">C125*D125*E125*F125</f>
        <v>3.375</v>
      </c>
      <c r="H125" s="299">
        <v>249.03</v>
      </c>
      <c r="I125" s="167" t="s">
        <v>969</v>
      </c>
      <c r="J125" s="262">
        <f t="shared" si="15"/>
        <v>840.47625</v>
      </c>
    </row>
    <row r="126">
      <c r="A126" s="302">
        <v>5.0</v>
      </c>
      <c r="B126" s="303" t="s">
        <v>1129</v>
      </c>
      <c r="C126" s="167">
        <v>4.0</v>
      </c>
      <c r="D126" s="167">
        <v>0.75</v>
      </c>
      <c r="E126" s="167">
        <v>0.75</v>
      </c>
      <c r="F126" s="167">
        <v>0.5</v>
      </c>
      <c r="G126" s="260">
        <f t="shared" si="16"/>
        <v>1.125</v>
      </c>
      <c r="H126" s="260"/>
      <c r="I126" s="167"/>
      <c r="J126" s="262"/>
    </row>
    <row r="127">
      <c r="A127" s="251"/>
      <c r="B127" s="251"/>
      <c r="C127" s="167">
        <v>4.0</v>
      </c>
      <c r="D127" s="167">
        <v>0.6</v>
      </c>
      <c r="E127" s="167">
        <v>0.6</v>
      </c>
      <c r="F127" s="167">
        <v>1.1</v>
      </c>
      <c r="G127" s="260">
        <f t="shared" si="16"/>
        <v>1.584</v>
      </c>
      <c r="H127" s="260"/>
      <c r="I127" s="167"/>
      <c r="J127" s="262"/>
    </row>
    <row r="128" ht="25.5" customHeight="1">
      <c r="A128" s="140"/>
      <c r="B128" s="140"/>
      <c r="C128" s="304" t="s">
        <v>37</v>
      </c>
      <c r="D128" s="136"/>
      <c r="E128" s="136"/>
      <c r="F128" s="137"/>
      <c r="G128" s="260">
        <f>SUM(G126:G127)</f>
        <v>2.709</v>
      </c>
      <c r="H128" s="299">
        <v>6393.89</v>
      </c>
      <c r="I128" s="167" t="s">
        <v>969</v>
      </c>
      <c r="J128" s="262">
        <f>G128*H128</f>
        <v>17321.04801</v>
      </c>
    </row>
    <row r="129">
      <c r="A129" s="299">
        <v>6.0</v>
      </c>
      <c r="B129" s="377" t="s">
        <v>1132</v>
      </c>
      <c r="C129" s="136"/>
      <c r="D129" s="136"/>
      <c r="E129" s="136"/>
      <c r="F129" s="136"/>
      <c r="G129" s="136"/>
      <c r="H129" s="136"/>
      <c r="I129" s="137"/>
      <c r="J129" s="308">
        <v>966.29</v>
      </c>
    </row>
    <row r="130">
      <c r="A130" s="299">
        <v>7.0</v>
      </c>
      <c r="B130" s="268" t="s">
        <v>37</v>
      </c>
      <c r="C130" s="136"/>
      <c r="D130" s="136"/>
      <c r="E130" s="136"/>
      <c r="F130" s="136"/>
      <c r="G130" s="136"/>
      <c r="H130" s="136"/>
      <c r="I130" s="137"/>
      <c r="J130" s="254">
        <f>SUM(J123:J129)</f>
        <v>93999.99709</v>
      </c>
    </row>
    <row r="131">
      <c r="A131" s="299">
        <v>8.0</v>
      </c>
      <c r="B131" s="309" t="s">
        <v>1268</v>
      </c>
      <c r="C131" s="136"/>
      <c r="D131" s="136"/>
      <c r="E131" s="136"/>
      <c r="F131" s="136"/>
      <c r="G131" s="136"/>
      <c r="H131" s="136"/>
      <c r="I131" s="136"/>
      <c r="J131" s="137"/>
    </row>
    <row r="132">
      <c r="A132" s="310" t="s">
        <v>1269</v>
      </c>
    </row>
    <row r="133">
      <c r="A133" s="312">
        <v>1.0</v>
      </c>
      <c r="B133" s="314" t="s">
        <v>999</v>
      </c>
      <c r="C133" s="136"/>
      <c r="D133" s="136"/>
      <c r="E133" s="136"/>
      <c r="F133" s="136"/>
      <c r="G133" s="136"/>
      <c r="H133" s="136"/>
      <c r="I133" s="136"/>
      <c r="J133" s="137"/>
    </row>
    <row r="134">
      <c r="A134" s="315"/>
      <c r="B134" s="316" t="s">
        <v>1001</v>
      </c>
      <c r="C134" s="136"/>
      <c r="D134" s="136"/>
      <c r="E134" s="136"/>
      <c r="F134" s="137"/>
      <c r="G134" s="317" t="s">
        <v>1003</v>
      </c>
      <c r="H134" s="317" t="s">
        <v>778</v>
      </c>
      <c r="I134" s="317" t="s">
        <v>8</v>
      </c>
      <c r="J134" s="320" t="s">
        <v>37</v>
      </c>
    </row>
    <row r="135">
      <c r="A135" s="315"/>
      <c r="B135" s="322" t="s">
        <v>1007</v>
      </c>
      <c r="C135" s="323" t="s">
        <v>1273</v>
      </c>
      <c r="D135" s="136"/>
      <c r="E135" s="136"/>
      <c r="F135" s="137"/>
      <c r="G135" s="324">
        <v>4.0</v>
      </c>
      <c r="H135" s="324">
        <v>7.0</v>
      </c>
      <c r="I135" s="324" t="s">
        <v>1014</v>
      </c>
      <c r="J135" s="325">
        <v>28.0</v>
      </c>
    </row>
    <row r="136">
      <c r="A136" s="315"/>
      <c r="B136" s="326" t="s">
        <v>1017</v>
      </c>
      <c r="C136" s="323" t="s">
        <v>1273</v>
      </c>
      <c r="D136" s="136"/>
      <c r="E136" s="136"/>
      <c r="F136" s="137"/>
      <c r="G136" s="324">
        <v>4.0</v>
      </c>
      <c r="H136" s="324">
        <v>0.9</v>
      </c>
      <c r="I136" s="324" t="s">
        <v>1014</v>
      </c>
      <c r="J136" s="325">
        <v>3.6</v>
      </c>
    </row>
    <row r="137">
      <c r="A137" s="315"/>
      <c r="B137" s="326" t="s">
        <v>1145</v>
      </c>
      <c r="C137" s="323" t="s">
        <v>1146</v>
      </c>
      <c r="D137" s="136"/>
      <c r="E137" s="136"/>
      <c r="F137" s="137"/>
      <c r="G137" s="324">
        <v>4.0</v>
      </c>
      <c r="H137" s="324">
        <v>2.4</v>
      </c>
      <c r="I137" s="324" t="s">
        <v>1014</v>
      </c>
      <c r="J137" s="325">
        <v>9.6</v>
      </c>
    </row>
    <row r="138">
      <c r="A138" s="315"/>
      <c r="B138" s="326" t="s">
        <v>1147</v>
      </c>
      <c r="C138" s="323" t="s">
        <v>1146</v>
      </c>
      <c r="D138" s="136"/>
      <c r="E138" s="136"/>
      <c r="F138" s="137"/>
      <c r="G138" s="324">
        <v>4.0</v>
      </c>
      <c r="H138" s="324">
        <v>2.2</v>
      </c>
      <c r="I138" s="324" t="s">
        <v>1014</v>
      </c>
      <c r="J138" s="325">
        <v>8.8</v>
      </c>
    </row>
    <row r="139">
      <c r="A139" s="315"/>
      <c r="B139" s="326" t="s">
        <v>1148</v>
      </c>
      <c r="C139" s="323" t="s">
        <v>1146</v>
      </c>
      <c r="D139" s="136"/>
      <c r="E139" s="136"/>
      <c r="F139" s="137"/>
      <c r="G139" s="324">
        <v>4.0</v>
      </c>
      <c r="H139" s="324">
        <v>2.0</v>
      </c>
      <c r="I139" s="324" t="s">
        <v>1014</v>
      </c>
      <c r="J139" s="325">
        <v>8.0</v>
      </c>
    </row>
    <row r="140">
      <c r="A140" s="315"/>
      <c r="B140" s="326" t="s">
        <v>1277</v>
      </c>
      <c r="C140" s="323" t="s">
        <v>1146</v>
      </c>
      <c r="D140" s="136"/>
      <c r="E140" s="136"/>
      <c r="F140" s="137"/>
      <c r="G140" s="324">
        <v>4.0</v>
      </c>
      <c r="H140" s="324">
        <v>1.8</v>
      </c>
      <c r="I140" s="324" t="s">
        <v>1014</v>
      </c>
      <c r="J140" s="325">
        <v>7.2</v>
      </c>
    </row>
    <row r="141">
      <c r="A141" s="315"/>
      <c r="B141" s="326" t="s">
        <v>1150</v>
      </c>
      <c r="C141" s="323" t="s">
        <v>1151</v>
      </c>
      <c r="D141" s="136"/>
      <c r="E141" s="136"/>
      <c r="F141" s="137"/>
      <c r="G141" s="324">
        <v>8.0</v>
      </c>
      <c r="H141" s="324">
        <v>2.75</v>
      </c>
      <c r="I141" s="324" t="s">
        <v>1014</v>
      </c>
      <c r="J141" s="325">
        <v>22.0</v>
      </c>
    </row>
    <row r="142">
      <c r="A142" s="315"/>
      <c r="B142" s="326" t="s">
        <v>1152</v>
      </c>
      <c r="C142" s="323" t="s">
        <v>1151</v>
      </c>
      <c r="D142" s="136"/>
      <c r="E142" s="136"/>
      <c r="F142" s="137"/>
      <c r="G142" s="324">
        <v>8.0</v>
      </c>
      <c r="H142" s="324">
        <v>2.6</v>
      </c>
      <c r="I142" s="324" t="s">
        <v>1014</v>
      </c>
      <c r="J142" s="325">
        <v>20.8</v>
      </c>
    </row>
    <row r="143">
      <c r="A143" s="315"/>
      <c r="B143" s="326" t="s">
        <v>1281</v>
      </c>
      <c r="C143" s="323" t="s">
        <v>1151</v>
      </c>
      <c r="D143" s="136"/>
      <c r="E143" s="136"/>
      <c r="F143" s="137"/>
      <c r="G143" s="324">
        <v>8.0</v>
      </c>
      <c r="H143" s="324">
        <v>2.4</v>
      </c>
      <c r="I143" s="324" t="s">
        <v>1014</v>
      </c>
      <c r="J143" s="325">
        <v>19.2</v>
      </c>
    </row>
    <row r="144">
      <c r="A144" s="315"/>
      <c r="B144" s="326" t="s">
        <v>1043</v>
      </c>
      <c r="C144" s="323" t="s">
        <v>1151</v>
      </c>
      <c r="D144" s="136"/>
      <c r="E144" s="136"/>
      <c r="F144" s="137"/>
      <c r="G144" s="324">
        <v>8.0</v>
      </c>
      <c r="H144" s="324">
        <v>1.0</v>
      </c>
      <c r="I144" s="324" t="s">
        <v>1014</v>
      </c>
      <c r="J144" s="325">
        <v>8.0</v>
      </c>
    </row>
    <row r="145">
      <c r="A145" s="315"/>
      <c r="B145" s="327" t="s">
        <v>1048</v>
      </c>
      <c r="C145" s="136"/>
      <c r="D145" s="136"/>
      <c r="E145" s="136"/>
      <c r="F145" s="136"/>
      <c r="G145" s="136"/>
      <c r="H145" s="136"/>
      <c r="I145" s="136"/>
      <c r="J145" s="137"/>
    </row>
    <row r="146">
      <c r="A146" s="315"/>
      <c r="B146" s="326" t="s">
        <v>1052</v>
      </c>
      <c r="C146" s="323" t="s">
        <v>1273</v>
      </c>
      <c r="D146" s="136"/>
      <c r="E146" s="136"/>
      <c r="F146" s="137"/>
      <c r="G146" s="324">
        <v>4.0</v>
      </c>
      <c r="H146" s="324">
        <v>1.8</v>
      </c>
      <c r="I146" s="324" t="s">
        <v>1014</v>
      </c>
      <c r="J146" s="325">
        <v>7.2</v>
      </c>
    </row>
    <row r="147">
      <c r="A147" s="315"/>
      <c r="B147" s="326" t="s">
        <v>1058</v>
      </c>
      <c r="C147" s="323" t="s">
        <v>1151</v>
      </c>
      <c r="D147" s="136"/>
      <c r="E147" s="136"/>
      <c r="F147" s="137"/>
      <c r="G147" s="324">
        <v>6.0</v>
      </c>
      <c r="H147" s="324">
        <v>1.8</v>
      </c>
      <c r="I147" s="324" t="s">
        <v>1014</v>
      </c>
      <c r="J147" s="325">
        <v>10.8</v>
      </c>
    </row>
    <row r="148">
      <c r="A148" s="315"/>
      <c r="B148" s="327" t="s">
        <v>1062</v>
      </c>
      <c r="C148" s="136"/>
      <c r="D148" s="136"/>
      <c r="E148" s="136"/>
      <c r="F148" s="136"/>
      <c r="G148" s="136"/>
      <c r="H148" s="136"/>
      <c r="I148" s="136"/>
      <c r="J148" s="137"/>
    </row>
    <row r="149">
      <c r="A149" s="315"/>
      <c r="B149" s="326" t="s">
        <v>1065</v>
      </c>
      <c r="C149" s="323" t="s">
        <v>1157</v>
      </c>
      <c r="D149" s="136"/>
      <c r="E149" s="136"/>
      <c r="F149" s="137"/>
      <c r="G149" s="324">
        <v>16.0</v>
      </c>
      <c r="H149" s="324">
        <v>0.9</v>
      </c>
      <c r="I149" s="324" t="s">
        <v>1014</v>
      </c>
      <c r="J149" s="325">
        <v>14.4</v>
      </c>
    </row>
    <row r="150">
      <c r="A150" s="315"/>
      <c r="B150" s="326" t="s">
        <v>1070</v>
      </c>
      <c r="C150" s="323" t="s">
        <v>1151</v>
      </c>
      <c r="D150" s="136"/>
      <c r="E150" s="136"/>
      <c r="F150" s="137"/>
      <c r="G150" s="324">
        <v>4.0</v>
      </c>
      <c r="H150" s="324">
        <v>1.8</v>
      </c>
      <c r="I150" s="324" t="s">
        <v>1014</v>
      </c>
      <c r="J150" s="325">
        <v>7.2</v>
      </c>
    </row>
    <row r="151">
      <c r="A151" s="315"/>
      <c r="B151" s="327" t="s">
        <v>1073</v>
      </c>
      <c r="C151" s="136"/>
      <c r="D151" s="136"/>
      <c r="E151" s="136"/>
      <c r="F151" s="136"/>
      <c r="G151" s="136"/>
      <c r="H151" s="136"/>
      <c r="I151" s="136"/>
      <c r="J151" s="137"/>
    </row>
    <row r="152">
      <c r="A152" s="315"/>
      <c r="B152" s="326" t="s">
        <v>1075</v>
      </c>
      <c r="C152" s="323" t="s">
        <v>1076</v>
      </c>
      <c r="D152" s="136"/>
      <c r="E152" s="136"/>
      <c r="F152" s="137"/>
      <c r="G152" s="324">
        <v>2.0</v>
      </c>
      <c r="H152" s="324">
        <v>7.0</v>
      </c>
      <c r="I152" s="324" t="s">
        <v>1014</v>
      </c>
      <c r="J152" s="325">
        <v>14.0</v>
      </c>
    </row>
    <row r="153">
      <c r="A153" s="315"/>
      <c r="B153" s="326" t="s">
        <v>1158</v>
      </c>
      <c r="C153" s="323" t="s">
        <v>1076</v>
      </c>
      <c r="D153" s="136"/>
      <c r="E153" s="136"/>
      <c r="F153" s="137"/>
      <c r="G153" s="324">
        <v>18.0</v>
      </c>
      <c r="H153" s="324">
        <v>0.3</v>
      </c>
      <c r="I153" s="324" t="s">
        <v>1014</v>
      </c>
      <c r="J153" s="325">
        <v>5.4</v>
      </c>
    </row>
    <row r="154">
      <c r="A154" s="315"/>
      <c r="B154" s="326" t="s">
        <v>1083</v>
      </c>
      <c r="C154" s="328"/>
      <c r="D154" s="136"/>
      <c r="E154" s="136"/>
      <c r="F154" s="137"/>
      <c r="G154" s="324">
        <v>1.8</v>
      </c>
      <c r="H154" s="324">
        <v>1.8</v>
      </c>
      <c r="I154" s="324" t="s">
        <v>1159</v>
      </c>
      <c r="J154" s="325">
        <v>3.24</v>
      </c>
    </row>
    <row r="155">
      <c r="A155" s="315"/>
      <c r="B155" s="326" t="s">
        <v>1160</v>
      </c>
      <c r="C155" s="323">
        <v>4.0</v>
      </c>
      <c r="D155" s="136"/>
      <c r="E155" s="136"/>
      <c r="F155" s="137"/>
      <c r="G155" s="324">
        <v>0.3</v>
      </c>
      <c r="H155" s="324">
        <v>0.3</v>
      </c>
      <c r="I155" s="324" t="s">
        <v>1159</v>
      </c>
      <c r="J155" s="325">
        <v>0.36</v>
      </c>
    </row>
    <row r="156">
      <c r="A156" s="315"/>
      <c r="B156" s="330"/>
      <c r="C156" s="136"/>
      <c r="D156" s="136"/>
      <c r="E156" s="136"/>
      <c r="F156" s="136"/>
      <c r="G156" s="136"/>
      <c r="H156" s="136"/>
      <c r="I156" s="136"/>
      <c r="J156" s="137"/>
    </row>
    <row r="157">
      <c r="A157" s="315"/>
      <c r="B157" s="327" t="s">
        <v>1089</v>
      </c>
      <c r="C157" s="136"/>
      <c r="D157" s="136"/>
      <c r="E157" s="136"/>
      <c r="F157" s="137"/>
      <c r="G157" s="317" t="s">
        <v>778</v>
      </c>
      <c r="H157" s="317" t="s">
        <v>1090</v>
      </c>
      <c r="I157" s="317" t="s">
        <v>8</v>
      </c>
      <c r="J157" s="320" t="s">
        <v>1091</v>
      </c>
    </row>
    <row r="158">
      <c r="A158" s="315"/>
      <c r="B158" s="326" t="s">
        <v>1092</v>
      </c>
      <c r="C158" s="323" t="s">
        <v>1273</v>
      </c>
      <c r="D158" s="136"/>
      <c r="E158" s="136"/>
      <c r="F158" s="137"/>
      <c r="G158" s="324">
        <v>38.8</v>
      </c>
      <c r="H158" s="324">
        <v>6.8</v>
      </c>
      <c r="I158" s="324" t="s">
        <v>1094</v>
      </c>
      <c r="J158" s="325">
        <v>263.84</v>
      </c>
    </row>
    <row r="159">
      <c r="A159" s="315"/>
      <c r="B159" s="326" t="s">
        <v>1092</v>
      </c>
      <c r="C159" s="323" t="s">
        <v>1146</v>
      </c>
      <c r="D159" s="136"/>
      <c r="E159" s="136"/>
      <c r="F159" s="137"/>
      <c r="G159" s="324">
        <v>33.6</v>
      </c>
      <c r="H159" s="324">
        <v>4.5</v>
      </c>
      <c r="I159" s="324" t="s">
        <v>1094</v>
      </c>
      <c r="J159" s="325">
        <v>151.2</v>
      </c>
    </row>
    <row r="160">
      <c r="A160" s="315"/>
      <c r="B160" s="326" t="s">
        <v>1092</v>
      </c>
      <c r="C160" s="323" t="s">
        <v>1151</v>
      </c>
      <c r="D160" s="136"/>
      <c r="E160" s="136"/>
      <c r="F160" s="137"/>
      <c r="G160" s="324">
        <v>88.0</v>
      </c>
      <c r="H160" s="324">
        <v>2.6</v>
      </c>
      <c r="I160" s="324" t="s">
        <v>1094</v>
      </c>
      <c r="J160" s="325">
        <v>228.8</v>
      </c>
    </row>
    <row r="161">
      <c r="A161" s="315"/>
      <c r="B161" s="326" t="s">
        <v>1092</v>
      </c>
      <c r="C161" s="323" t="s">
        <v>1157</v>
      </c>
      <c r="D161" s="136"/>
      <c r="E161" s="136"/>
      <c r="F161" s="137"/>
      <c r="G161" s="324">
        <v>14.4</v>
      </c>
      <c r="H161" s="324">
        <v>1.8</v>
      </c>
      <c r="I161" s="324" t="s">
        <v>1094</v>
      </c>
      <c r="J161" s="325">
        <v>25.92</v>
      </c>
    </row>
    <row r="162">
      <c r="A162" s="315"/>
      <c r="B162" s="326" t="s">
        <v>1100</v>
      </c>
      <c r="C162" s="323" t="s">
        <v>1076</v>
      </c>
      <c r="D162" s="136"/>
      <c r="E162" s="136"/>
      <c r="F162" s="137"/>
      <c r="G162" s="324">
        <v>19.4</v>
      </c>
      <c r="H162" s="324">
        <v>1.68</v>
      </c>
      <c r="I162" s="324" t="s">
        <v>1094</v>
      </c>
      <c r="J162" s="325">
        <v>32.59</v>
      </c>
    </row>
    <row r="163">
      <c r="A163" s="315"/>
      <c r="B163" s="335" t="s">
        <v>990</v>
      </c>
      <c r="C163" s="136"/>
      <c r="D163" s="136"/>
      <c r="E163" s="136"/>
      <c r="F163" s="136"/>
      <c r="G163" s="136"/>
      <c r="H163" s="136"/>
      <c r="I163" s="137"/>
      <c r="J163" s="325">
        <v>702.35</v>
      </c>
    </row>
    <row r="164">
      <c r="A164" s="315"/>
      <c r="B164" s="326" t="s">
        <v>1083</v>
      </c>
      <c r="C164" s="336"/>
      <c r="D164" s="336"/>
      <c r="E164" s="336"/>
      <c r="F164" s="336"/>
      <c r="G164" s="324">
        <v>3.24</v>
      </c>
      <c r="H164" s="324">
        <v>12.56</v>
      </c>
      <c r="I164" s="324" t="s">
        <v>1167</v>
      </c>
      <c r="J164" s="325">
        <v>40.69</v>
      </c>
    </row>
    <row r="165">
      <c r="A165" s="315"/>
      <c r="B165" s="326" t="s">
        <v>1160</v>
      </c>
      <c r="C165" s="336"/>
      <c r="D165" s="336"/>
      <c r="E165" s="336"/>
      <c r="F165" s="336"/>
      <c r="G165" s="324">
        <v>0.36</v>
      </c>
      <c r="H165" s="324">
        <v>117.8</v>
      </c>
      <c r="I165" s="324" t="s">
        <v>1167</v>
      </c>
      <c r="J165" s="325">
        <v>42.41</v>
      </c>
    </row>
    <row r="166">
      <c r="A166" s="338"/>
      <c r="B166" s="340" t="s">
        <v>37</v>
      </c>
      <c r="C166" s="2"/>
      <c r="D166" s="2"/>
      <c r="E166" s="2"/>
      <c r="F166" s="2"/>
      <c r="G166" s="2"/>
      <c r="H166" s="2"/>
      <c r="I166" s="3"/>
      <c r="J166" s="342">
        <v>785.45</v>
      </c>
    </row>
    <row r="167">
      <c r="A167" s="343"/>
      <c r="B167" s="317" t="s">
        <v>1120</v>
      </c>
      <c r="C167" s="317" t="s">
        <v>945</v>
      </c>
      <c r="D167" s="317" t="s">
        <v>778</v>
      </c>
      <c r="E167" s="317" t="s">
        <v>1109</v>
      </c>
      <c r="F167" s="317" t="s">
        <v>1121</v>
      </c>
      <c r="G167" s="317" t="s">
        <v>9</v>
      </c>
      <c r="H167" s="317" t="s">
        <v>10</v>
      </c>
      <c r="I167" s="317" t="s">
        <v>8</v>
      </c>
      <c r="J167" s="320" t="s">
        <v>11</v>
      </c>
    </row>
    <row r="168">
      <c r="A168" s="324">
        <v>2.0</v>
      </c>
      <c r="B168" s="345" t="s">
        <v>1171</v>
      </c>
      <c r="C168" s="347"/>
      <c r="D168" s="347"/>
      <c r="E168" s="347"/>
      <c r="F168" s="347"/>
      <c r="G168" s="324">
        <v>785.45</v>
      </c>
      <c r="H168" s="324">
        <v>80.78</v>
      </c>
      <c r="I168" s="324" t="s">
        <v>1125</v>
      </c>
      <c r="J168" s="325">
        <v>63449.01</v>
      </c>
    </row>
    <row r="169">
      <c r="A169" s="324">
        <v>3.0</v>
      </c>
      <c r="B169" s="345" t="s">
        <v>1126</v>
      </c>
      <c r="C169" s="347"/>
      <c r="D169" s="347"/>
      <c r="E169" s="347"/>
      <c r="F169" s="347"/>
      <c r="G169" s="324">
        <v>4.0</v>
      </c>
      <c r="H169" s="324">
        <v>121.67</v>
      </c>
      <c r="I169" s="324" t="s">
        <v>1125</v>
      </c>
      <c r="J169" s="325">
        <v>486.68</v>
      </c>
    </row>
    <row r="170">
      <c r="A170" s="324">
        <v>4.0</v>
      </c>
      <c r="B170" s="345" t="s">
        <v>1127</v>
      </c>
      <c r="C170" s="350">
        <v>4.0</v>
      </c>
      <c r="D170" s="350">
        <v>0.75</v>
      </c>
      <c r="E170" s="350">
        <v>0.75</v>
      </c>
      <c r="F170" s="350">
        <v>1.5</v>
      </c>
      <c r="G170" s="324">
        <v>3.375</v>
      </c>
      <c r="H170" s="324">
        <v>249.03</v>
      </c>
      <c r="I170" s="350" t="s">
        <v>969</v>
      </c>
      <c r="J170" s="325">
        <v>840.48</v>
      </c>
    </row>
    <row r="171">
      <c r="A171" s="352">
        <v>5.0</v>
      </c>
      <c r="B171" s="353" t="s">
        <v>1129</v>
      </c>
      <c r="C171" s="350">
        <v>4.0</v>
      </c>
      <c r="D171" s="350">
        <v>0.75</v>
      </c>
      <c r="E171" s="350">
        <v>0.75</v>
      </c>
      <c r="F171" s="350">
        <v>0.5</v>
      </c>
      <c r="G171" s="324">
        <v>1.125</v>
      </c>
      <c r="H171" s="336"/>
      <c r="I171" s="347"/>
      <c r="J171" s="354"/>
    </row>
    <row r="172">
      <c r="A172" s="251"/>
      <c r="B172" s="251"/>
      <c r="C172" s="350">
        <v>4.0</v>
      </c>
      <c r="D172" s="350">
        <v>0.6</v>
      </c>
      <c r="E172" s="350">
        <v>0.6</v>
      </c>
      <c r="F172" s="350">
        <v>1.1</v>
      </c>
      <c r="G172" s="324">
        <v>1.584</v>
      </c>
      <c r="H172" s="336"/>
      <c r="I172" s="347"/>
      <c r="J172" s="354"/>
    </row>
    <row r="173" ht="32.25" customHeight="1">
      <c r="A173" s="140"/>
      <c r="B173" s="140"/>
      <c r="C173" s="355" t="s">
        <v>37</v>
      </c>
      <c r="D173" s="136"/>
      <c r="E173" s="136"/>
      <c r="F173" s="137"/>
      <c r="G173" s="324">
        <v>2.709</v>
      </c>
      <c r="H173" s="324">
        <v>6393.89</v>
      </c>
      <c r="I173" s="350" t="s">
        <v>969</v>
      </c>
      <c r="J173" s="325">
        <v>17321.05</v>
      </c>
    </row>
    <row r="174">
      <c r="A174" s="324">
        <v>6.0</v>
      </c>
      <c r="B174" s="380" t="s">
        <v>1132</v>
      </c>
      <c r="C174" s="136"/>
      <c r="D174" s="136"/>
      <c r="E174" s="136"/>
      <c r="F174" s="136"/>
      <c r="G174" s="136"/>
      <c r="H174" s="136"/>
      <c r="I174" s="137"/>
      <c r="J174" s="325">
        <v>902.79</v>
      </c>
    </row>
    <row r="175">
      <c r="A175" s="324">
        <v>7.0</v>
      </c>
      <c r="B175" s="358" t="s">
        <v>37</v>
      </c>
      <c r="C175" s="136"/>
      <c r="D175" s="136"/>
      <c r="E175" s="136"/>
      <c r="F175" s="136"/>
      <c r="G175" s="136"/>
      <c r="H175" s="136"/>
      <c r="I175" s="137"/>
      <c r="J175" s="320">
        <v>83000.0</v>
      </c>
    </row>
    <row r="176">
      <c r="A176" s="360">
        <v>8.0</v>
      </c>
      <c r="B176" s="381" t="s">
        <v>1295</v>
      </c>
      <c r="C176" s="136"/>
      <c r="D176" s="136"/>
      <c r="E176" s="136"/>
      <c r="F176" s="136"/>
      <c r="G176" s="136"/>
      <c r="H176" s="136"/>
      <c r="I176" s="136"/>
      <c r="J176" s="137"/>
    </row>
  </sheetData>
  <mergeCells count="156">
    <mergeCell ref="C99:F99"/>
    <mergeCell ref="B100:J100"/>
    <mergeCell ref="B103:J103"/>
    <mergeCell ref="C104:F104"/>
    <mergeCell ref="C105:F105"/>
    <mergeCell ref="B106:J106"/>
    <mergeCell ref="C107:F107"/>
    <mergeCell ref="C108:F108"/>
    <mergeCell ref="C109:F109"/>
    <mergeCell ref="C110:F110"/>
    <mergeCell ref="C113:F113"/>
    <mergeCell ref="C114:F114"/>
    <mergeCell ref="C115:F115"/>
    <mergeCell ref="C116:F116"/>
    <mergeCell ref="B111:J111"/>
    <mergeCell ref="B112:F112"/>
    <mergeCell ref="C117:F117"/>
    <mergeCell ref="B118:I118"/>
    <mergeCell ref="A88:A121"/>
    <mergeCell ref="A126:A128"/>
    <mergeCell ref="B126:B128"/>
    <mergeCell ref="A133:A166"/>
    <mergeCell ref="A171:A173"/>
    <mergeCell ref="B171:B173"/>
    <mergeCell ref="C83:F83"/>
    <mergeCell ref="B84:I84"/>
    <mergeCell ref="B85:I85"/>
    <mergeCell ref="B86:J86"/>
    <mergeCell ref="A87:J87"/>
    <mergeCell ref="B88:J88"/>
    <mergeCell ref="B121:I121"/>
    <mergeCell ref="C128:F128"/>
    <mergeCell ref="B129:I129"/>
    <mergeCell ref="B130:I130"/>
    <mergeCell ref="B131:J131"/>
    <mergeCell ref="A132:J132"/>
    <mergeCell ref="B133:J133"/>
    <mergeCell ref="B134:F134"/>
    <mergeCell ref="C142:F142"/>
    <mergeCell ref="C143:F143"/>
    <mergeCell ref="C144:F144"/>
    <mergeCell ref="B145:J145"/>
    <mergeCell ref="C146:F146"/>
    <mergeCell ref="C147:F147"/>
    <mergeCell ref="B148:J148"/>
    <mergeCell ref="C135:F135"/>
    <mergeCell ref="C136:F136"/>
    <mergeCell ref="C137:F137"/>
    <mergeCell ref="C138:F138"/>
    <mergeCell ref="C139:F139"/>
    <mergeCell ref="C140:F140"/>
    <mergeCell ref="C141:F141"/>
    <mergeCell ref="C7:F7"/>
    <mergeCell ref="C8:F8"/>
    <mergeCell ref="C9:F9"/>
    <mergeCell ref="C10:F10"/>
    <mergeCell ref="C11:F11"/>
    <mergeCell ref="B12:J12"/>
    <mergeCell ref="C13:F13"/>
    <mergeCell ref="C14:F14"/>
    <mergeCell ref="B15:J15"/>
    <mergeCell ref="C16:F16"/>
    <mergeCell ref="C19:F19"/>
    <mergeCell ref="C20:F20"/>
    <mergeCell ref="C21:F21"/>
    <mergeCell ref="C22:F22"/>
    <mergeCell ref="C27:F27"/>
    <mergeCell ref="C28:F28"/>
    <mergeCell ref="C40:F40"/>
    <mergeCell ref="B41:I41"/>
    <mergeCell ref="B42:I42"/>
    <mergeCell ref="B43:J43"/>
    <mergeCell ref="A44:J44"/>
    <mergeCell ref="B45:J45"/>
    <mergeCell ref="B46:F46"/>
    <mergeCell ref="C47:F47"/>
    <mergeCell ref="C48:F48"/>
    <mergeCell ref="C49:F49"/>
    <mergeCell ref="C50:F50"/>
    <mergeCell ref="C51:F51"/>
    <mergeCell ref="B66:J66"/>
    <mergeCell ref="B67:F67"/>
    <mergeCell ref="C59:F59"/>
    <mergeCell ref="C60:F60"/>
    <mergeCell ref="B61:J61"/>
    <mergeCell ref="C62:F62"/>
    <mergeCell ref="C63:F63"/>
    <mergeCell ref="C64:F64"/>
    <mergeCell ref="C65:F65"/>
    <mergeCell ref="C17:F17"/>
    <mergeCell ref="B18:J18"/>
    <mergeCell ref="B23:J23"/>
    <mergeCell ref="B24:F24"/>
    <mergeCell ref="C25:F25"/>
    <mergeCell ref="C26:F26"/>
    <mergeCell ref="C29:F29"/>
    <mergeCell ref="B30:I30"/>
    <mergeCell ref="A2:A33"/>
    <mergeCell ref="A38:A40"/>
    <mergeCell ref="B38:B40"/>
    <mergeCell ref="A45:A76"/>
    <mergeCell ref="A81:A83"/>
    <mergeCell ref="B81:B83"/>
    <mergeCell ref="A1:J1"/>
    <mergeCell ref="B2:J2"/>
    <mergeCell ref="B3:F3"/>
    <mergeCell ref="C4:F4"/>
    <mergeCell ref="C5:F5"/>
    <mergeCell ref="C6:F6"/>
    <mergeCell ref="B33:I33"/>
    <mergeCell ref="C52:F52"/>
    <mergeCell ref="C53:F53"/>
    <mergeCell ref="C54:F54"/>
    <mergeCell ref="B55:J55"/>
    <mergeCell ref="C56:F56"/>
    <mergeCell ref="C57:F57"/>
    <mergeCell ref="B58:J58"/>
    <mergeCell ref="C68:F68"/>
    <mergeCell ref="C69:F69"/>
    <mergeCell ref="C70:F70"/>
    <mergeCell ref="C71:F71"/>
    <mergeCell ref="C72:F72"/>
    <mergeCell ref="B73:I73"/>
    <mergeCell ref="B76:I76"/>
    <mergeCell ref="B89:F89"/>
    <mergeCell ref="C90:F90"/>
    <mergeCell ref="C91:F91"/>
    <mergeCell ref="C92:F92"/>
    <mergeCell ref="C93:F93"/>
    <mergeCell ref="C94:F94"/>
    <mergeCell ref="C95:F95"/>
    <mergeCell ref="C96:F96"/>
    <mergeCell ref="C97:F97"/>
    <mergeCell ref="C98:F98"/>
    <mergeCell ref="C101:F101"/>
    <mergeCell ref="C102:F102"/>
    <mergeCell ref="B156:J156"/>
    <mergeCell ref="B157:F157"/>
    <mergeCell ref="C149:F149"/>
    <mergeCell ref="C150:F150"/>
    <mergeCell ref="B151:J151"/>
    <mergeCell ref="C152:F152"/>
    <mergeCell ref="C153:F153"/>
    <mergeCell ref="C154:F154"/>
    <mergeCell ref="C155:F155"/>
    <mergeCell ref="C173:F173"/>
    <mergeCell ref="B174:I174"/>
    <mergeCell ref="B175:I175"/>
    <mergeCell ref="B176:J176"/>
    <mergeCell ref="C158:F158"/>
    <mergeCell ref="C159:F159"/>
    <mergeCell ref="C160:F160"/>
    <mergeCell ref="C161:F161"/>
    <mergeCell ref="C162:F162"/>
    <mergeCell ref="B163:I163"/>
    <mergeCell ref="B166:I166"/>
  </mergeCells>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4" max="4" width="18.43"/>
    <col hidden="1" min="7" max="8" width="14.43"/>
  </cols>
  <sheetData>
    <row r="1">
      <c r="A1" s="274" t="s">
        <v>1095</v>
      </c>
      <c r="B1" s="2"/>
      <c r="C1" s="2"/>
      <c r="D1" s="2"/>
      <c r="E1" s="2"/>
      <c r="F1" s="3"/>
      <c r="G1" s="275"/>
      <c r="H1" s="275"/>
    </row>
    <row r="2">
      <c r="A2" s="276"/>
      <c r="B2" s="277" t="s">
        <v>754</v>
      </c>
      <c r="C2" s="277" t="s">
        <v>43</v>
      </c>
      <c r="D2" s="277" t="s">
        <v>757</v>
      </c>
      <c r="E2" s="277">
        <v>1.0</v>
      </c>
      <c r="F2" s="278"/>
      <c r="G2" s="275"/>
      <c r="H2" s="275"/>
    </row>
    <row r="3">
      <c r="A3" s="277" t="s">
        <v>761</v>
      </c>
      <c r="B3" s="279"/>
      <c r="C3" s="2"/>
      <c r="D3" s="2"/>
      <c r="E3" s="2"/>
      <c r="F3" s="3"/>
      <c r="G3" s="275"/>
      <c r="H3" s="275"/>
    </row>
    <row r="4">
      <c r="A4" s="280" t="s">
        <v>764</v>
      </c>
      <c r="B4" s="2"/>
      <c r="C4" s="2"/>
      <c r="D4" s="2"/>
      <c r="E4" s="2"/>
      <c r="F4" s="3"/>
      <c r="G4" s="275"/>
      <c r="H4" s="275"/>
    </row>
    <row r="5">
      <c r="A5" s="281"/>
      <c r="B5" s="282" t="s">
        <v>1102</v>
      </c>
      <c r="C5" s="284" t="s">
        <v>1103</v>
      </c>
      <c r="D5" s="2"/>
      <c r="E5" s="3"/>
      <c r="F5" s="278"/>
      <c r="G5" s="275"/>
      <c r="H5" s="275"/>
    </row>
    <row r="6">
      <c r="A6" s="20"/>
      <c r="B6" s="20"/>
      <c r="C6" s="277" t="s">
        <v>43</v>
      </c>
      <c r="D6" s="277">
        <v>1.0</v>
      </c>
      <c r="E6" s="277">
        <v>70.0</v>
      </c>
      <c r="F6" s="277">
        <f>D6*E6</f>
        <v>70</v>
      </c>
      <c r="G6" s="275"/>
      <c r="H6" s="275"/>
    </row>
    <row r="7">
      <c r="A7" s="281"/>
      <c r="B7" s="282" t="s">
        <v>1106</v>
      </c>
      <c r="C7" s="284" t="s">
        <v>1107</v>
      </c>
      <c r="D7" s="2"/>
      <c r="E7" s="3"/>
      <c r="F7" s="278"/>
      <c r="G7" s="275"/>
      <c r="H7" s="275"/>
    </row>
    <row r="8">
      <c r="A8" s="20"/>
      <c r="B8" s="20"/>
      <c r="C8" s="277" t="s">
        <v>22</v>
      </c>
      <c r="D8" s="277">
        <v>3.5</v>
      </c>
      <c r="E8" s="277">
        <v>72.0</v>
      </c>
      <c r="F8" s="277">
        <f>D8*E8</f>
        <v>252</v>
      </c>
      <c r="G8" s="275"/>
      <c r="H8" s="275"/>
    </row>
    <row r="9">
      <c r="A9" s="281"/>
      <c r="B9" s="282" t="s">
        <v>1112</v>
      </c>
      <c r="C9" s="284" t="s">
        <v>1113</v>
      </c>
      <c r="D9" s="2"/>
      <c r="E9" s="3"/>
      <c r="F9" s="278"/>
      <c r="G9" s="275"/>
      <c r="H9" s="275"/>
    </row>
    <row r="10">
      <c r="A10" s="20"/>
      <c r="B10" s="20"/>
      <c r="C10" s="277" t="s">
        <v>43</v>
      </c>
      <c r="D10" s="277">
        <v>1.0</v>
      </c>
      <c r="E10" s="277">
        <v>230.0</v>
      </c>
      <c r="F10" s="277">
        <f>D10*E10</f>
        <v>230</v>
      </c>
      <c r="G10" s="275"/>
      <c r="H10" s="275"/>
    </row>
    <row r="11">
      <c r="A11" s="129" t="s">
        <v>1116</v>
      </c>
      <c r="B11" s="2"/>
      <c r="C11" s="3"/>
      <c r="D11" s="121">
        <v>1.0</v>
      </c>
      <c r="E11" s="130" t="s">
        <v>1117</v>
      </c>
      <c r="F11" s="121">
        <f>F10+F8+F6</f>
        <v>552</v>
      </c>
      <c r="G11" s="291"/>
      <c r="H11" s="291"/>
    </row>
    <row r="12">
      <c r="A12" s="129" t="s">
        <v>800</v>
      </c>
      <c r="B12" s="2"/>
      <c r="C12" s="3"/>
      <c r="D12" s="121">
        <v>1.0</v>
      </c>
      <c r="E12" s="130" t="s">
        <v>1117</v>
      </c>
      <c r="F12" s="121">
        <f>F11</f>
        <v>552</v>
      </c>
      <c r="G12" s="291"/>
      <c r="H12" s="291"/>
    </row>
    <row r="13">
      <c r="A13" s="133" t="s">
        <v>802</v>
      </c>
      <c r="B13" s="2"/>
      <c r="C13" s="2"/>
      <c r="D13" s="3"/>
      <c r="E13" s="121"/>
      <c r="F13" s="121">
        <f>F12*1%</f>
        <v>5.52</v>
      </c>
      <c r="G13" s="291"/>
      <c r="H13" s="291"/>
    </row>
    <row r="14">
      <c r="A14" s="133" t="s">
        <v>42</v>
      </c>
      <c r="B14" s="2"/>
      <c r="C14" s="2"/>
      <c r="D14" s="3"/>
      <c r="E14" s="131"/>
      <c r="F14" s="121">
        <f>F12+F13</f>
        <v>557.52</v>
      </c>
      <c r="G14" s="291"/>
      <c r="H14" s="291"/>
    </row>
    <row r="15">
      <c r="A15" s="133" t="s">
        <v>806</v>
      </c>
      <c r="B15" s="2"/>
      <c r="C15" s="2"/>
      <c r="D15" s="3"/>
      <c r="E15" s="121"/>
      <c r="F15" s="121">
        <f>F14*15%</f>
        <v>83.628</v>
      </c>
      <c r="G15" s="291"/>
      <c r="H15" s="291"/>
    </row>
    <row r="16">
      <c r="A16" s="133" t="s">
        <v>42</v>
      </c>
      <c r="B16" s="2"/>
      <c r="C16" s="2"/>
      <c r="D16" s="3"/>
      <c r="E16" s="131"/>
      <c r="F16" s="300">
        <f>round(F14+F15,2)</f>
        <v>641.15</v>
      </c>
      <c r="G16" s="291"/>
      <c r="H16" s="291"/>
    </row>
    <row r="17">
      <c r="A17" s="280" t="s">
        <v>777</v>
      </c>
      <c r="B17" s="2"/>
      <c r="C17" s="2"/>
      <c r="D17" s="2"/>
      <c r="E17" s="2"/>
      <c r="F17" s="3"/>
      <c r="G17" s="275"/>
      <c r="H17" s="275"/>
    </row>
    <row r="18">
      <c r="A18" s="282">
        <v>112.0</v>
      </c>
      <c r="B18" s="281"/>
      <c r="C18" s="284" t="s">
        <v>1130</v>
      </c>
      <c r="D18" s="2"/>
      <c r="E18" s="3"/>
      <c r="F18" s="278"/>
      <c r="G18" s="275"/>
      <c r="H18" s="275"/>
    </row>
    <row r="19">
      <c r="A19" s="20"/>
      <c r="B19" s="20"/>
      <c r="C19" s="277" t="s">
        <v>27</v>
      </c>
      <c r="D19" s="277">
        <v>0.25</v>
      </c>
      <c r="E19" s="277">
        <v>714.0</v>
      </c>
      <c r="F19" s="277">
        <f>D19*E19</f>
        <v>178.5</v>
      </c>
      <c r="G19" s="275"/>
      <c r="H19" s="275"/>
    </row>
    <row r="20">
      <c r="A20" s="305" t="s">
        <v>42</v>
      </c>
      <c r="B20" s="2"/>
      <c r="C20" s="3"/>
      <c r="D20" s="277">
        <v>1.0</v>
      </c>
      <c r="E20" s="306" t="s">
        <v>43</v>
      </c>
      <c r="F20" s="277">
        <f>F19</f>
        <v>178.5</v>
      </c>
      <c r="G20" s="275"/>
      <c r="H20" s="275"/>
    </row>
    <row r="21">
      <c r="A21" s="305" t="s">
        <v>800</v>
      </c>
      <c r="B21" s="2"/>
      <c r="C21" s="3"/>
      <c r="D21" s="277">
        <v>1.0</v>
      </c>
      <c r="E21" s="306" t="s">
        <v>43</v>
      </c>
      <c r="F21" s="277">
        <f>F20/1</f>
        <v>178.5</v>
      </c>
      <c r="G21" s="275"/>
      <c r="H21" s="275"/>
    </row>
    <row r="22">
      <c r="A22" s="307" t="s">
        <v>802</v>
      </c>
      <c r="B22" s="2"/>
      <c r="C22" s="2"/>
      <c r="D22" s="3"/>
      <c r="E22" s="277">
        <f>F21</f>
        <v>178.5</v>
      </c>
      <c r="F22" s="277">
        <f>E22*1%</f>
        <v>1.785</v>
      </c>
      <c r="G22" s="275"/>
      <c r="H22" s="275"/>
    </row>
    <row r="23">
      <c r="A23" s="307" t="s">
        <v>42</v>
      </c>
      <c r="B23" s="2"/>
      <c r="C23" s="2"/>
      <c r="D23" s="3"/>
      <c r="E23" s="278"/>
      <c r="F23" s="277">
        <f>SUM(F21:F22)</f>
        <v>180.285</v>
      </c>
      <c r="G23" s="275"/>
      <c r="H23" s="275"/>
    </row>
    <row r="24">
      <c r="A24" s="307" t="s">
        <v>806</v>
      </c>
      <c r="B24" s="2"/>
      <c r="C24" s="2"/>
      <c r="D24" s="3"/>
      <c r="E24" s="277">
        <f>F23</f>
        <v>180.285</v>
      </c>
      <c r="F24" s="277">
        <f>E24*15%</f>
        <v>27.04275</v>
      </c>
      <c r="G24" s="275"/>
      <c r="H24" s="275"/>
    </row>
    <row r="25">
      <c r="A25" s="307" t="s">
        <v>42</v>
      </c>
      <c r="B25" s="2"/>
      <c r="C25" s="2"/>
      <c r="D25" s="3"/>
      <c r="E25" s="278"/>
      <c r="F25" s="313">
        <f>SUM(F23:F24)</f>
        <v>207.32775</v>
      </c>
      <c r="G25" s="275"/>
      <c r="H25" s="275"/>
    </row>
    <row r="26">
      <c r="A26" s="318" t="str">
        <f>CONCATENATE("Say ₹ ",F16," + ",F25," x Cost Index")                                           </f>
        <v>Say ₹ 641.15 + 207.32775 x Cost Index</v>
      </c>
      <c r="B26" s="319"/>
      <c r="C26" s="319"/>
      <c r="D26" s="319"/>
      <c r="E26" s="319"/>
      <c r="F26" s="321"/>
      <c r="G26" s="275">
        <f>F16</f>
        <v>641.15</v>
      </c>
      <c r="H26" s="275">
        <f>F25</f>
        <v>207.32775</v>
      </c>
    </row>
  </sheetData>
  <mergeCells count="29">
    <mergeCell ref="B7:B8"/>
    <mergeCell ref="C7:E7"/>
    <mergeCell ref="C9:E9"/>
    <mergeCell ref="A1:F1"/>
    <mergeCell ref="B3:F3"/>
    <mergeCell ref="A4:F4"/>
    <mergeCell ref="A5:A6"/>
    <mergeCell ref="B5:B6"/>
    <mergeCell ref="C5:E5"/>
    <mergeCell ref="A7:A8"/>
    <mergeCell ref="A9:A10"/>
    <mergeCell ref="B9:B10"/>
    <mergeCell ref="A11:C11"/>
    <mergeCell ref="A12:C12"/>
    <mergeCell ref="A13:D13"/>
    <mergeCell ref="A14:D14"/>
    <mergeCell ref="A15:D15"/>
    <mergeCell ref="A22:D22"/>
    <mergeCell ref="A23:D23"/>
    <mergeCell ref="A24:D24"/>
    <mergeCell ref="A25:D25"/>
    <mergeCell ref="A26:F26"/>
    <mergeCell ref="A16:D16"/>
    <mergeCell ref="A17:F17"/>
    <mergeCell ref="A18:A19"/>
    <mergeCell ref="B18:B19"/>
    <mergeCell ref="C18:E18"/>
    <mergeCell ref="A20:C20"/>
    <mergeCell ref="A21:C21"/>
  </mergeCell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4.57"/>
    <col customWidth="1" min="2" max="2" width="45.57"/>
    <col customWidth="1" min="3" max="3" width="4.71"/>
    <col customWidth="1" min="4" max="4" width="9.0"/>
    <col customWidth="1" min="5" max="5" width="6.86"/>
    <col customWidth="1" min="6" max="6" width="9.0"/>
    <col customWidth="1" min="7" max="7" width="10.71"/>
    <col customWidth="1" min="8" max="8" width="9.0"/>
    <col customWidth="1" min="9" max="9" width="9.43"/>
    <col customWidth="1" min="10" max="10" width="11.86"/>
  </cols>
  <sheetData>
    <row r="1">
      <c r="A1" s="248" t="s">
        <v>1104</v>
      </c>
    </row>
    <row r="2">
      <c r="A2" s="167" t="s">
        <v>1105</v>
      </c>
      <c r="B2" s="167" t="s">
        <v>1001</v>
      </c>
      <c r="C2" s="167" t="s">
        <v>1003</v>
      </c>
      <c r="D2" s="167" t="s">
        <v>778</v>
      </c>
      <c r="E2" s="167" t="s">
        <v>1109</v>
      </c>
      <c r="F2" s="167" t="s">
        <v>1111</v>
      </c>
      <c r="G2" s="286" t="s">
        <v>37</v>
      </c>
      <c r="H2" s="167" t="s">
        <v>1115</v>
      </c>
      <c r="I2" s="167" t="s">
        <v>10</v>
      </c>
      <c r="J2" s="289" t="s">
        <v>11</v>
      </c>
    </row>
    <row r="3">
      <c r="A3" s="162">
        <v>1.0</v>
      </c>
      <c r="B3" s="294" t="s">
        <v>1119</v>
      </c>
      <c r="C3" s="136"/>
      <c r="D3" s="136"/>
      <c r="E3" s="136"/>
      <c r="F3" s="136"/>
      <c r="G3" s="136"/>
      <c r="H3" s="136"/>
      <c r="I3" s="136"/>
      <c r="J3" s="167"/>
    </row>
    <row r="4">
      <c r="A4" s="251"/>
      <c r="B4" s="297" t="s">
        <v>1122</v>
      </c>
      <c r="C4" s="167">
        <v>1.0</v>
      </c>
      <c r="D4" s="172">
        <v>2.0</v>
      </c>
      <c r="E4" s="172">
        <v>1.5</v>
      </c>
      <c r="F4" s="167"/>
      <c r="G4" s="301">
        <f>PRODUCT(C4:F4)</f>
        <v>3</v>
      </c>
      <c r="H4" s="167"/>
      <c r="I4" s="167"/>
      <c r="J4" s="167"/>
    </row>
    <row r="5">
      <c r="A5" s="140"/>
      <c r="B5" s="158" t="s">
        <v>37</v>
      </c>
      <c r="C5" s="167"/>
      <c r="D5" s="167"/>
      <c r="E5" s="167"/>
      <c r="F5" s="167"/>
      <c r="G5" s="301">
        <f>SUM(G4)</f>
        <v>3</v>
      </c>
      <c r="H5" s="167" t="s">
        <v>1133</v>
      </c>
      <c r="I5" s="172">
        <v>24.43</v>
      </c>
      <c r="J5" s="289">
        <f>G5*I5</f>
        <v>73.29</v>
      </c>
    </row>
    <row r="6">
      <c r="A6" s="162">
        <v>2.0</v>
      </c>
      <c r="B6" s="311" t="s">
        <v>1138</v>
      </c>
      <c r="C6" s="136"/>
      <c r="D6" s="136"/>
      <c r="E6" s="136"/>
      <c r="F6" s="136"/>
      <c r="G6" s="136"/>
      <c r="H6" s="136"/>
      <c r="I6" s="137"/>
      <c r="J6" s="167"/>
    </row>
    <row r="7">
      <c r="A7" s="251"/>
      <c r="B7" s="158" t="s">
        <v>1140</v>
      </c>
      <c r="C7" s="167">
        <v>1.0</v>
      </c>
      <c r="D7" s="167">
        <f>2*(1.2+0.9)</f>
        <v>4.2</v>
      </c>
      <c r="E7" s="167">
        <v>0.3</v>
      </c>
      <c r="F7" s="167">
        <v>0.3</v>
      </c>
      <c r="G7" s="301">
        <f t="shared" ref="G7:G8" si="1">PRODUCT(C7:F7)</f>
        <v>0.378</v>
      </c>
      <c r="H7" s="167"/>
      <c r="I7" s="167"/>
      <c r="J7" s="167"/>
    </row>
    <row r="8">
      <c r="A8" s="251"/>
      <c r="B8" s="158" t="s">
        <v>1143</v>
      </c>
      <c r="C8" s="167">
        <v>1.0</v>
      </c>
      <c r="D8" s="167">
        <v>0.5</v>
      </c>
      <c r="E8" s="167">
        <v>0.3</v>
      </c>
      <c r="F8" s="167">
        <v>0.2</v>
      </c>
      <c r="G8" s="301">
        <f t="shared" si="1"/>
        <v>0.03</v>
      </c>
      <c r="H8" s="167"/>
      <c r="I8" s="167"/>
      <c r="J8" s="167"/>
    </row>
    <row r="9">
      <c r="A9" s="140"/>
      <c r="B9" s="158" t="s">
        <v>37</v>
      </c>
      <c r="C9" s="167"/>
      <c r="D9" s="167"/>
      <c r="E9" s="167"/>
      <c r="F9" s="167"/>
      <c r="G9" s="301">
        <f>SUM(G7:G8)</f>
        <v>0.408</v>
      </c>
      <c r="H9" s="167" t="s">
        <v>1153</v>
      </c>
      <c r="I9" s="172">
        <v>249.04</v>
      </c>
      <c r="J9" s="289">
        <f>G9*I9</f>
        <v>101.60832</v>
      </c>
    </row>
    <row r="10">
      <c r="A10" s="162">
        <v>3.0</v>
      </c>
      <c r="B10" s="294" t="s">
        <v>1155</v>
      </c>
      <c r="C10" s="136"/>
      <c r="D10" s="136"/>
      <c r="E10" s="136"/>
      <c r="F10" s="136"/>
      <c r="G10" s="136"/>
      <c r="H10" s="136"/>
      <c r="I10" s="137"/>
      <c r="J10" s="167"/>
    </row>
    <row r="11">
      <c r="A11" s="251"/>
      <c r="B11" s="158" t="s">
        <v>1140</v>
      </c>
      <c r="C11" s="167">
        <v>1.0</v>
      </c>
      <c r="D11" s="167">
        <f t="shared" ref="D11:E11" si="2">D7</f>
        <v>4.2</v>
      </c>
      <c r="E11" s="167">
        <f t="shared" si="2"/>
        <v>0.3</v>
      </c>
      <c r="F11" s="167">
        <v>0.1</v>
      </c>
      <c r="G11" s="301">
        <f t="shared" ref="G11:G12" si="4">PRODUCT(C11:F11)</f>
        <v>0.126</v>
      </c>
      <c r="H11" s="167"/>
      <c r="I11" s="167"/>
      <c r="J11" s="167"/>
    </row>
    <row r="12">
      <c r="A12" s="251"/>
      <c r="B12" s="158" t="s">
        <v>1143</v>
      </c>
      <c r="C12" s="167">
        <v>1.0</v>
      </c>
      <c r="D12" s="167">
        <f t="shared" ref="D12:E12" si="3">D8</f>
        <v>0.5</v>
      </c>
      <c r="E12" s="167">
        <f t="shared" si="3"/>
        <v>0.3</v>
      </c>
      <c r="F12" s="167">
        <v>0.1</v>
      </c>
      <c r="G12" s="301">
        <f t="shared" si="4"/>
        <v>0.015</v>
      </c>
      <c r="H12" s="167"/>
      <c r="I12" s="167"/>
      <c r="J12" s="167"/>
    </row>
    <row r="13">
      <c r="A13" s="140"/>
      <c r="B13" s="158" t="s">
        <v>37</v>
      </c>
      <c r="C13" s="167"/>
      <c r="D13" s="167"/>
      <c r="E13" s="167"/>
      <c r="F13" s="167"/>
      <c r="G13" s="301">
        <f>SUM(G11:G12)</f>
        <v>0.141</v>
      </c>
      <c r="H13" s="167" t="s">
        <v>1162</v>
      </c>
      <c r="I13" s="172">
        <v>5491.79</v>
      </c>
      <c r="J13" s="289">
        <f>G13*I13</f>
        <v>774.34239</v>
      </c>
    </row>
    <row r="14">
      <c r="A14" s="162">
        <v>4.0</v>
      </c>
      <c r="B14" s="294" t="s">
        <v>1164</v>
      </c>
      <c r="C14" s="136"/>
      <c r="D14" s="136"/>
      <c r="E14" s="136"/>
      <c r="F14" s="136"/>
      <c r="G14" s="136"/>
      <c r="H14" s="136"/>
      <c r="I14" s="136"/>
      <c r="J14" s="167"/>
    </row>
    <row r="15">
      <c r="A15" s="251"/>
      <c r="B15" s="161" t="s">
        <v>1165</v>
      </c>
      <c r="C15" s="167">
        <v>1.0</v>
      </c>
      <c r="D15" s="167">
        <f t="shared" ref="D15:E15" si="5">D11</f>
        <v>4.2</v>
      </c>
      <c r="E15" s="167">
        <f t="shared" si="5"/>
        <v>0.3</v>
      </c>
      <c r="F15" s="167">
        <f>0.2+0.3</f>
        <v>0.5</v>
      </c>
      <c r="G15" s="301">
        <f t="shared" ref="G15:G16" si="7">PRODUCT(C15:F15)</f>
        <v>0.63</v>
      </c>
      <c r="H15" s="167"/>
      <c r="I15" s="167"/>
      <c r="J15" s="167"/>
    </row>
    <row r="16">
      <c r="A16" s="251"/>
      <c r="B16" s="158" t="s">
        <v>1143</v>
      </c>
      <c r="C16" s="167">
        <v>1.0</v>
      </c>
      <c r="D16" s="167">
        <f t="shared" ref="D16:E16" si="6">D12</f>
        <v>0.5</v>
      </c>
      <c r="E16" s="167">
        <f t="shared" si="6"/>
        <v>0.3</v>
      </c>
      <c r="F16" s="167">
        <f>0.1+0.15</f>
        <v>0.25</v>
      </c>
      <c r="G16" s="301">
        <f t="shared" si="7"/>
        <v>0.0375</v>
      </c>
      <c r="H16" s="167"/>
      <c r="I16" s="167"/>
      <c r="J16" s="167"/>
    </row>
    <row r="17">
      <c r="A17" s="140"/>
      <c r="B17" s="158" t="s">
        <v>37</v>
      </c>
      <c r="C17" s="167"/>
      <c r="D17" s="167"/>
      <c r="E17" s="167"/>
      <c r="F17" s="167"/>
      <c r="G17" s="301">
        <f>SUM(G15:G16)</f>
        <v>0.6675</v>
      </c>
      <c r="H17" s="167" t="s">
        <v>1176</v>
      </c>
      <c r="I17" s="172">
        <v>6870.79</v>
      </c>
      <c r="J17" s="289">
        <f>G17*I17</f>
        <v>4586.252325</v>
      </c>
    </row>
    <row r="18">
      <c r="A18" s="162">
        <v>5.0</v>
      </c>
      <c r="B18" s="294" t="s">
        <v>1179</v>
      </c>
      <c r="C18" s="136"/>
      <c r="D18" s="136"/>
      <c r="E18" s="136"/>
      <c r="F18" s="136"/>
      <c r="G18" s="136"/>
      <c r="H18" s="136"/>
      <c r="I18" s="136"/>
      <c r="J18" s="167"/>
    </row>
    <row r="19">
      <c r="A19" s="251"/>
      <c r="B19" s="158" t="s">
        <v>1181</v>
      </c>
      <c r="C19" s="167">
        <v>1.0</v>
      </c>
      <c r="D19" s="167">
        <f>2*(1.2+0.3+0.9+0.3)</f>
        <v>5.4</v>
      </c>
      <c r="E19" s="363"/>
      <c r="F19" s="167"/>
      <c r="G19" s="301">
        <f t="shared" ref="G19:G22" si="9">PRODUCT(C19:F19)</f>
        <v>5.4</v>
      </c>
      <c r="H19" s="167"/>
      <c r="I19" s="167"/>
      <c r="J19" s="167"/>
    </row>
    <row r="20">
      <c r="A20" s="251"/>
      <c r="B20" s="158" t="s">
        <v>1186</v>
      </c>
      <c r="C20" s="167">
        <v>1.0</v>
      </c>
      <c r="D20" s="167">
        <f t="shared" ref="D20:E20" si="8">D15</f>
        <v>4.2</v>
      </c>
      <c r="E20" s="167">
        <f t="shared" si="8"/>
        <v>0.3</v>
      </c>
      <c r="F20" s="167"/>
      <c r="G20" s="301">
        <f t="shared" si="9"/>
        <v>1.26</v>
      </c>
      <c r="H20" s="167"/>
      <c r="I20" s="167"/>
      <c r="J20" s="167"/>
    </row>
    <row r="21">
      <c r="A21" s="251"/>
      <c r="B21" s="158" t="s">
        <v>1190</v>
      </c>
      <c r="C21" s="167">
        <v>2.0</v>
      </c>
      <c r="D21" s="167"/>
      <c r="E21" s="167">
        <f>E12</f>
        <v>0.3</v>
      </c>
      <c r="F21" s="167">
        <v>0.15</v>
      </c>
      <c r="G21" s="301">
        <f t="shared" si="9"/>
        <v>0.09</v>
      </c>
      <c r="H21" s="167"/>
      <c r="I21" s="167"/>
      <c r="J21" s="167"/>
    </row>
    <row r="22">
      <c r="A22" s="251"/>
      <c r="B22" s="158" t="s">
        <v>1191</v>
      </c>
      <c r="C22" s="167">
        <v>1.0</v>
      </c>
      <c r="D22" s="167">
        <f t="shared" ref="D22:E22" si="10">D16</f>
        <v>0.5</v>
      </c>
      <c r="E22" s="167">
        <f t="shared" si="10"/>
        <v>0.3</v>
      </c>
      <c r="F22" s="167"/>
      <c r="G22" s="301">
        <f t="shared" si="9"/>
        <v>0.15</v>
      </c>
      <c r="H22" s="167"/>
      <c r="I22" s="167"/>
      <c r="J22" s="167"/>
    </row>
    <row r="23">
      <c r="A23" s="140"/>
      <c r="B23" s="158" t="s">
        <v>37</v>
      </c>
      <c r="C23" s="167"/>
      <c r="D23" s="167"/>
      <c r="E23" s="167"/>
      <c r="F23" s="167"/>
      <c r="G23" s="301">
        <f>SUM(G19:G22)</f>
        <v>6.9</v>
      </c>
      <c r="H23" s="167" t="s">
        <v>1198</v>
      </c>
      <c r="I23" s="172">
        <v>255.98</v>
      </c>
      <c r="J23" s="289">
        <f>G23*I23</f>
        <v>1766.262</v>
      </c>
    </row>
    <row r="24">
      <c r="A24" s="162">
        <v>6.0</v>
      </c>
      <c r="B24" s="370" t="s">
        <v>1202</v>
      </c>
      <c r="C24" s="136"/>
      <c r="D24" s="136"/>
      <c r="E24" s="136"/>
      <c r="F24" s="136"/>
      <c r="G24" s="136"/>
      <c r="H24" s="136"/>
      <c r="I24" s="136"/>
      <c r="J24" s="167"/>
    </row>
    <row r="25">
      <c r="A25" s="251"/>
      <c r="B25" s="371" t="s">
        <v>1207</v>
      </c>
      <c r="C25" s="167">
        <v>1.0</v>
      </c>
      <c r="D25" s="167">
        <f>1.2-E15</f>
        <v>0.9</v>
      </c>
      <c r="E25" s="167">
        <f>0.9-E15</f>
        <v>0.6</v>
      </c>
      <c r="F25" s="172">
        <v>0.27</v>
      </c>
      <c r="G25" s="301">
        <f>PRODUCT(C25:F25)</f>
        <v>0.1458</v>
      </c>
      <c r="H25" s="167"/>
      <c r="I25" s="167"/>
      <c r="J25" s="167"/>
    </row>
    <row r="26">
      <c r="A26" s="140"/>
      <c r="B26" s="158" t="s">
        <v>37</v>
      </c>
      <c r="C26" s="167"/>
      <c r="D26" s="167"/>
      <c r="E26" s="167"/>
      <c r="F26" s="167"/>
      <c r="G26" s="301">
        <f>SUM(G25)</f>
        <v>0.1458</v>
      </c>
      <c r="H26" s="167" t="s">
        <v>1219</v>
      </c>
      <c r="I26" s="172">
        <v>220.47</v>
      </c>
      <c r="J26" s="289">
        <f>G26*I26</f>
        <v>32.144526</v>
      </c>
    </row>
    <row r="27">
      <c r="A27" s="162">
        <v>7.0</v>
      </c>
      <c r="B27" s="294" t="s">
        <v>1222</v>
      </c>
      <c r="C27" s="136"/>
      <c r="D27" s="136"/>
      <c r="E27" s="136"/>
      <c r="F27" s="136"/>
      <c r="G27" s="136"/>
      <c r="H27" s="136"/>
      <c r="I27" s="136"/>
      <c r="J27" s="167"/>
    </row>
    <row r="28">
      <c r="A28" s="251"/>
      <c r="B28" s="297" t="s">
        <v>1224</v>
      </c>
      <c r="C28" s="167">
        <v>1.0</v>
      </c>
      <c r="D28" s="167">
        <f t="shared" ref="D28:E28" si="11">D25</f>
        <v>0.9</v>
      </c>
      <c r="E28" s="167">
        <f t="shared" si="11"/>
        <v>0.6</v>
      </c>
      <c r="F28" s="167"/>
      <c r="G28" s="301">
        <f>PRODUCT(C28:F28)</f>
        <v>0.54</v>
      </c>
      <c r="H28" s="167"/>
      <c r="I28" s="167"/>
      <c r="J28" s="167"/>
    </row>
    <row r="29">
      <c r="A29" s="140"/>
      <c r="B29" s="158" t="s">
        <v>37</v>
      </c>
      <c r="C29" s="167"/>
      <c r="D29" s="167"/>
      <c r="E29" s="167"/>
      <c r="F29" s="167"/>
      <c r="G29" s="301">
        <f>SUM(G27:G28)</f>
        <v>0.54</v>
      </c>
      <c r="H29" s="167" t="s">
        <v>1229</v>
      </c>
      <c r="I29" s="172">
        <v>473.11</v>
      </c>
      <c r="J29" s="289">
        <f>G29*I29</f>
        <v>255.4794</v>
      </c>
    </row>
    <row r="30">
      <c r="A30" s="162">
        <v>8.0</v>
      </c>
      <c r="B30" s="370" t="s">
        <v>1123</v>
      </c>
      <c r="C30" s="136"/>
      <c r="D30" s="136"/>
      <c r="E30" s="136"/>
      <c r="F30" s="136"/>
      <c r="G30" s="136"/>
      <c r="H30" s="136"/>
      <c r="I30" s="136"/>
      <c r="J30" s="167"/>
    </row>
    <row r="31">
      <c r="A31" s="251"/>
      <c r="B31" s="158" t="s">
        <v>1232</v>
      </c>
      <c r="C31" s="167" t="s">
        <v>1003</v>
      </c>
      <c r="D31" s="167" t="s">
        <v>778</v>
      </c>
      <c r="E31" s="167" t="s">
        <v>1233</v>
      </c>
      <c r="F31" s="167" t="s">
        <v>1090</v>
      </c>
      <c r="G31" s="167" t="s">
        <v>8</v>
      </c>
      <c r="H31" s="167" t="s">
        <v>1236</v>
      </c>
      <c r="I31" s="167" t="s">
        <v>10</v>
      </c>
      <c r="J31" s="167"/>
    </row>
    <row r="32">
      <c r="A32" s="251"/>
      <c r="B32" s="158" t="s">
        <v>1237</v>
      </c>
      <c r="C32" s="167">
        <v>2.0</v>
      </c>
      <c r="D32" s="167">
        <v>2.1</v>
      </c>
      <c r="E32" s="167">
        <f t="shared" ref="E32:E37" si="12">C32*D32</f>
        <v>4.2</v>
      </c>
      <c r="F32" s="167"/>
      <c r="G32" s="286"/>
      <c r="H32" s="167"/>
      <c r="I32" s="167"/>
      <c r="J32" s="167"/>
    </row>
    <row r="33">
      <c r="A33" s="251"/>
      <c r="B33" s="158" t="s">
        <v>1240</v>
      </c>
      <c r="C33" s="167">
        <v>2.0</v>
      </c>
      <c r="D33" s="167">
        <v>2.3</v>
      </c>
      <c r="E33" s="167">
        <f t="shared" si="12"/>
        <v>4.6</v>
      </c>
      <c r="F33" s="167"/>
      <c r="G33" s="286"/>
      <c r="H33" s="167"/>
      <c r="I33" s="167"/>
      <c r="J33" s="167"/>
    </row>
    <row r="34">
      <c r="A34" s="251"/>
      <c r="B34" s="158" t="s">
        <v>1242</v>
      </c>
      <c r="C34" s="167">
        <v>2.0</v>
      </c>
      <c r="D34" s="167">
        <v>1.2</v>
      </c>
      <c r="E34" s="167">
        <f t="shared" si="12"/>
        <v>2.4</v>
      </c>
      <c r="F34" s="167"/>
      <c r="G34" s="286"/>
      <c r="H34" s="167"/>
      <c r="I34" s="167"/>
      <c r="J34" s="167"/>
    </row>
    <row r="35">
      <c r="A35" s="251"/>
      <c r="B35" s="158" t="s">
        <v>1244</v>
      </c>
      <c r="C35" s="167">
        <v>2.0</v>
      </c>
      <c r="D35" s="167">
        <v>0.9</v>
      </c>
      <c r="E35" s="167">
        <f t="shared" si="12"/>
        <v>1.8</v>
      </c>
      <c r="F35" s="167"/>
      <c r="G35" s="286"/>
      <c r="H35" s="167"/>
      <c r="I35" s="167"/>
      <c r="J35" s="167"/>
    </row>
    <row r="36">
      <c r="A36" s="251"/>
      <c r="B36" s="158" t="s">
        <v>1246</v>
      </c>
      <c r="C36" s="167">
        <v>2.0</v>
      </c>
      <c r="D36" s="167">
        <v>1.8</v>
      </c>
      <c r="E36" s="167">
        <f t="shared" si="12"/>
        <v>3.6</v>
      </c>
      <c r="F36" s="167"/>
      <c r="G36" s="286"/>
      <c r="H36" s="167"/>
      <c r="I36" s="167"/>
      <c r="J36" s="167"/>
    </row>
    <row r="37">
      <c r="A37" s="251"/>
      <c r="B37" s="158" t="s">
        <v>1248</v>
      </c>
      <c r="C37" s="167">
        <v>2.0</v>
      </c>
      <c r="D37" s="167">
        <v>0.6</v>
      </c>
      <c r="E37" s="167">
        <f t="shared" si="12"/>
        <v>1.2</v>
      </c>
      <c r="F37" s="167"/>
      <c r="G37" s="286"/>
      <c r="H37" s="167"/>
      <c r="I37" s="167"/>
      <c r="J37" s="167"/>
    </row>
    <row r="38">
      <c r="A38" s="251"/>
      <c r="B38" s="158" t="s">
        <v>1250</v>
      </c>
      <c r="C38" s="167"/>
      <c r="D38" s="167"/>
      <c r="E38" s="167">
        <f>SUM(E32:E37)</f>
        <v>17.8</v>
      </c>
      <c r="F38" s="167">
        <v>2.6</v>
      </c>
      <c r="G38" s="167" t="s">
        <v>1094</v>
      </c>
      <c r="H38" s="167">
        <f>E38*F38</f>
        <v>46.28</v>
      </c>
      <c r="I38" s="375">
        <v>80.78</v>
      </c>
      <c r="J38" s="289">
        <f>H38*I38</f>
        <v>3738.4984</v>
      </c>
    </row>
    <row r="39">
      <c r="A39" s="251"/>
      <c r="B39" s="158" t="s">
        <v>1254</v>
      </c>
      <c r="C39" s="167"/>
      <c r="D39" s="167"/>
      <c r="E39" s="167"/>
      <c r="F39" s="167"/>
      <c r="G39" s="286"/>
      <c r="H39" s="167"/>
      <c r="I39" s="167"/>
      <c r="J39" s="167"/>
    </row>
    <row r="40">
      <c r="A40" s="251"/>
      <c r="B40" s="158" t="s">
        <v>1257</v>
      </c>
      <c r="C40" s="167">
        <v>2.0</v>
      </c>
      <c r="D40" s="167">
        <v>2.3</v>
      </c>
      <c r="E40" s="167">
        <f t="shared" ref="E40:E49" si="13">C40*D40</f>
        <v>4.6</v>
      </c>
      <c r="F40" s="167"/>
      <c r="G40" s="286"/>
      <c r="H40" s="167"/>
      <c r="I40" s="167"/>
      <c r="J40" s="167"/>
    </row>
    <row r="41">
      <c r="A41" s="251"/>
      <c r="B41" s="158" t="s">
        <v>1259</v>
      </c>
      <c r="C41" s="167">
        <v>2.0</v>
      </c>
      <c r="D41" s="167">
        <v>1.2</v>
      </c>
      <c r="E41" s="167">
        <f t="shared" si="13"/>
        <v>2.4</v>
      </c>
      <c r="F41" s="167"/>
      <c r="G41" s="286"/>
      <c r="H41" s="167"/>
      <c r="I41" s="167"/>
      <c r="J41" s="167"/>
    </row>
    <row r="42">
      <c r="A42" s="251"/>
      <c r="B42" s="158" t="s">
        <v>1261</v>
      </c>
      <c r="C42" s="167">
        <v>1.0</v>
      </c>
      <c r="D42" s="167">
        <v>2.1</v>
      </c>
      <c r="E42" s="167">
        <f t="shared" si="13"/>
        <v>2.1</v>
      </c>
      <c r="F42" s="167"/>
      <c r="G42" s="286"/>
      <c r="H42" s="167"/>
      <c r="I42" s="167"/>
      <c r="J42" s="167"/>
    </row>
    <row r="43">
      <c r="A43" s="251"/>
      <c r="B43" s="158" t="s">
        <v>1262</v>
      </c>
      <c r="C43" s="167">
        <v>2.0</v>
      </c>
      <c r="D43" s="167">
        <v>0.6</v>
      </c>
      <c r="E43" s="167">
        <f t="shared" si="13"/>
        <v>1.2</v>
      </c>
      <c r="F43" s="167"/>
      <c r="G43" s="286"/>
      <c r="H43" s="167"/>
      <c r="I43" s="167"/>
      <c r="J43" s="167"/>
    </row>
    <row r="44">
      <c r="A44" s="251"/>
      <c r="B44" s="158" t="s">
        <v>1263</v>
      </c>
      <c r="C44" s="167">
        <v>2.0</v>
      </c>
      <c r="D44" s="167">
        <v>2.2</v>
      </c>
      <c r="E44" s="167">
        <f t="shared" si="13"/>
        <v>4.4</v>
      </c>
      <c r="F44" s="167"/>
      <c r="G44" s="286"/>
      <c r="H44" s="167"/>
      <c r="I44" s="167"/>
      <c r="J44" s="167"/>
    </row>
    <row r="45">
      <c r="A45" s="251"/>
      <c r="B45" s="158" t="s">
        <v>1264</v>
      </c>
      <c r="C45" s="167">
        <v>4.0</v>
      </c>
      <c r="D45" s="167">
        <v>0.9</v>
      </c>
      <c r="E45" s="167">
        <f t="shared" si="13"/>
        <v>3.6</v>
      </c>
      <c r="F45" s="167"/>
      <c r="G45" s="286"/>
      <c r="H45" s="167"/>
      <c r="I45" s="167"/>
      <c r="J45" s="167"/>
    </row>
    <row r="46">
      <c r="A46" s="251"/>
      <c r="B46" s="158" t="s">
        <v>1246</v>
      </c>
      <c r="C46" s="167">
        <v>1.0</v>
      </c>
      <c r="D46" s="167">
        <v>1.8</v>
      </c>
      <c r="E46" s="167">
        <f t="shared" si="13"/>
        <v>1.8</v>
      </c>
      <c r="F46" s="167"/>
      <c r="G46" s="286"/>
      <c r="H46" s="167"/>
      <c r="I46" s="167"/>
      <c r="J46" s="167"/>
    </row>
    <row r="47">
      <c r="A47" s="251"/>
      <c r="B47" s="158" t="s">
        <v>1248</v>
      </c>
      <c r="C47" s="167">
        <v>2.0</v>
      </c>
      <c r="D47" s="167">
        <v>0.6</v>
      </c>
      <c r="E47" s="167">
        <f t="shared" si="13"/>
        <v>1.2</v>
      </c>
      <c r="F47" s="167"/>
      <c r="G47" s="286"/>
      <c r="H47" s="167"/>
      <c r="I47" s="167"/>
      <c r="J47" s="167"/>
    </row>
    <row r="48">
      <c r="A48" s="251"/>
      <c r="B48" s="158" t="s">
        <v>1266</v>
      </c>
      <c r="C48" s="167">
        <v>2.0</v>
      </c>
      <c r="D48" s="167">
        <v>1.2</v>
      </c>
      <c r="E48" s="167">
        <f t="shared" si="13"/>
        <v>2.4</v>
      </c>
      <c r="F48" s="167"/>
      <c r="G48" s="286"/>
      <c r="H48" s="167"/>
      <c r="I48" s="167"/>
      <c r="J48" s="167"/>
    </row>
    <row r="49">
      <c r="A49" s="251"/>
      <c r="B49" s="158"/>
      <c r="C49" s="167">
        <v>1.0</v>
      </c>
      <c r="D49" s="167">
        <v>0.9</v>
      </c>
      <c r="E49" s="167">
        <f t="shared" si="13"/>
        <v>0.9</v>
      </c>
      <c r="F49" s="167"/>
      <c r="G49" s="286"/>
      <c r="H49" s="167"/>
      <c r="I49" s="167"/>
      <c r="J49" s="167"/>
    </row>
    <row r="50">
      <c r="A50" s="140"/>
      <c r="B50" s="158" t="s">
        <v>1250</v>
      </c>
      <c r="C50" s="167"/>
      <c r="D50" s="167"/>
      <c r="E50" s="167">
        <f>SUM(E40:E49)</f>
        <v>24.6</v>
      </c>
      <c r="F50" s="167">
        <v>1.68</v>
      </c>
      <c r="G50" s="167" t="s">
        <v>1094</v>
      </c>
      <c r="H50" s="289">
        <f>E50*F50</f>
        <v>41.328</v>
      </c>
      <c r="I50" s="375">
        <v>80.78</v>
      </c>
      <c r="J50" s="289">
        <f>H50*I50</f>
        <v>3338.47584</v>
      </c>
    </row>
    <row r="51">
      <c r="A51" s="162">
        <v>9.0</v>
      </c>
      <c r="B51" s="294" t="s">
        <v>1271</v>
      </c>
      <c r="C51" s="136"/>
      <c r="D51" s="136"/>
      <c r="E51" s="136"/>
      <c r="F51" s="136"/>
      <c r="G51" s="136"/>
      <c r="H51" s="136"/>
      <c r="I51" s="136"/>
      <c r="J51" s="167"/>
    </row>
    <row r="52">
      <c r="A52" s="251"/>
      <c r="B52" s="161" t="s">
        <v>1272</v>
      </c>
      <c r="C52" s="167" t="s">
        <v>778</v>
      </c>
      <c r="D52" s="167" t="s">
        <v>1109</v>
      </c>
      <c r="E52" s="167"/>
      <c r="F52" s="167"/>
      <c r="G52" s="167"/>
      <c r="H52" s="167"/>
      <c r="I52" s="286"/>
      <c r="J52" s="167"/>
    </row>
    <row r="53">
      <c r="A53" s="251"/>
      <c r="B53" s="158" t="s">
        <v>1274</v>
      </c>
      <c r="C53" s="167">
        <v>1.2</v>
      </c>
      <c r="D53" s="167">
        <v>2.0</v>
      </c>
      <c r="E53" s="167">
        <f t="shared" ref="E53:E56" si="14">C53*D53</f>
        <v>2.4</v>
      </c>
      <c r="F53" s="167"/>
      <c r="G53" s="167"/>
      <c r="H53" s="167"/>
      <c r="I53" s="286"/>
      <c r="J53" s="167"/>
    </row>
    <row r="54">
      <c r="A54" s="251"/>
      <c r="B54" s="158" t="s">
        <v>1276</v>
      </c>
      <c r="C54" s="167">
        <v>1.2</v>
      </c>
      <c r="D54" s="167">
        <v>1.8</v>
      </c>
      <c r="E54" s="167">
        <f t="shared" si="14"/>
        <v>2.16</v>
      </c>
      <c r="F54" s="167"/>
      <c r="G54" s="286"/>
      <c r="H54" s="167"/>
      <c r="I54" s="167"/>
      <c r="J54" s="167"/>
    </row>
    <row r="55">
      <c r="A55" s="251"/>
      <c r="B55" s="158" t="s">
        <v>1278</v>
      </c>
      <c r="C55" s="167">
        <v>1.8</v>
      </c>
      <c r="D55" s="167">
        <v>1.9</v>
      </c>
      <c r="E55" s="167">
        <f t="shared" si="14"/>
        <v>3.42</v>
      </c>
      <c r="F55" s="167"/>
      <c r="G55" s="286"/>
      <c r="H55" s="167"/>
      <c r="I55" s="167"/>
      <c r="J55" s="167"/>
    </row>
    <row r="56">
      <c r="A56" s="251"/>
      <c r="B56" s="158" t="s">
        <v>1279</v>
      </c>
      <c r="C56" s="167">
        <v>1.6</v>
      </c>
      <c r="D56" s="167">
        <v>1.3</v>
      </c>
      <c r="E56" s="167">
        <f t="shared" si="14"/>
        <v>2.08</v>
      </c>
      <c r="F56" s="167"/>
      <c r="G56" s="286"/>
      <c r="H56" s="167"/>
      <c r="I56" s="167"/>
      <c r="J56" s="167"/>
    </row>
    <row r="57">
      <c r="A57" s="251"/>
      <c r="B57" s="158" t="s">
        <v>1282</v>
      </c>
      <c r="C57" s="167"/>
      <c r="D57" s="167"/>
      <c r="E57" s="167">
        <f>SUM(E53:E56)</f>
        <v>10.06</v>
      </c>
      <c r="F57" s="167">
        <v>6.3</v>
      </c>
      <c r="G57" s="167" t="s">
        <v>1284</v>
      </c>
      <c r="H57" s="289">
        <f>E57*F57</f>
        <v>63.378</v>
      </c>
      <c r="I57" s="167"/>
      <c r="J57" s="167"/>
    </row>
    <row r="58">
      <c r="A58" s="140"/>
      <c r="B58" s="158" t="s">
        <v>37</v>
      </c>
      <c r="C58" s="167"/>
      <c r="D58" s="167"/>
      <c r="E58" s="167"/>
      <c r="F58" s="167"/>
      <c r="G58" s="286">
        <v>63.38</v>
      </c>
      <c r="H58" s="167" t="s">
        <v>759</v>
      </c>
      <c r="I58" s="375">
        <f>'GI Works'!F29</f>
        <v>151.039957</v>
      </c>
      <c r="J58" s="289">
        <f t="shared" ref="J58:J60" si="15">G58*I58</f>
        <v>9572.912476</v>
      </c>
    </row>
    <row r="59">
      <c r="A59" s="167">
        <v>10.0</v>
      </c>
      <c r="B59" s="156" t="s">
        <v>1288</v>
      </c>
      <c r="C59" s="167"/>
      <c r="D59" s="167"/>
      <c r="E59" s="167"/>
      <c r="F59" s="167"/>
      <c r="G59" s="172">
        <v>1.0</v>
      </c>
      <c r="H59" s="172" t="s">
        <v>934</v>
      </c>
      <c r="I59" s="172">
        <v>222.08</v>
      </c>
      <c r="J59" s="167">
        <f t="shared" si="15"/>
        <v>222.08</v>
      </c>
    </row>
    <row r="60">
      <c r="A60" s="167">
        <v>11.0</v>
      </c>
      <c r="B60" s="161" t="s">
        <v>1289</v>
      </c>
      <c r="C60" s="167"/>
      <c r="D60" s="167"/>
      <c r="E60" s="167"/>
      <c r="F60" s="167"/>
      <c r="G60" s="167">
        <v>3.0</v>
      </c>
      <c r="H60" s="167" t="s">
        <v>934</v>
      </c>
      <c r="I60" s="172">
        <v>128.23</v>
      </c>
      <c r="J60" s="289">
        <f t="shared" si="15"/>
        <v>384.69</v>
      </c>
    </row>
    <row r="61">
      <c r="A61" s="172">
        <v>12.0</v>
      </c>
      <c r="B61" s="311" t="s">
        <v>1290</v>
      </c>
      <c r="C61" s="136"/>
      <c r="D61" s="136"/>
      <c r="E61" s="136"/>
      <c r="F61" s="136"/>
      <c r="G61" s="136"/>
      <c r="H61" s="136"/>
      <c r="I61" s="137"/>
      <c r="J61" s="172">
        <v>1153.96</v>
      </c>
    </row>
    <row r="62">
      <c r="A62" s="172">
        <v>13.0</v>
      </c>
      <c r="B62" s="378" t="s">
        <v>42</v>
      </c>
      <c r="C62" s="136"/>
      <c r="D62" s="136"/>
      <c r="E62" s="136"/>
      <c r="F62" s="136"/>
      <c r="G62" s="136"/>
      <c r="H62" s="136"/>
      <c r="I62" s="137"/>
      <c r="J62" s="379">
        <f>SUM(J5:J61)</f>
        <v>25999.99568</v>
      </c>
    </row>
    <row r="63" ht="22.5" customHeight="1">
      <c r="A63" s="172">
        <v>14.0</v>
      </c>
      <c r="B63" s="192" t="s">
        <v>1293</v>
      </c>
      <c r="C63" s="136"/>
      <c r="D63" s="136"/>
      <c r="E63" s="136"/>
      <c r="F63" s="136"/>
      <c r="G63" s="136"/>
      <c r="H63" s="136"/>
      <c r="I63" s="136"/>
      <c r="J63" s="137"/>
    </row>
  </sheetData>
  <mergeCells count="22">
    <mergeCell ref="A1:J1"/>
    <mergeCell ref="A3:A5"/>
    <mergeCell ref="B3:I3"/>
    <mergeCell ref="A6:A9"/>
    <mergeCell ref="B6:I6"/>
    <mergeCell ref="A10:A13"/>
    <mergeCell ref="B10:I10"/>
    <mergeCell ref="A27:A29"/>
    <mergeCell ref="A30:A50"/>
    <mergeCell ref="A51:A58"/>
    <mergeCell ref="B30:I30"/>
    <mergeCell ref="B51:I51"/>
    <mergeCell ref="B61:I61"/>
    <mergeCell ref="B62:I62"/>
    <mergeCell ref="B63:J63"/>
    <mergeCell ref="A14:A17"/>
    <mergeCell ref="B14:I14"/>
    <mergeCell ref="A18:A23"/>
    <mergeCell ref="B18:I18"/>
    <mergeCell ref="A24:A26"/>
    <mergeCell ref="B24:I24"/>
    <mergeCell ref="B27:I27"/>
  </mergeCells>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hidden="1" min="8" max="9" width="14.43"/>
  </cols>
  <sheetData>
    <row r="1">
      <c r="A1" s="331" t="s">
        <v>742</v>
      </c>
      <c r="B1" s="331" t="s">
        <v>745</v>
      </c>
      <c r="C1" s="332" t="s">
        <v>6</v>
      </c>
      <c r="D1" s="2"/>
      <c r="E1" s="3"/>
      <c r="F1" s="332" t="s">
        <v>746</v>
      </c>
      <c r="G1" s="3"/>
      <c r="H1" s="333"/>
      <c r="I1" s="333"/>
    </row>
    <row r="2">
      <c r="A2" s="20"/>
      <c r="B2" s="20"/>
      <c r="C2" s="334" t="s">
        <v>8</v>
      </c>
      <c r="D2" s="334" t="s">
        <v>9</v>
      </c>
      <c r="E2" s="334" t="s">
        <v>358</v>
      </c>
      <c r="F2" s="334" t="s">
        <v>11</v>
      </c>
      <c r="G2" s="334" t="s">
        <v>751</v>
      </c>
      <c r="H2" s="333"/>
      <c r="I2" s="333"/>
    </row>
    <row r="3">
      <c r="A3" s="337" t="s">
        <v>1166</v>
      </c>
      <c r="B3" s="2"/>
      <c r="C3" s="2"/>
      <c r="D3" s="2"/>
      <c r="E3" s="2"/>
      <c r="F3" s="2"/>
      <c r="G3" s="3"/>
      <c r="H3" s="333"/>
      <c r="I3" s="333"/>
    </row>
    <row r="4">
      <c r="A4" s="339"/>
      <c r="B4" s="339" t="s">
        <v>754</v>
      </c>
      <c r="C4" s="339" t="s">
        <v>43</v>
      </c>
      <c r="D4" s="339" t="s">
        <v>757</v>
      </c>
      <c r="E4" s="339">
        <v>1.0</v>
      </c>
      <c r="F4" s="339"/>
      <c r="G4" s="339"/>
      <c r="H4" s="333"/>
      <c r="I4" s="333"/>
    </row>
    <row r="5">
      <c r="A5" s="339" t="s">
        <v>761</v>
      </c>
      <c r="B5" s="341" t="s">
        <v>1169</v>
      </c>
      <c r="C5" s="2"/>
      <c r="D5" s="2"/>
      <c r="E5" s="2"/>
      <c r="F5" s="2"/>
      <c r="G5" s="3"/>
      <c r="H5" s="333"/>
      <c r="I5" s="333"/>
    </row>
    <row r="6">
      <c r="A6" s="341" t="s">
        <v>1170</v>
      </c>
      <c r="B6" s="2"/>
      <c r="C6" s="2"/>
      <c r="D6" s="2"/>
      <c r="E6" s="2"/>
      <c r="F6" s="2"/>
      <c r="G6" s="3"/>
      <c r="H6" s="333"/>
      <c r="I6" s="333"/>
    </row>
    <row r="7">
      <c r="A7" s="344"/>
      <c r="B7" s="346" t="s">
        <v>1111</v>
      </c>
      <c r="C7" s="348" t="s">
        <v>1172</v>
      </c>
      <c r="D7" s="2"/>
      <c r="E7" s="3"/>
      <c r="F7" s="349"/>
      <c r="G7" s="3"/>
      <c r="H7" s="333"/>
      <c r="I7" s="333"/>
    </row>
    <row r="8">
      <c r="A8" s="20"/>
      <c r="B8" s="20"/>
      <c r="C8" s="351" t="s">
        <v>43</v>
      </c>
      <c r="D8" s="351">
        <v>1.0</v>
      </c>
      <c r="E8" s="351">
        <v>1850.0</v>
      </c>
      <c r="F8" s="351">
        <f>D8*E8</f>
        <v>1850</v>
      </c>
      <c r="G8" s="351" t="s">
        <v>772</v>
      </c>
      <c r="H8" s="333"/>
      <c r="I8" s="333"/>
    </row>
    <row r="9">
      <c r="A9" s="344"/>
      <c r="B9" s="346" t="s">
        <v>1174</v>
      </c>
      <c r="C9" s="348" t="s">
        <v>1175</v>
      </c>
      <c r="D9" s="2"/>
      <c r="E9" s="3"/>
      <c r="F9" s="349"/>
      <c r="G9" s="3"/>
      <c r="H9" s="333"/>
      <c r="I9" s="333"/>
    </row>
    <row r="10">
      <c r="A10" s="20"/>
      <c r="B10" s="20"/>
      <c r="C10" s="351" t="s">
        <v>27</v>
      </c>
      <c r="D10" s="351">
        <v>0.01</v>
      </c>
      <c r="E10" s="351">
        <v>675.0</v>
      </c>
      <c r="F10" s="351">
        <f>D10*E10</f>
        <v>6.75</v>
      </c>
      <c r="G10" s="351" t="s">
        <v>782</v>
      </c>
      <c r="H10" s="333"/>
      <c r="I10" s="333"/>
    </row>
    <row r="11">
      <c r="A11" s="346" t="s">
        <v>1178</v>
      </c>
      <c r="B11" s="344"/>
      <c r="C11" s="357" t="s">
        <v>1180</v>
      </c>
      <c r="D11" s="2"/>
      <c r="E11" s="3"/>
      <c r="F11" s="349"/>
      <c r="G11" s="3"/>
      <c r="H11" s="333"/>
      <c r="I11" s="333"/>
    </row>
    <row r="12">
      <c r="A12" s="20"/>
      <c r="B12" s="20"/>
      <c r="C12" s="351" t="s">
        <v>904</v>
      </c>
      <c r="D12" s="359"/>
      <c r="E12" s="359"/>
      <c r="F12" s="351">
        <f>(F8+F10)*0.5%</f>
        <v>9.28375</v>
      </c>
      <c r="G12" s="351" t="s">
        <v>1183</v>
      </c>
      <c r="H12" s="333"/>
      <c r="I12" s="333"/>
    </row>
    <row r="13">
      <c r="A13" s="341" t="s">
        <v>42</v>
      </c>
      <c r="B13" s="2"/>
      <c r="C13" s="3"/>
      <c r="D13" s="362">
        <v>1.0</v>
      </c>
      <c r="E13" s="362" t="s">
        <v>43</v>
      </c>
      <c r="F13" s="362">
        <f>F8+F10+F12</f>
        <v>1866.03375</v>
      </c>
      <c r="G13" s="339"/>
      <c r="H13" s="333"/>
      <c r="I13" s="333"/>
    </row>
    <row r="14">
      <c r="A14" s="341" t="s">
        <v>800</v>
      </c>
      <c r="B14" s="2"/>
      <c r="C14" s="3"/>
      <c r="D14" s="362">
        <v>1.0</v>
      </c>
      <c r="E14" s="362" t="s">
        <v>43</v>
      </c>
      <c r="F14" s="362">
        <f>F13/D13</f>
        <v>1866.03375</v>
      </c>
      <c r="G14" s="339"/>
      <c r="H14" s="333"/>
      <c r="I14" s="333"/>
    </row>
    <row r="15">
      <c r="A15" s="341" t="s">
        <v>1187</v>
      </c>
      <c r="B15" s="2"/>
      <c r="C15" s="2"/>
      <c r="D15" s="3"/>
      <c r="E15" s="366">
        <f>F8*100.5%/D13</f>
        <v>1859.25</v>
      </c>
      <c r="F15" s="362">
        <f>E15*1%</f>
        <v>18.5925</v>
      </c>
      <c r="G15" s="339"/>
      <c r="H15" s="333"/>
      <c r="I15" s="333"/>
    </row>
    <row r="16">
      <c r="A16" s="341" t="s">
        <v>42</v>
      </c>
      <c r="B16" s="2"/>
      <c r="C16" s="2"/>
      <c r="D16" s="3"/>
      <c r="E16" s="339"/>
      <c r="F16" s="362">
        <f>F14+F15</f>
        <v>1884.62625</v>
      </c>
      <c r="G16" s="339"/>
      <c r="H16" s="333"/>
      <c r="I16" s="333"/>
    </row>
    <row r="17">
      <c r="A17" s="341" t="s">
        <v>806</v>
      </c>
      <c r="B17" s="2"/>
      <c r="C17" s="2"/>
      <c r="D17" s="3"/>
      <c r="E17" s="362">
        <f>F16</f>
        <v>1884.62625</v>
      </c>
      <c r="F17" s="362">
        <f>E17*15%</f>
        <v>282.6939375</v>
      </c>
      <c r="G17" s="339"/>
      <c r="H17" s="333"/>
      <c r="I17" s="333"/>
    </row>
    <row r="18">
      <c r="A18" s="367" t="s">
        <v>42</v>
      </c>
      <c r="B18" s="2"/>
      <c r="C18" s="2"/>
      <c r="D18" s="3"/>
      <c r="E18" s="368"/>
      <c r="F18" s="369">
        <f>round(F16+F17,2)</f>
        <v>2167.32</v>
      </c>
      <c r="G18" s="339"/>
      <c r="H18" s="333"/>
      <c r="I18" s="333"/>
    </row>
    <row r="19">
      <c r="A19" s="344">
        <v>2852.0</v>
      </c>
      <c r="B19" s="346"/>
      <c r="C19" s="348" t="s">
        <v>1201</v>
      </c>
      <c r="D19" s="2"/>
      <c r="E19" s="3"/>
      <c r="F19" s="349"/>
      <c r="G19" s="3"/>
      <c r="H19" s="333"/>
      <c r="I19" s="333"/>
    </row>
    <row r="20">
      <c r="A20" s="20"/>
      <c r="B20" s="20"/>
      <c r="C20" s="351" t="s">
        <v>43</v>
      </c>
      <c r="D20" s="351">
        <v>4.0</v>
      </c>
      <c r="E20" s="351">
        <v>1.8</v>
      </c>
      <c r="F20" s="351">
        <f>D20*E20</f>
        <v>7.2</v>
      </c>
      <c r="G20" s="351" t="s">
        <v>1204</v>
      </c>
      <c r="H20" s="333"/>
      <c r="I20" s="333"/>
    </row>
    <row r="21">
      <c r="A21" s="344">
        <v>1005.0</v>
      </c>
      <c r="B21" s="346"/>
      <c r="C21" s="348" t="s">
        <v>1208</v>
      </c>
      <c r="D21" s="2"/>
      <c r="E21" s="3"/>
      <c r="F21" s="349"/>
      <c r="G21" s="3"/>
      <c r="H21" s="333"/>
      <c r="I21" s="333"/>
    </row>
    <row r="22">
      <c r="A22" s="20"/>
      <c r="B22" s="20"/>
      <c r="C22" s="351" t="s">
        <v>27</v>
      </c>
      <c r="D22" s="351">
        <v>0.01</v>
      </c>
      <c r="E22" s="351">
        <v>734.0</v>
      </c>
      <c r="F22" s="351">
        <f>D22*E22</f>
        <v>7.34</v>
      </c>
      <c r="G22" s="351" t="s">
        <v>780</v>
      </c>
      <c r="H22" s="333"/>
      <c r="I22" s="333"/>
    </row>
    <row r="23">
      <c r="A23" s="346" t="s">
        <v>1178</v>
      </c>
      <c r="B23" s="344"/>
      <c r="C23" s="357" t="s">
        <v>1211</v>
      </c>
      <c r="D23" s="2"/>
      <c r="E23" s="3"/>
      <c r="F23" s="349"/>
      <c r="G23" s="3"/>
      <c r="H23" s="333"/>
      <c r="I23" s="333"/>
    </row>
    <row r="24">
      <c r="A24" s="20"/>
      <c r="B24" s="20"/>
      <c r="C24" s="351" t="s">
        <v>904</v>
      </c>
      <c r="D24" s="359"/>
      <c r="E24" s="359"/>
      <c r="F24" s="351">
        <f>(F20+F22)*0.5%</f>
        <v>0.0727</v>
      </c>
      <c r="G24" s="351" t="s">
        <v>1215</v>
      </c>
      <c r="H24" s="333"/>
      <c r="I24" s="333"/>
    </row>
    <row r="25">
      <c r="A25" s="341" t="s">
        <v>42</v>
      </c>
      <c r="B25" s="2"/>
      <c r="C25" s="3"/>
      <c r="D25" s="362">
        <v>1.0</v>
      </c>
      <c r="E25" s="362" t="s">
        <v>43</v>
      </c>
      <c r="F25" s="362">
        <f>F20+F22+F24</f>
        <v>14.6127</v>
      </c>
      <c r="G25" s="368"/>
      <c r="H25" s="333"/>
      <c r="I25" s="333"/>
    </row>
    <row r="26">
      <c r="A26" s="341" t="s">
        <v>800</v>
      </c>
      <c r="B26" s="2"/>
      <c r="C26" s="3"/>
      <c r="D26" s="362">
        <v>1.0</v>
      </c>
      <c r="E26" s="362" t="s">
        <v>43</v>
      </c>
      <c r="F26" s="362">
        <f>F25/D25</f>
        <v>14.6127</v>
      </c>
      <c r="G26" s="368"/>
      <c r="H26" s="333"/>
      <c r="I26" s="333"/>
    </row>
    <row r="27">
      <c r="A27" s="341" t="s">
        <v>1187</v>
      </c>
      <c r="B27" s="2"/>
      <c r="C27" s="2"/>
      <c r="D27" s="3"/>
      <c r="E27" s="366">
        <f>F20*100.5%/D25</f>
        <v>7.236</v>
      </c>
      <c r="F27" s="362">
        <f>E27*1%</f>
        <v>0.07236</v>
      </c>
      <c r="G27" s="368"/>
      <c r="H27" s="333"/>
      <c r="I27" s="333"/>
    </row>
    <row r="28">
      <c r="A28" s="341" t="s">
        <v>42</v>
      </c>
      <c r="B28" s="2"/>
      <c r="C28" s="2"/>
      <c r="D28" s="3"/>
      <c r="E28" s="339"/>
      <c r="F28" s="362">
        <f>F26+F27</f>
        <v>14.68506</v>
      </c>
      <c r="G28" s="368"/>
      <c r="H28" s="333"/>
      <c r="I28" s="333"/>
    </row>
    <row r="29">
      <c r="A29" s="341" t="s">
        <v>806</v>
      </c>
      <c r="B29" s="2"/>
      <c r="C29" s="2"/>
      <c r="D29" s="3"/>
      <c r="E29" s="362">
        <f>F28</f>
        <v>14.68506</v>
      </c>
      <c r="F29" s="362">
        <f>E29*15%</f>
        <v>2.202759</v>
      </c>
      <c r="G29" s="368"/>
      <c r="H29" s="333"/>
      <c r="I29" s="333"/>
    </row>
    <row r="30">
      <c r="A30" s="367" t="s">
        <v>42</v>
      </c>
      <c r="B30" s="2"/>
      <c r="C30" s="2"/>
      <c r="D30" s="3"/>
      <c r="E30" s="368"/>
      <c r="F30" s="369">
        <f>round(F28+F29,2)</f>
        <v>16.89</v>
      </c>
      <c r="G30" s="339"/>
      <c r="H30" s="333"/>
      <c r="I30" s="333"/>
    </row>
    <row r="31">
      <c r="A31" s="372" t="str">
        <f>CONCATENATE("Say ₹ ",F18," + ",F30," x Cost Index")                                           </f>
        <v>Say ₹ 2167.32 + 16.89 x Cost Index</v>
      </c>
      <c r="B31" s="2"/>
      <c r="C31" s="2"/>
      <c r="D31" s="2"/>
      <c r="E31" s="2"/>
      <c r="F31" s="3"/>
      <c r="G31" s="373" t="s">
        <v>948</v>
      </c>
      <c r="H31" s="374">
        <f>((F8*1.005*1.01)+(F10*1.005))*1.15</f>
        <v>2167.320188</v>
      </c>
      <c r="I31" s="374">
        <f>((F20*1.005*1.01)+(F22*1.005))*1.15</f>
        <v>16.887819</v>
      </c>
    </row>
    <row r="32">
      <c r="A32" s="331" t="s">
        <v>742</v>
      </c>
      <c r="B32" s="331" t="s">
        <v>745</v>
      </c>
      <c r="C32" s="332" t="s">
        <v>6</v>
      </c>
      <c r="D32" s="2"/>
      <c r="E32" s="3"/>
      <c r="F32" s="332" t="s">
        <v>746</v>
      </c>
      <c r="G32" s="3"/>
      <c r="H32" s="333"/>
      <c r="I32" s="333"/>
    </row>
    <row r="33">
      <c r="A33" s="20"/>
      <c r="B33" s="20"/>
      <c r="C33" s="334" t="s">
        <v>8</v>
      </c>
      <c r="D33" s="334" t="s">
        <v>9</v>
      </c>
      <c r="E33" s="334" t="s">
        <v>358</v>
      </c>
      <c r="F33" s="334" t="s">
        <v>11</v>
      </c>
      <c r="G33" s="334" t="s">
        <v>751</v>
      </c>
      <c r="H33" s="333"/>
      <c r="I33" s="333"/>
    </row>
    <row r="34">
      <c r="A34" s="337" t="s">
        <v>1235</v>
      </c>
      <c r="B34" s="2"/>
      <c r="C34" s="2"/>
      <c r="D34" s="2"/>
      <c r="E34" s="2"/>
      <c r="F34" s="2"/>
      <c r="G34" s="3"/>
      <c r="H34" s="333"/>
      <c r="I34" s="333"/>
    </row>
    <row r="35">
      <c r="A35" s="339"/>
      <c r="B35" s="339" t="s">
        <v>754</v>
      </c>
      <c r="C35" s="339" t="s">
        <v>43</v>
      </c>
      <c r="D35" s="339" t="s">
        <v>757</v>
      </c>
      <c r="E35" s="339">
        <v>1.0</v>
      </c>
      <c r="F35" s="339"/>
      <c r="G35" s="339"/>
      <c r="H35" s="333"/>
      <c r="I35" s="333"/>
    </row>
    <row r="36">
      <c r="A36" s="339" t="s">
        <v>761</v>
      </c>
      <c r="B36" s="341" t="s">
        <v>1169</v>
      </c>
      <c r="C36" s="2"/>
      <c r="D36" s="2"/>
      <c r="E36" s="2"/>
      <c r="F36" s="2"/>
      <c r="G36" s="3"/>
      <c r="H36" s="333"/>
      <c r="I36" s="333"/>
    </row>
    <row r="37">
      <c r="A37" s="341" t="s">
        <v>1170</v>
      </c>
      <c r="B37" s="2"/>
      <c r="C37" s="2"/>
      <c r="D37" s="2"/>
      <c r="E37" s="2"/>
      <c r="F37" s="2"/>
      <c r="G37" s="3"/>
      <c r="H37" s="333"/>
      <c r="I37" s="333"/>
    </row>
    <row r="38">
      <c r="A38" s="344"/>
      <c r="B38" s="346" t="s">
        <v>1111</v>
      </c>
      <c r="C38" s="348" t="s">
        <v>1241</v>
      </c>
      <c r="D38" s="2"/>
      <c r="E38" s="3"/>
      <c r="F38" s="349"/>
      <c r="G38" s="3"/>
      <c r="H38" s="333"/>
      <c r="I38" s="333"/>
    </row>
    <row r="39">
      <c r="A39" s="20"/>
      <c r="B39" s="20"/>
      <c r="C39" s="351" t="s">
        <v>43</v>
      </c>
      <c r="D39" s="351">
        <v>1.0</v>
      </c>
      <c r="E39" s="351">
        <v>2100.0</v>
      </c>
      <c r="F39" s="351">
        <f>D39*E39</f>
        <v>2100</v>
      </c>
      <c r="G39" s="351" t="s">
        <v>772</v>
      </c>
      <c r="H39" s="333"/>
      <c r="I39" s="333"/>
    </row>
    <row r="40">
      <c r="A40" s="344"/>
      <c r="B40" s="346" t="s">
        <v>1174</v>
      </c>
      <c r="C40" s="348" t="s">
        <v>1175</v>
      </c>
      <c r="D40" s="2"/>
      <c r="E40" s="3"/>
      <c r="F40" s="349"/>
      <c r="G40" s="3"/>
      <c r="H40" s="333"/>
      <c r="I40" s="333"/>
    </row>
    <row r="41">
      <c r="A41" s="20"/>
      <c r="B41" s="20"/>
      <c r="C41" s="351" t="s">
        <v>27</v>
      </c>
      <c r="D41" s="351">
        <v>0.01</v>
      </c>
      <c r="E41" s="351">
        <v>675.0</v>
      </c>
      <c r="F41" s="351">
        <f>D41*E41</f>
        <v>6.75</v>
      </c>
      <c r="G41" s="351" t="s">
        <v>782</v>
      </c>
      <c r="H41" s="333"/>
      <c r="I41" s="333"/>
    </row>
    <row r="42">
      <c r="A42" s="346" t="s">
        <v>1178</v>
      </c>
      <c r="B42" s="344"/>
      <c r="C42" s="357" t="s">
        <v>1180</v>
      </c>
      <c r="D42" s="2"/>
      <c r="E42" s="3"/>
      <c r="F42" s="349"/>
      <c r="G42" s="3"/>
      <c r="H42" s="333"/>
      <c r="I42" s="333"/>
    </row>
    <row r="43">
      <c r="A43" s="20"/>
      <c r="B43" s="20"/>
      <c r="C43" s="351" t="s">
        <v>904</v>
      </c>
      <c r="D43" s="359"/>
      <c r="E43" s="359"/>
      <c r="F43" s="351">
        <f>(F39+F41)*0.5%</f>
        <v>10.53375</v>
      </c>
      <c r="G43" s="351" t="s">
        <v>1183</v>
      </c>
      <c r="H43" s="333"/>
      <c r="I43" s="333"/>
    </row>
    <row r="44">
      <c r="A44" s="341" t="s">
        <v>42</v>
      </c>
      <c r="B44" s="2"/>
      <c r="C44" s="3"/>
      <c r="D44" s="362">
        <v>1.0</v>
      </c>
      <c r="E44" s="362" t="s">
        <v>43</v>
      </c>
      <c r="F44" s="362">
        <f>F39+F41+F43</f>
        <v>2117.28375</v>
      </c>
      <c r="G44" s="339"/>
      <c r="H44" s="333"/>
      <c r="I44" s="333"/>
    </row>
    <row r="45">
      <c r="A45" s="341" t="s">
        <v>800</v>
      </c>
      <c r="B45" s="2"/>
      <c r="C45" s="3"/>
      <c r="D45" s="362">
        <v>1.0</v>
      </c>
      <c r="E45" s="362" t="s">
        <v>43</v>
      </c>
      <c r="F45" s="362">
        <f>F44/D44</f>
        <v>2117.28375</v>
      </c>
      <c r="G45" s="339"/>
      <c r="H45" s="333"/>
      <c r="I45" s="333"/>
    </row>
    <row r="46">
      <c r="A46" s="341" t="s">
        <v>1187</v>
      </c>
      <c r="B46" s="2"/>
      <c r="C46" s="2"/>
      <c r="D46" s="3"/>
      <c r="E46" s="366">
        <f>F39*100.5%/D44</f>
        <v>2110.5</v>
      </c>
      <c r="F46" s="362">
        <f>E46*1%</f>
        <v>21.105</v>
      </c>
      <c r="G46" s="339"/>
      <c r="H46" s="333"/>
      <c r="I46" s="333"/>
    </row>
    <row r="47">
      <c r="A47" s="341" t="s">
        <v>42</v>
      </c>
      <c r="B47" s="2"/>
      <c r="C47" s="2"/>
      <c r="D47" s="3"/>
      <c r="E47" s="339"/>
      <c r="F47" s="362">
        <f>F45+F46</f>
        <v>2138.38875</v>
      </c>
      <c r="G47" s="339"/>
      <c r="H47" s="333"/>
      <c r="I47" s="333"/>
    </row>
    <row r="48">
      <c r="A48" s="341" t="s">
        <v>806</v>
      </c>
      <c r="B48" s="2"/>
      <c r="C48" s="2"/>
      <c r="D48" s="3"/>
      <c r="E48" s="362">
        <f>F47</f>
        <v>2138.38875</v>
      </c>
      <c r="F48" s="362">
        <f>E48*15%</f>
        <v>320.7583125</v>
      </c>
      <c r="G48" s="339"/>
      <c r="H48" s="333"/>
      <c r="I48" s="333"/>
    </row>
    <row r="49">
      <c r="A49" s="367" t="s">
        <v>42</v>
      </c>
      <c r="B49" s="2"/>
      <c r="C49" s="2"/>
      <c r="D49" s="3"/>
      <c r="E49" s="368"/>
      <c r="F49" s="369">
        <f>round(F47+F48,2)</f>
        <v>2459.15</v>
      </c>
      <c r="G49" s="339"/>
      <c r="H49" s="333"/>
      <c r="I49" s="333"/>
    </row>
    <row r="50">
      <c r="A50" s="344">
        <v>2852.0</v>
      </c>
      <c r="B50" s="346"/>
      <c r="C50" s="348" t="s">
        <v>1201</v>
      </c>
      <c r="D50" s="2"/>
      <c r="E50" s="3"/>
      <c r="F50" s="349"/>
      <c r="G50" s="3"/>
      <c r="H50" s="333"/>
      <c r="I50" s="333"/>
    </row>
    <row r="51">
      <c r="A51" s="20"/>
      <c r="B51" s="20"/>
      <c r="C51" s="351" t="s">
        <v>43</v>
      </c>
      <c r="D51" s="351">
        <v>4.0</v>
      </c>
      <c r="E51" s="351">
        <v>1.8</v>
      </c>
      <c r="F51" s="351">
        <f>D51*E51</f>
        <v>7.2</v>
      </c>
      <c r="G51" s="351" t="s">
        <v>1204</v>
      </c>
      <c r="H51" s="333"/>
      <c r="I51" s="333"/>
    </row>
    <row r="52">
      <c r="A52" s="344">
        <v>1005.0</v>
      </c>
      <c r="B52" s="346"/>
      <c r="C52" s="348" t="s">
        <v>1208</v>
      </c>
      <c r="D52" s="2"/>
      <c r="E52" s="3"/>
      <c r="F52" s="349"/>
      <c r="G52" s="3"/>
      <c r="H52" s="333"/>
      <c r="I52" s="333"/>
    </row>
    <row r="53">
      <c r="A53" s="20"/>
      <c r="B53" s="20"/>
      <c r="C53" s="351" t="s">
        <v>27</v>
      </c>
      <c r="D53" s="351">
        <v>0.01</v>
      </c>
      <c r="E53" s="351">
        <v>734.0</v>
      </c>
      <c r="F53" s="351">
        <f>D53*E53</f>
        <v>7.34</v>
      </c>
      <c r="G53" s="351" t="s">
        <v>780</v>
      </c>
      <c r="H53" s="333"/>
      <c r="I53" s="333"/>
    </row>
    <row r="54">
      <c r="A54" s="346" t="s">
        <v>1178</v>
      </c>
      <c r="B54" s="344"/>
      <c r="C54" s="357" t="s">
        <v>1211</v>
      </c>
      <c r="D54" s="2"/>
      <c r="E54" s="3"/>
      <c r="F54" s="349"/>
      <c r="G54" s="3"/>
      <c r="H54" s="333"/>
      <c r="I54" s="333"/>
    </row>
    <row r="55">
      <c r="A55" s="20"/>
      <c r="B55" s="20"/>
      <c r="C55" s="351" t="s">
        <v>904</v>
      </c>
      <c r="D55" s="359"/>
      <c r="E55" s="359"/>
      <c r="F55" s="351">
        <f>(F51+F53)*0.5%</f>
        <v>0.0727</v>
      </c>
      <c r="G55" s="351" t="s">
        <v>1215</v>
      </c>
      <c r="H55" s="333"/>
      <c r="I55" s="333"/>
    </row>
    <row r="56">
      <c r="A56" s="341" t="s">
        <v>42</v>
      </c>
      <c r="B56" s="2"/>
      <c r="C56" s="3"/>
      <c r="D56" s="362">
        <v>1.0</v>
      </c>
      <c r="E56" s="362" t="s">
        <v>43</v>
      </c>
      <c r="F56" s="362">
        <f>F51+F53+F55</f>
        <v>14.6127</v>
      </c>
      <c r="G56" s="368"/>
      <c r="H56" s="333"/>
      <c r="I56" s="333"/>
    </row>
    <row r="57">
      <c r="A57" s="341" t="s">
        <v>800</v>
      </c>
      <c r="B57" s="2"/>
      <c r="C57" s="3"/>
      <c r="D57" s="362">
        <v>1.0</v>
      </c>
      <c r="E57" s="362" t="s">
        <v>43</v>
      </c>
      <c r="F57" s="362">
        <f>F56/D56</f>
        <v>14.6127</v>
      </c>
      <c r="G57" s="368"/>
      <c r="H57" s="333"/>
      <c r="I57" s="333"/>
    </row>
    <row r="58">
      <c r="A58" s="341" t="s">
        <v>1187</v>
      </c>
      <c r="B58" s="2"/>
      <c r="C58" s="2"/>
      <c r="D58" s="3"/>
      <c r="E58" s="366">
        <f>F51*100.5%/D56</f>
        <v>7.236</v>
      </c>
      <c r="F58" s="362">
        <f>E58*1%</f>
        <v>0.07236</v>
      </c>
      <c r="G58" s="368"/>
      <c r="H58" s="333"/>
      <c r="I58" s="333"/>
    </row>
    <row r="59">
      <c r="A59" s="341" t="s">
        <v>42</v>
      </c>
      <c r="B59" s="2"/>
      <c r="C59" s="2"/>
      <c r="D59" s="3"/>
      <c r="E59" s="339"/>
      <c r="F59" s="362">
        <f>F57+F58</f>
        <v>14.68506</v>
      </c>
      <c r="G59" s="368"/>
      <c r="H59" s="333"/>
      <c r="I59" s="333"/>
    </row>
    <row r="60">
      <c r="A60" s="341" t="s">
        <v>806</v>
      </c>
      <c r="B60" s="2"/>
      <c r="C60" s="2"/>
      <c r="D60" s="3"/>
      <c r="E60" s="362">
        <f>F59</f>
        <v>14.68506</v>
      </c>
      <c r="F60" s="362">
        <f>E60*15%</f>
        <v>2.202759</v>
      </c>
      <c r="G60" s="368"/>
      <c r="H60" s="333"/>
      <c r="I60" s="333"/>
    </row>
    <row r="61">
      <c r="A61" s="367" t="s">
        <v>42</v>
      </c>
      <c r="B61" s="2"/>
      <c r="C61" s="2"/>
      <c r="D61" s="3"/>
      <c r="E61" s="368"/>
      <c r="F61" s="369">
        <f>round(F59+F60,2)</f>
        <v>16.89</v>
      </c>
      <c r="G61" s="339"/>
      <c r="H61" s="333"/>
      <c r="I61" s="333"/>
    </row>
    <row r="62">
      <c r="A62" s="372" t="str">
        <f>CONCATENATE("Say ₹ ",F49," + ",F61," x Cost Index")                                           </f>
        <v>Say ₹ 2459.15 + 16.89 x Cost Index</v>
      </c>
      <c r="B62" s="2"/>
      <c r="C62" s="2"/>
      <c r="D62" s="2"/>
      <c r="E62" s="2"/>
      <c r="F62" s="3"/>
      <c r="G62" s="373" t="s">
        <v>948</v>
      </c>
      <c r="H62" s="374">
        <f>((F39*1.005*1.01)+(F41*1.005))*1.15</f>
        <v>2459.147063</v>
      </c>
      <c r="I62" s="374">
        <f>((F51*1.005*1.01)+(F53*1.005))*1.15</f>
        <v>16.887819</v>
      </c>
    </row>
    <row r="63">
      <c r="A63" s="331" t="s">
        <v>742</v>
      </c>
      <c r="B63" s="331" t="s">
        <v>745</v>
      </c>
      <c r="C63" s="332" t="s">
        <v>6</v>
      </c>
      <c r="D63" s="2"/>
      <c r="E63" s="3"/>
      <c r="F63" s="332" t="s">
        <v>746</v>
      </c>
      <c r="G63" s="3"/>
      <c r="H63" s="333"/>
      <c r="I63" s="333"/>
    </row>
    <row r="64">
      <c r="A64" s="20"/>
      <c r="B64" s="20"/>
      <c r="C64" s="334" t="s">
        <v>8</v>
      </c>
      <c r="D64" s="334" t="s">
        <v>9</v>
      </c>
      <c r="E64" s="334" t="s">
        <v>358</v>
      </c>
      <c r="F64" s="334" t="s">
        <v>11</v>
      </c>
      <c r="G64" s="334" t="s">
        <v>751</v>
      </c>
      <c r="H64" s="333"/>
      <c r="I64" s="333"/>
    </row>
    <row r="65">
      <c r="A65" s="337" t="s">
        <v>1283</v>
      </c>
      <c r="B65" s="2"/>
      <c r="C65" s="2"/>
      <c r="D65" s="2"/>
      <c r="E65" s="2"/>
      <c r="F65" s="2"/>
      <c r="G65" s="3"/>
      <c r="H65" s="333"/>
      <c r="I65" s="333"/>
    </row>
    <row r="66">
      <c r="A66" s="339"/>
      <c r="B66" s="339" t="s">
        <v>754</v>
      </c>
      <c r="C66" s="339" t="s">
        <v>43</v>
      </c>
      <c r="D66" s="339" t="s">
        <v>757</v>
      </c>
      <c r="E66" s="339">
        <v>1.0</v>
      </c>
      <c r="F66" s="339"/>
      <c r="G66" s="339"/>
      <c r="H66" s="333"/>
      <c r="I66" s="333"/>
    </row>
    <row r="67">
      <c r="A67" s="339" t="s">
        <v>761</v>
      </c>
      <c r="B67" s="341" t="s">
        <v>1169</v>
      </c>
      <c r="C67" s="2"/>
      <c r="D67" s="2"/>
      <c r="E67" s="2"/>
      <c r="F67" s="2"/>
      <c r="G67" s="3"/>
      <c r="H67" s="333"/>
      <c r="I67" s="333"/>
    </row>
    <row r="68">
      <c r="A68" s="341" t="s">
        <v>1170</v>
      </c>
      <c r="B68" s="2"/>
      <c r="C68" s="2"/>
      <c r="D68" s="2"/>
      <c r="E68" s="2"/>
      <c r="F68" s="2"/>
      <c r="G68" s="3"/>
      <c r="H68" s="333"/>
      <c r="I68" s="333"/>
    </row>
    <row r="69">
      <c r="A69" s="344"/>
      <c r="B69" s="346" t="s">
        <v>1111</v>
      </c>
      <c r="C69" s="348" t="s">
        <v>1286</v>
      </c>
      <c r="D69" s="2"/>
      <c r="E69" s="3"/>
      <c r="F69" s="349"/>
      <c r="G69" s="3"/>
      <c r="H69" s="333"/>
      <c r="I69" s="333"/>
    </row>
    <row r="70">
      <c r="A70" s="20"/>
      <c r="B70" s="20"/>
      <c r="C70" s="351" t="s">
        <v>43</v>
      </c>
      <c r="D70" s="351">
        <v>1.0</v>
      </c>
      <c r="E70" s="351">
        <v>2400.0</v>
      </c>
      <c r="F70" s="351">
        <f>D70*E70</f>
        <v>2400</v>
      </c>
      <c r="G70" s="351" t="s">
        <v>772</v>
      </c>
      <c r="H70" s="333"/>
      <c r="I70" s="333"/>
    </row>
    <row r="71">
      <c r="A71" s="344"/>
      <c r="B71" s="346" t="s">
        <v>1174</v>
      </c>
      <c r="C71" s="348" t="s">
        <v>1175</v>
      </c>
      <c r="D71" s="2"/>
      <c r="E71" s="3"/>
      <c r="F71" s="349"/>
      <c r="G71" s="3"/>
      <c r="H71" s="333"/>
      <c r="I71" s="333"/>
    </row>
    <row r="72">
      <c r="A72" s="20"/>
      <c r="B72" s="20"/>
      <c r="C72" s="351" t="s">
        <v>27</v>
      </c>
      <c r="D72" s="351">
        <v>0.01</v>
      </c>
      <c r="E72" s="351">
        <v>675.0</v>
      </c>
      <c r="F72" s="351">
        <f>D72*E72</f>
        <v>6.75</v>
      </c>
      <c r="G72" s="351" t="s">
        <v>782</v>
      </c>
      <c r="H72" s="333"/>
      <c r="I72" s="333"/>
    </row>
    <row r="73">
      <c r="A73" s="346" t="s">
        <v>1178</v>
      </c>
      <c r="B73" s="344"/>
      <c r="C73" s="357" t="s">
        <v>1180</v>
      </c>
      <c r="D73" s="2"/>
      <c r="E73" s="3"/>
      <c r="F73" s="349"/>
      <c r="G73" s="3"/>
      <c r="H73" s="333"/>
      <c r="I73" s="333"/>
    </row>
    <row r="74">
      <c r="A74" s="20"/>
      <c r="B74" s="20"/>
      <c r="C74" s="351" t="s">
        <v>904</v>
      </c>
      <c r="D74" s="359"/>
      <c r="E74" s="359"/>
      <c r="F74" s="351">
        <f>(F70+F72)*0.5%</f>
        <v>12.03375</v>
      </c>
      <c r="G74" s="351" t="s">
        <v>1183</v>
      </c>
      <c r="H74" s="333"/>
      <c r="I74" s="333"/>
    </row>
    <row r="75">
      <c r="A75" s="341" t="s">
        <v>42</v>
      </c>
      <c r="B75" s="2"/>
      <c r="C75" s="3"/>
      <c r="D75" s="362">
        <v>1.0</v>
      </c>
      <c r="E75" s="362" t="s">
        <v>43</v>
      </c>
      <c r="F75" s="362">
        <f>F70+F72+F74</f>
        <v>2418.78375</v>
      </c>
      <c r="G75" s="339"/>
      <c r="H75" s="333"/>
      <c r="I75" s="333"/>
    </row>
    <row r="76">
      <c r="A76" s="341" t="s">
        <v>800</v>
      </c>
      <c r="B76" s="2"/>
      <c r="C76" s="3"/>
      <c r="D76" s="362">
        <v>1.0</v>
      </c>
      <c r="E76" s="362" t="s">
        <v>43</v>
      </c>
      <c r="F76" s="362">
        <f>F75/D75</f>
        <v>2418.78375</v>
      </c>
      <c r="G76" s="339"/>
      <c r="H76" s="333"/>
      <c r="I76" s="333"/>
    </row>
    <row r="77">
      <c r="A77" s="341" t="s">
        <v>1187</v>
      </c>
      <c r="B77" s="2"/>
      <c r="C77" s="2"/>
      <c r="D77" s="3"/>
      <c r="E77" s="366">
        <f>F70*100.5%/D75</f>
        <v>2412</v>
      </c>
      <c r="F77" s="362">
        <f>E77*1%</f>
        <v>24.12</v>
      </c>
      <c r="G77" s="339"/>
      <c r="H77" s="333"/>
      <c r="I77" s="333"/>
    </row>
    <row r="78">
      <c r="A78" s="341" t="s">
        <v>42</v>
      </c>
      <c r="B78" s="2"/>
      <c r="C78" s="2"/>
      <c r="D78" s="3"/>
      <c r="E78" s="339"/>
      <c r="F78" s="362">
        <f>F76+F77</f>
        <v>2442.90375</v>
      </c>
      <c r="G78" s="339"/>
      <c r="H78" s="333"/>
      <c r="I78" s="333"/>
    </row>
    <row r="79">
      <c r="A79" s="341" t="s">
        <v>806</v>
      </c>
      <c r="B79" s="2"/>
      <c r="C79" s="2"/>
      <c r="D79" s="3"/>
      <c r="E79" s="362">
        <f>F78</f>
        <v>2442.90375</v>
      </c>
      <c r="F79" s="362">
        <f>E79*15%</f>
        <v>366.4355625</v>
      </c>
      <c r="G79" s="339"/>
      <c r="H79" s="333"/>
      <c r="I79" s="333"/>
    </row>
    <row r="80">
      <c r="A80" s="367" t="s">
        <v>42</v>
      </c>
      <c r="B80" s="2"/>
      <c r="C80" s="2"/>
      <c r="D80" s="3"/>
      <c r="E80" s="368"/>
      <c r="F80" s="369">
        <f>round(F78+F79,2)</f>
        <v>2809.34</v>
      </c>
      <c r="G80" s="339"/>
      <c r="H80" s="333"/>
      <c r="I80" s="333"/>
    </row>
    <row r="81">
      <c r="A81" s="344">
        <v>2852.0</v>
      </c>
      <c r="B81" s="346"/>
      <c r="C81" s="348" t="s">
        <v>1201</v>
      </c>
      <c r="D81" s="2"/>
      <c r="E81" s="3"/>
      <c r="F81" s="349"/>
      <c r="G81" s="3"/>
      <c r="H81" s="333"/>
      <c r="I81" s="333"/>
    </row>
    <row r="82">
      <c r="A82" s="20"/>
      <c r="B82" s="20"/>
      <c r="C82" s="351" t="s">
        <v>43</v>
      </c>
      <c r="D82" s="351">
        <v>4.0</v>
      </c>
      <c r="E82" s="351">
        <v>1.8</v>
      </c>
      <c r="F82" s="351">
        <f>D82*E82</f>
        <v>7.2</v>
      </c>
      <c r="G82" s="351" t="s">
        <v>1204</v>
      </c>
      <c r="H82" s="333"/>
      <c r="I82" s="333"/>
    </row>
    <row r="83">
      <c r="A83" s="344">
        <v>1005.0</v>
      </c>
      <c r="B83" s="346"/>
      <c r="C83" s="348" t="s">
        <v>1208</v>
      </c>
      <c r="D83" s="2"/>
      <c r="E83" s="3"/>
      <c r="F83" s="349"/>
      <c r="G83" s="3"/>
      <c r="H83" s="333"/>
      <c r="I83" s="333"/>
    </row>
    <row r="84">
      <c r="A84" s="20"/>
      <c r="B84" s="20"/>
      <c r="C84" s="351" t="s">
        <v>27</v>
      </c>
      <c r="D84" s="351">
        <v>0.01</v>
      </c>
      <c r="E84" s="351">
        <v>734.0</v>
      </c>
      <c r="F84" s="351">
        <f>D84*E84</f>
        <v>7.34</v>
      </c>
      <c r="G84" s="351" t="s">
        <v>780</v>
      </c>
      <c r="H84" s="333"/>
      <c r="I84" s="333"/>
    </row>
    <row r="85">
      <c r="A85" s="346" t="s">
        <v>1178</v>
      </c>
      <c r="B85" s="344"/>
      <c r="C85" s="357" t="s">
        <v>1211</v>
      </c>
      <c r="D85" s="2"/>
      <c r="E85" s="3"/>
      <c r="F85" s="349"/>
      <c r="G85" s="3"/>
      <c r="H85" s="333"/>
      <c r="I85" s="333"/>
    </row>
    <row r="86">
      <c r="A86" s="20"/>
      <c r="B86" s="20"/>
      <c r="C86" s="351" t="s">
        <v>904</v>
      </c>
      <c r="D86" s="359"/>
      <c r="E86" s="359"/>
      <c r="F86" s="351">
        <f>(F82+F84)*0.5%</f>
        <v>0.0727</v>
      </c>
      <c r="G86" s="351" t="s">
        <v>1215</v>
      </c>
      <c r="H86" s="333"/>
      <c r="I86" s="333"/>
    </row>
    <row r="87">
      <c r="A87" s="341" t="s">
        <v>42</v>
      </c>
      <c r="B87" s="2"/>
      <c r="C87" s="3"/>
      <c r="D87" s="362">
        <v>1.0</v>
      </c>
      <c r="E87" s="362" t="s">
        <v>43</v>
      </c>
      <c r="F87" s="362">
        <f>F82+F84+F86</f>
        <v>14.6127</v>
      </c>
      <c r="G87" s="368"/>
      <c r="H87" s="333"/>
      <c r="I87" s="333"/>
    </row>
    <row r="88">
      <c r="A88" s="341" t="s">
        <v>800</v>
      </c>
      <c r="B88" s="2"/>
      <c r="C88" s="3"/>
      <c r="D88" s="362">
        <v>1.0</v>
      </c>
      <c r="E88" s="362" t="s">
        <v>43</v>
      </c>
      <c r="F88" s="362">
        <f>F87/D87</f>
        <v>14.6127</v>
      </c>
      <c r="G88" s="368"/>
      <c r="H88" s="333"/>
      <c r="I88" s="333"/>
    </row>
    <row r="89">
      <c r="A89" s="341" t="s">
        <v>1187</v>
      </c>
      <c r="B89" s="2"/>
      <c r="C89" s="2"/>
      <c r="D89" s="3"/>
      <c r="E89" s="366">
        <f>F82*100.5%/D87</f>
        <v>7.236</v>
      </c>
      <c r="F89" s="362">
        <f>E89*1%</f>
        <v>0.07236</v>
      </c>
      <c r="G89" s="368"/>
      <c r="H89" s="333"/>
      <c r="I89" s="333"/>
    </row>
    <row r="90">
      <c r="A90" s="341" t="s">
        <v>42</v>
      </c>
      <c r="B90" s="2"/>
      <c r="C90" s="2"/>
      <c r="D90" s="3"/>
      <c r="E90" s="339"/>
      <c r="F90" s="362">
        <f>F88+F89</f>
        <v>14.68506</v>
      </c>
      <c r="G90" s="368"/>
      <c r="H90" s="333"/>
      <c r="I90" s="333"/>
    </row>
    <row r="91">
      <c r="A91" s="341" t="s">
        <v>806</v>
      </c>
      <c r="B91" s="2"/>
      <c r="C91" s="2"/>
      <c r="D91" s="3"/>
      <c r="E91" s="362">
        <f>F90</f>
        <v>14.68506</v>
      </c>
      <c r="F91" s="362">
        <f>E91*15%</f>
        <v>2.202759</v>
      </c>
      <c r="G91" s="368"/>
      <c r="H91" s="333"/>
      <c r="I91" s="333"/>
    </row>
    <row r="92">
      <c r="A92" s="367" t="s">
        <v>42</v>
      </c>
      <c r="B92" s="2"/>
      <c r="C92" s="2"/>
      <c r="D92" s="3"/>
      <c r="E92" s="368"/>
      <c r="F92" s="369">
        <f>round(F90+F91,2)</f>
        <v>16.89</v>
      </c>
      <c r="G92" s="339"/>
      <c r="H92" s="333"/>
      <c r="I92" s="333"/>
    </row>
    <row r="93">
      <c r="A93" s="372" t="str">
        <f>CONCATENATE("Say ₹ ",F80," + ",F92," x Cost Index")                                           </f>
        <v>Say ₹ 2809.34 + 16.89 x Cost Index</v>
      </c>
      <c r="B93" s="2"/>
      <c r="C93" s="2"/>
      <c r="D93" s="2"/>
      <c r="E93" s="2"/>
      <c r="F93" s="3"/>
      <c r="G93" s="373" t="s">
        <v>948</v>
      </c>
      <c r="H93" s="374">
        <f>((F70*1.005*1.01)+(F72*1.005))*1.15</f>
        <v>2809.339313</v>
      </c>
      <c r="I93" s="374">
        <f>((F82*1.005*1.01)+(F84*1.005))*1.15</f>
        <v>16.887819</v>
      </c>
    </row>
    <row r="94">
      <c r="A94" s="331" t="s">
        <v>742</v>
      </c>
      <c r="B94" s="331" t="s">
        <v>745</v>
      </c>
      <c r="C94" s="332" t="s">
        <v>6</v>
      </c>
      <c r="D94" s="2"/>
      <c r="E94" s="3"/>
      <c r="F94" s="332" t="s">
        <v>746</v>
      </c>
      <c r="G94" s="3"/>
      <c r="H94" s="333"/>
      <c r="I94" s="333"/>
    </row>
    <row r="95">
      <c r="A95" s="20"/>
      <c r="B95" s="20"/>
      <c r="C95" s="334" t="s">
        <v>8</v>
      </c>
      <c r="D95" s="334" t="s">
        <v>9</v>
      </c>
      <c r="E95" s="334" t="s">
        <v>358</v>
      </c>
      <c r="F95" s="334" t="s">
        <v>11</v>
      </c>
      <c r="G95" s="334" t="s">
        <v>751</v>
      </c>
      <c r="H95" s="333"/>
      <c r="I95" s="333"/>
    </row>
    <row r="96">
      <c r="A96" s="337" t="s">
        <v>1301</v>
      </c>
      <c r="B96" s="2"/>
      <c r="C96" s="2"/>
      <c r="D96" s="2"/>
      <c r="E96" s="2"/>
      <c r="F96" s="2"/>
      <c r="G96" s="3"/>
      <c r="H96" s="333"/>
      <c r="I96" s="333"/>
    </row>
    <row r="97">
      <c r="A97" s="339"/>
      <c r="B97" s="339" t="s">
        <v>754</v>
      </c>
      <c r="C97" s="339" t="s">
        <v>43</v>
      </c>
      <c r="D97" s="339" t="s">
        <v>757</v>
      </c>
      <c r="E97" s="339">
        <v>1.0</v>
      </c>
      <c r="F97" s="339"/>
      <c r="G97" s="339"/>
      <c r="H97" s="333"/>
      <c r="I97" s="333"/>
    </row>
    <row r="98">
      <c r="A98" s="339" t="s">
        <v>761</v>
      </c>
      <c r="B98" s="341" t="s">
        <v>1169</v>
      </c>
      <c r="C98" s="2"/>
      <c r="D98" s="2"/>
      <c r="E98" s="2"/>
      <c r="F98" s="2"/>
      <c r="G98" s="3"/>
      <c r="H98" s="333"/>
      <c r="I98" s="333"/>
    </row>
    <row r="99">
      <c r="A99" s="341" t="s">
        <v>1170</v>
      </c>
      <c r="B99" s="2"/>
      <c r="C99" s="2"/>
      <c r="D99" s="2"/>
      <c r="E99" s="2"/>
      <c r="F99" s="2"/>
      <c r="G99" s="3"/>
      <c r="H99" s="333"/>
      <c r="I99" s="333"/>
    </row>
    <row r="100">
      <c r="A100" s="344"/>
      <c r="B100" s="346" t="s">
        <v>1111</v>
      </c>
      <c r="C100" s="348" t="s">
        <v>1302</v>
      </c>
      <c r="D100" s="2"/>
      <c r="E100" s="3"/>
      <c r="F100" s="349"/>
      <c r="G100" s="3"/>
      <c r="H100" s="333"/>
      <c r="I100" s="333"/>
    </row>
    <row r="101">
      <c r="A101" s="20"/>
      <c r="B101" s="20"/>
      <c r="C101" s="351" t="s">
        <v>43</v>
      </c>
      <c r="D101" s="351">
        <v>1.0</v>
      </c>
      <c r="E101" s="351">
        <v>3094.49</v>
      </c>
      <c r="F101" s="351">
        <f>D101*E101</f>
        <v>3094.49</v>
      </c>
      <c r="G101" s="351" t="s">
        <v>772</v>
      </c>
      <c r="H101" s="333"/>
      <c r="I101" s="333"/>
    </row>
    <row r="102">
      <c r="A102" s="344"/>
      <c r="B102" s="346" t="s">
        <v>1174</v>
      </c>
      <c r="C102" s="348" t="s">
        <v>1175</v>
      </c>
      <c r="D102" s="2"/>
      <c r="E102" s="3"/>
      <c r="F102" s="349"/>
      <c r="G102" s="3"/>
      <c r="H102" s="333"/>
      <c r="I102" s="333"/>
    </row>
    <row r="103">
      <c r="A103" s="20"/>
      <c r="B103" s="20"/>
      <c r="C103" s="351" t="s">
        <v>27</v>
      </c>
      <c r="D103" s="351">
        <v>0.01</v>
      </c>
      <c r="E103" s="351">
        <v>675.0</v>
      </c>
      <c r="F103" s="351">
        <f>D103*E103</f>
        <v>6.75</v>
      </c>
      <c r="G103" s="351" t="s">
        <v>782</v>
      </c>
      <c r="H103" s="333"/>
      <c r="I103" s="333"/>
    </row>
    <row r="104">
      <c r="A104" s="346" t="s">
        <v>1178</v>
      </c>
      <c r="B104" s="344"/>
      <c r="C104" s="357" t="s">
        <v>1180</v>
      </c>
      <c r="D104" s="2"/>
      <c r="E104" s="3"/>
      <c r="F104" s="349"/>
      <c r="G104" s="3"/>
      <c r="H104" s="333"/>
      <c r="I104" s="333"/>
    </row>
    <row r="105">
      <c r="A105" s="20"/>
      <c r="B105" s="20"/>
      <c r="C105" s="351" t="s">
        <v>904</v>
      </c>
      <c r="D105" s="359"/>
      <c r="E105" s="359"/>
      <c r="F105" s="351">
        <f>(F101+F103)*0.5%</f>
        <v>15.5062</v>
      </c>
      <c r="G105" s="351" t="s">
        <v>1183</v>
      </c>
      <c r="H105" s="333"/>
      <c r="I105" s="333"/>
    </row>
    <row r="106">
      <c r="A106" s="341" t="s">
        <v>42</v>
      </c>
      <c r="B106" s="2"/>
      <c r="C106" s="3"/>
      <c r="D106" s="362">
        <v>1.0</v>
      </c>
      <c r="E106" s="362" t="s">
        <v>43</v>
      </c>
      <c r="F106" s="362">
        <f>F101+F103+F105</f>
        <v>3116.7462</v>
      </c>
      <c r="G106" s="339"/>
      <c r="H106" s="333"/>
      <c r="I106" s="333"/>
    </row>
    <row r="107">
      <c r="A107" s="341" t="s">
        <v>800</v>
      </c>
      <c r="B107" s="2"/>
      <c r="C107" s="3"/>
      <c r="D107" s="362">
        <v>1.0</v>
      </c>
      <c r="E107" s="362" t="s">
        <v>43</v>
      </c>
      <c r="F107" s="362">
        <f>F106/D106</f>
        <v>3116.7462</v>
      </c>
      <c r="G107" s="339"/>
      <c r="H107" s="333"/>
      <c r="I107" s="333"/>
    </row>
    <row r="108">
      <c r="A108" s="341" t="s">
        <v>1187</v>
      </c>
      <c r="B108" s="2"/>
      <c r="C108" s="2"/>
      <c r="D108" s="3"/>
      <c r="E108" s="366">
        <f>F101*100.5%/D106</f>
        <v>3109.96245</v>
      </c>
      <c r="F108" s="362">
        <f>E108*1%</f>
        <v>31.0996245</v>
      </c>
      <c r="G108" s="339"/>
      <c r="H108" s="333"/>
      <c r="I108" s="333"/>
    </row>
    <row r="109">
      <c r="A109" s="341" t="s">
        <v>42</v>
      </c>
      <c r="B109" s="2"/>
      <c r="C109" s="2"/>
      <c r="D109" s="3"/>
      <c r="E109" s="339"/>
      <c r="F109" s="362">
        <f>F107+F108</f>
        <v>3147.845825</v>
      </c>
      <c r="G109" s="339"/>
      <c r="H109" s="333"/>
      <c r="I109" s="333"/>
    </row>
    <row r="110">
      <c r="A110" s="341" t="s">
        <v>806</v>
      </c>
      <c r="B110" s="2"/>
      <c r="C110" s="2"/>
      <c r="D110" s="3"/>
      <c r="E110" s="362">
        <f>F109</f>
        <v>3147.845825</v>
      </c>
      <c r="F110" s="362">
        <f>E110*15%</f>
        <v>472.1768737</v>
      </c>
      <c r="G110" s="339"/>
      <c r="H110" s="333"/>
      <c r="I110" s="333"/>
    </row>
    <row r="111">
      <c r="A111" s="367" t="s">
        <v>42</v>
      </c>
      <c r="B111" s="2"/>
      <c r="C111" s="2"/>
      <c r="D111" s="3"/>
      <c r="E111" s="368"/>
      <c r="F111" s="369">
        <f>round(F109+F110,2)</f>
        <v>3620.02</v>
      </c>
      <c r="G111" s="339"/>
      <c r="H111" s="333"/>
      <c r="I111" s="333"/>
    </row>
    <row r="112">
      <c r="A112" s="344">
        <v>2852.0</v>
      </c>
      <c r="B112" s="346"/>
      <c r="C112" s="348" t="s">
        <v>1201</v>
      </c>
      <c r="D112" s="2"/>
      <c r="E112" s="3"/>
      <c r="F112" s="349"/>
      <c r="G112" s="3"/>
      <c r="H112" s="333"/>
      <c r="I112" s="333"/>
    </row>
    <row r="113">
      <c r="A113" s="20"/>
      <c r="B113" s="20"/>
      <c r="C113" s="351" t="s">
        <v>43</v>
      </c>
      <c r="D113" s="351">
        <v>4.0</v>
      </c>
      <c r="E113" s="351">
        <v>1.8</v>
      </c>
      <c r="F113" s="351">
        <f>D113*E113</f>
        <v>7.2</v>
      </c>
      <c r="G113" s="351" t="s">
        <v>1204</v>
      </c>
      <c r="H113" s="333"/>
      <c r="I113" s="333"/>
    </row>
    <row r="114">
      <c r="A114" s="344">
        <v>1005.0</v>
      </c>
      <c r="B114" s="346"/>
      <c r="C114" s="348" t="s">
        <v>1208</v>
      </c>
      <c r="D114" s="2"/>
      <c r="E114" s="3"/>
      <c r="F114" s="349"/>
      <c r="G114" s="3"/>
      <c r="H114" s="333"/>
      <c r="I114" s="333"/>
    </row>
    <row r="115">
      <c r="A115" s="20"/>
      <c r="B115" s="20"/>
      <c r="C115" s="351" t="s">
        <v>27</v>
      </c>
      <c r="D115" s="351">
        <v>0.01</v>
      </c>
      <c r="E115" s="351">
        <v>734.0</v>
      </c>
      <c r="F115" s="351">
        <f>D115*E115</f>
        <v>7.34</v>
      </c>
      <c r="G115" s="351" t="s">
        <v>780</v>
      </c>
      <c r="H115" s="333"/>
      <c r="I115" s="333"/>
    </row>
    <row r="116">
      <c r="A116" s="346" t="s">
        <v>1178</v>
      </c>
      <c r="B116" s="344"/>
      <c r="C116" s="357" t="s">
        <v>1211</v>
      </c>
      <c r="D116" s="2"/>
      <c r="E116" s="3"/>
      <c r="F116" s="349"/>
      <c r="G116" s="3"/>
      <c r="H116" s="333"/>
      <c r="I116" s="333"/>
    </row>
    <row r="117">
      <c r="A117" s="20"/>
      <c r="B117" s="20"/>
      <c r="C117" s="351" t="s">
        <v>904</v>
      </c>
      <c r="D117" s="359"/>
      <c r="E117" s="359"/>
      <c r="F117" s="351">
        <f>(F113+F115)*0.5%</f>
        <v>0.0727</v>
      </c>
      <c r="G117" s="351" t="s">
        <v>1215</v>
      </c>
      <c r="H117" s="333"/>
      <c r="I117" s="333"/>
    </row>
    <row r="118">
      <c r="A118" s="341" t="s">
        <v>42</v>
      </c>
      <c r="B118" s="2"/>
      <c r="C118" s="3"/>
      <c r="D118" s="362">
        <v>1.0</v>
      </c>
      <c r="E118" s="362" t="s">
        <v>43</v>
      </c>
      <c r="F118" s="362">
        <f>F113+F115+F117</f>
        <v>14.6127</v>
      </c>
      <c r="G118" s="368"/>
      <c r="H118" s="333"/>
      <c r="I118" s="333"/>
    </row>
    <row r="119">
      <c r="A119" s="341" t="s">
        <v>800</v>
      </c>
      <c r="B119" s="2"/>
      <c r="C119" s="3"/>
      <c r="D119" s="362">
        <v>1.0</v>
      </c>
      <c r="E119" s="362" t="s">
        <v>43</v>
      </c>
      <c r="F119" s="362">
        <f>F118/D118</f>
        <v>14.6127</v>
      </c>
      <c r="G119" s="368"/>
      <c r="H119" s="333"/>
      <c r="I119" s="333"/>
    </row>
    <row r="120">
      <c r="A120" s="341" t="s">
        <v>1187</v>
      </c>
      <c r="B120" s="2"/>
      <c r="C120" s="2"/>
      <c r="D120" s="3"/>
      <c r="E120" s="366">
        <f>F113*100.5%/D118</f>
        <v>7.236</v>
      </c>
      <c r="F120" s="362">
        <f>E120*1%</f>
        <v>0.07236</v>
      </c>
      <c r="G120" s="368"/>
      <c r="H120" s="333"/>
      <c r="I120" s="333"/>
    </row>
    <row r="121">
      <c r="A121" s="341" t="s">
        <v>42</v>
      </c>
      <c r="B121" s="2"/>
      <c r="C121" s="2"/>
      <c r="D121" s="3"/>
      <c r="E121" s="339"/>
      <c r="F121" s="362">
        <f>F119+F120</f>
        <v>14.68506</v>
      </c>
      <c r="G121" s="368"/>
      <c r="H121" s="333"/>
      <c r="I121" s="333"/>
    </row>
    <row r="122">
      <c r="A122" s="341" t="s">
        <v>806</v>
      </c>
      <c r="B122" s="2"/>
      <c r="C122" s="2"/>
      <c r="D122" s="3"/>
      <c r="E122" s="362">
        <f>F121</f>
        <v>14.68506</v>
      </c>
      <c r="F122" s="362">
        <f>E122*15%</f>
        <v>2.202759</v>
      </c>
      <c r="G122" s="368"/>
      <c r="H122" s="333"/>
      <c r="I122" s="333"/>
    </row>
    <row r="123">
      <c r="A123" s="367" t="s">
        <v>42</v>
      </c>
      <c r="B123" s="2"/>
      <c r="C123" s="2"/>
      <c r="D123" s="3"/>
      <c r="E123" s="368"/>
      <c r="F123" s="369">
        <f>round(F121+F122,2)</f>
        <v>16.89</v>
      </c>
      <c r="G123" s="339"/>
      <c r="H123" s="333"/>
      <c r="I123" s="333"/>
    </row>
    <row r="124">
      <c r="A124" s="372" t="str">
        <f>CONCATENATE("Say ₹ ",F111," + ",F123," x Cost Index")                                           </f>
        <v>Say ₹ 3620.02 + 16.89 x Cost Index</v>
      </c>
      <c r="B124" s="2"/>
      <c r="C124" s="2"/>
      <c r="D124" s="2"/>
      <c r="E124" s="2"/>
      <c r="F124" s="3"/>
      <c r="G124" s="373" t="s">
        <v>948</v>
      </c>
      <c r="H124" s="374">
        <f>((F101*1.005*1.01)+(F103*1.005))*1.15</f>
        <v>3620.022698</v>
      </c>
      <c r="I124" s="374">
        <f>((F113*1.005*1.01)+(F115*1.005))*1.15</f>
        <v>16.887819</v>
      </c>
    </row>
    <row r="125">
      <c r="A125" s="331" t="s">
        <v>742</v>
      </c>
      <c r="B125" s="331" t="s">
        <v>745</v>
      </c>
      <c r="C125" s="332" t="s">
        <v>6</v>
      </c>
      <c r="D125" s="2"/>
      <c r="E125" s="3"/>
      <c r="F125" s="332" t="s">
        <v>746</v>
      </c>
      <c r="G125" s="3"/>
      <c r="H125" s="333"/>
      <c r="I125" s="333"/>
    </row>
    <row r="126">
      <c r="A126" s="20"/>
      <c r="B126" s="20"/>
      <c r="C126" s="334" t="s">
        <v>8</v>
      </c>
      <c r="D126" s="334" t="s">
        <v>9</v>
      </c>
      <c r="E126" s="334" t="s">
        <v>358</v>
      </c>
      <c r="F126" s="334" t="s">
        <v>11</v>
      </c>
      <c r="G126" s="334" t="s">
        <v>751</v>
      </c>
      <c r="H126" s="333"/>
      <c r="I126" s="333"/>
    </row>
    <row r="127">
      <c r="A127" s="337" t="s">
        <v>1323</v>
      </c>
      <c r="B127" s="2"/>
      <c r="C127" s="2"/>
      <c r="D127" s="2"/>
      <c r="E127" s="2"/>
      <c r="F127" s="2"/>
      <c r="G127" s="3"/>
      <c r="H127" s="333"/>
      <c r="I127" s="333"/>
    </row>
    <row r="128">
      <c r="A128" s="339"/>
      <c r="B128" s="339" t="s">
        <v>754</v>
      </c>
      <c r="C128" s="339" t="s">
        <v>43</v>
      </c>
      <c r="D128" s="339" t="s">
        <v>757</v>
      </c>
      <c r="E128" s="339">
        <v>1.0</v>
      </c>
      <c r="F128" s="339"/>
      <c r="G128" s="339"/>
      <c r="H128" s="333"/>
      <c r="I128" s="333"/>
    </row>
    <row r="129">
      <c r="A129" s="339" t="s">
        <v>761</v>
      </c>
      <c r="B129" s="341" t="s">
        <v>1169</v>
      </c>
      <c r="C129" s="2"/>
      <c r="D129" s="2"/>
      <c r="E129" s="2"/>
      <c r="F129" s="2"/>
      <c r="G129" s="3"/>
      <c r="H129" s="333"/>
      <c r="I129" s="333"/>
    </row>
    <row r="130">
      <c r="A130" s="341" t="s">
        <v>1170</v>
      </c>
      <c r="B130" s="2"/>
      <c r="C130" s="2"/>
      <c r="D130" s="2"/>
      <c r="E130" s="2"/>
      <c r="F130" s="2"/>
      <c r="G130" s="3"/>
      <c r="H130" s="333"/>
      <c r="I130" s="333"/>
    </row>
    <row r="131">
      <c r="A131" s="344"/>
      <c r="B131" s="346" t="s">
        <v>1111</v>
      </c>
      <c r="C131" s="348" t="s">
        <v>1324</v>
      </c>
      <c r="D131" s="2"/>
      <c r="E131" s="3"/>
      <c r="F131" s="349"/>
      <c r="G131" s="3"/>
      <c r="H131" s="333"/>
      <c r="I131" s="333"/>
    </row>
    <row r="132">
      <c r="A132" s="20"/>
      <c r="B132" s="20"/>
      <c r="C132" s="351" t="s">
        <v>43</v>
      </c>
      <c r="D132" s="351">
        <v>1.0</v>
      </c>
      <c r="E132" s="351">
        <v>3779.67</v>
      </c>
      <c r="F132" s="351">
        <f>D132*E132</f>
        <v>3779.67</v>
      </c>
      <c r="G132" s="351" t="s">
        <v>772</v>
      </c>
      <c r="H132" s="333"/>
      <c r="I132" s="333"/>
    </row>
    <row r="133">
      <c r="A133" s="344"/>
      <c r="B133" s="346" t="s">
        <v>1174</v>
      </c>
      <c r="C133" s="348" t="s">
        <v>1175</v>
      </c>
      <c r="D133" s="2"/>
      <c r="E133" s="3"/>
      <c r="F133" s="349"/>
      <c r="G133" s="3"/>
      <c r="H133" s="333"/>
      <c r="I133" s="333"/>
    </row>
    <row r="134">
      <c r="A134" s="20"/>
      <c r="B134" s="20"/>
      <c r="C134" s="351" t="s">
        <v>27</v>
      </c>
      <c r="D134" s="351">
        <v>0.01</v>
      </c>
      <c r="E134" s="351">
        <v>675.0</v>
      </c>
      <c r="F134" s="351">
        <f>D134*E134</f>
        <v>6.75</v>
      </c>
      <c r="G134" s="351" t="s">
        <v>782</v>
      </c>
      <c r="H134" s="333"/>
      <c r="I134" s="333"/>
    </row>
    <row r="135">
      <c r="A135" s="346" t="s">
        <v>1178</v>
      </c>
      <c r="B135" s="344"/>
      <c r="C135" s="357" t="s">
        <v>1180</v>
      </c>
      <c r="D135" s="2"/>
      <c r="E135" s="3"/>
      <c r="F135" s="349"/>
      <c r="G135" s="3"/>
      <c r="H135" s="333"/>
      <c r="I135" s="333"/>
    </row>
    <row r="136">
      <c r="A136" s="20"/>
      <c r="B136" s="20"/>
      <c r="C136" s="351" t="s">
        <v>904</v>
      </c>
      <c r="D136" s="359"/>
      <c r="E136" s="359"/>
      <c r="F136" s="351">
        <f>(F132+F134)*0.5%</f>
        <v>18.9321</v>
      </c>
      <c r="G136" s="351" t="s">
        <v>1183</v>
      </c>
      <c r="H136" s="333"/>
      <c r="I136" s="333"/>
    </row>
    <row r="137">
      <c r="A137" s="341" t="s">
        <v>42</v>
      </c>
      <c r="B137" s="2"/>
      <c r="C137" s="3"/>
      <c r="D137" s="362">
        <v>1.0</v>
      </c>
      <c r="E137" s="362" t="s">
        <v>43</v>
      </c>
      <c r="F137" s="362">
        <f>F132+F134+F136</f>
        <v>3805.3521</v>
      </c>
      <c r="G137" s="339"/>
      <c r="H137" s="333"/>
      <c r="I137" s="333"/>
    </row>
    <row r="138">
      <c r="A138" s="341" t="s">
        <v>800</v>
      </c>
      <c r="B138" s="2"/>
      <c r="C138" s="3"/>
      <c r="D138" s="362">
        <v>1.0</v>
      </c>
      <c r="E138" s="362" t="s">
        <v>43</v>
      </c>
      <c r="F138" s="362">
        <f>F137/D137</f>
        <v>3805.3521</v>
      </c>
      <c r="G138" s="339"/>
      <c r="H138" s="333"/>
      <c r="I138" s="333"/>
    </row>
    <row r="139">
      <c r="A139" s="341" t="s">
        <v>1187</v>
      </c>
      <c r="B139" s="2"/>
      <c r="C139" s="2"/>
      <c r="D139" s="3"/>
      <c r="E139" s="366">
        <f>F132*100.5%/D137</f>
        <v>3798.56835</v>
      </c>
      <c r="F139" s="362">
        <f>E139*1%</f>
        <v>37.9856835</v>
      </c>
      <c r="G139" s="339"/>
      <c r="H139" s="333"/>
      <c r="I139" s="333"/>
    </row>
    <row r="140">
      <c r="A140" s="341" t="s">
        <v>42</v>
      </c>
      <c r="B140" s="2"/>
      <c r="C140" s="2"/>
      <c r="D140" s="3"/>
      <c r="E140" s="339"/>
      <c r="F140" s="362">
        <f>F138+F139</f>
        <v>3843.337784</v>
      </c>
      <c r="G140" s="339"/>
      <c r="H140" s="333"/>
      <c r="I140" s="333"/>
    </row>
    <row r="141">
      <c r="A141" s="341" t="s">
        <v>806</v>
      </c>
      <c r="B141" s="2"/>
      <c r="C141" s="2"/>
      <c r="D141" s="3"/>
      <c r="E141" s="362">
        <f>F140</f>
        <v>3843.337784</v>
      </c>
      <c r="F141" s="362">
        <f>E141*15%</f>
        <v>576.5006675</v>
      </c>
      <c r="G141" s="339"/>
      <c r="H141" s="333"/>
      <c r="I141" s="333"/>
    </row>
    <row r="142">
      <c r="A142" s="367" t="s">
        <v>42</v>
      </c>
      <c r="B142" s="2"/>
      <c r="C142" s="2"/>
      <c r="D142" s="3"/>
      <c r="E142" s="368"/>
      <c r="F142" s="369">
        <f>round(F140+F141,2)</f>
        <v>4419.84</v>
      </c>
      <c r="G142" s="339"/>
      <c r="H142" s="333"/>
      <c r="I142" s="333"/>
    </row>
    <row r="143">
      <c r="A143" s="344">
        <v>2852.0</v>
      </c>
      <c r="B143" s="346"/>
      <c r="C143" s="348" t="s">
        <v>1201</v>
      </c>
      <c r="D143" s="2"/>
      <c r="E143" s="3"/>
      <c r="F143" s="349"/>
      <c r="G143" s="3"/>
      <c r="H143" s="333"/>
      <c r="I143" s="333"/>
    </row>
    <row r="144">
      <c r="A144" s="20"/>
      <c r="B144" s="20"/>
      <c r="C144" s="351" t="s">
        <v>43</v>
      </c>
      <c r="D144" s="351">
        <v>4.0</v>
      </c>
      <c r="E144" s="351">
        <v>1.8</v>
      </c>
      <c r="F144" s="351">
        <f>D144*E144</f>
        <v>7.2</v>
      </c>
      <c r="G144" s="351" t="s">
        <v>1204</v>
      </c>
      <c r="H144" s="333"/>
      <c r="I144" s="333"/>
    </row>
    <row r="145">
      <c r="A145" s="344">
        <v>1005.0</v>
      </c>
      <c r="B145" s="346"/>
      <c r="C145" s="348" t="s">
        <v>1208</v>
      </c>
      <c r="D145" s="2"/>
      <c r="E145" s="3"/>
      <c r="F145" s="349"/>
      <c r="G145" s="3"/>
      <c r="H145" s="333"/>
      <c r="I145" s="333"/>
    </row>
    <row r="146">
      <c r="A146" s="20"/>
      <c r="B146" s="20"/>
      <c r="C146" s="351" t="s">
        <v>27</v>
      </c>
      <c r="D146" s="351">
        <v>0.01</v>
      </c>
      <c r="E146" s="351">
        <v>734.0</v>
      </c>
      <c r="F146" s="351">
        <f>D146*E146</f>
        <v>7.34</v>
      </c>
      <c r="G146" s="351" t="s">
        <v>780</v>
      </c>
      <c r="H146" s="333"/>
      <c r="I146" s="333"/>
    </row>
    <row r="147">
      <c r="A147" s="346" t="s">
        <v>1178</v>
      </c>
      <c r="B147" s="344"/>
      <c r="C147" s="357" t="s">
        <v>1211</v>
      </c>
      <c r="D147" s="2"/>
      <c r="E147" s="3"/>
      <c r="F147" s="349"/>
      <c r="G147" s="3"/>
      <c r="H147" s="333"/>
      <c r="I147" s="333"/>
    </row>
    <row r="148">
      <c r="A148" s="20"/>
      <c r="B148" s="20"/>
      <c r="C148" s="351" t="s">
        <v>904</v>
      </c>
      <c r="D148" s="359"/>
      <c r="E148" s="359"/>
      <c r="F148" s="351">
        <f>(F144+F146)*0.5%</f>
        <v>0.0727</v>
      </c>
      <c r="G148" s="351" t="s">
        <v>1215</v>
      </c>
      <c r="H148" s="333"/>
      <c r="I148" s="333"/>
    </row>
    <row r="149">
      <c r="A149" s="341" t="s">
        <v>42</v>
      </c>
      <c r="B149" s="2"/>
      <c r="C149" s="3"/>
      <c r="D149" s="362">
        <v>1.0</v>
      </c>
      <c r="E149" s="362" t="s">
        <v>43</v>
      </c>
      <c r="F149" s="362">
        <f>F144+F146+F148</f>
        <v>14.6127</v>
      </c>
      <c r="G149" s="368"/>
      <c r="H149" s="333"/>
      <c r="I149" s="333"/>
    </row>
    <row r="150">
      <c r="A150" s="341" t="s">
        <v>800</v>
      </c>
      <c r="B150" s="2"/>
      <c r="C150" s="3"/>
      <c r="D150" s="362">
        <v>1.0</v>
      </c>
      <c r="E150" s="362" t="s">
        <v>43</v>
      </c>
      <c r="F150" s="362">
        <f>F149/D149</f>
        <v>14.6127</v>
      </c>
      <c r="G150" s="368"/>
      <c r="H150" s="333"/>
      <c r="I150" s="333"/>
    </row>
    <row r="151">
      <c r="A151" s="341" t="s">
        <v>1187</v>
      </c>
      <c r="B151" s="2"/>
      <c r="C151" s="2"/>
      <c r="D151" s="3"/>
      <c r="E151" s="366">
        <f>F144*100.5%/D149</f>
        <v>7.236</v>
      </c>
      <c r="F151" s="362">
        <f>E151*1%</f>
        <v>0.07236</v>
      </c>
      <c r="G151" s="368"/>
      <c r="H151" s="333"/>
      <c r="I151" s="333"/>
    </row>
    <row r="152">
      <c r="A152" s="341" t="s">
        <v>42</v>
      </c>
      <c r="B152" s="2"/>
      <c r="C152" s="2"/>
      <c r="D152" s="3"/>
      <c r="E152" s="339"/>
      <c r="F152" s="362">
        <f>F150+F151</f>
        <v>14.68506</v>
      </c>
      <c r="G152" s="368"/>
      <c r="H152" s="333"/>
      <c r="I152" s="333"/>
    </row>
    <row r="153">
      <c r="A153" s="341" t="s">
        <v>806</v>
      </c>
      <c r="B153" s="2"/>
      <c r="C153" s="2"/>
      <c r="D153" s="3"/>
      <c r="E153" s="362">
        <f>F152</f>
        <v>14.68506</v>
      </c>
      <c r="F153" s="362">
        <f>E153*15%</f>
        <v>2.202759</v>
      </c>
      <c r="G153" s="368"/>
      <c r="H153" s="333"/>
      <c r="I153" s="333"/>
    </row>
    <row r="154">
      <c r="A154" s="367" t="s">
        <v>42</v>
      </c>
      <c r="B154" s="2"/>
      <c r="C154" s="2"/>
      <c r="D154" s="3"/>
      <c r="E154" s="368"/>
      <c r="F154" s="369">
        <f>round(F152+F153,2)</f>
        <v>16.89</v>
      </c>
      <c r="G154" s="339"/>
      <c r="H154" s="333"/>
      <c r="I154" s="333"/>
    </row>
    <row r="155">
      <c r="A155" s="372" t="str">
        <f>CONCATENATE("Say ₹ ",F142," + ",F154," x Cost Index")                                           </f>
        <v>Say ₹ 4419.84 + 16.89 x Cost Index</v>
      </c>
      <c r="B155" s="2"/>
      <c r="C155" s="2"/>
      <c r="D155" s="2"/>
      <c r="E155" s="2"/>
      <c r="F155" s="3"/>
      <c r="G155" s="373" t="s">
        <v>948</v>
      </c>
      <c r="H155" s="374">
        <f>((F132*1.005*1.01)+(F134*1.005))*1.15</f>
        <v>4419.838451</v>
      </c>
      <c r="I155" s="374">
        <f>((F144*1.005*1.01)+(F146*1.005))*1.15</f>
        <v>16.887819</v>
      </c>
    </row>
    <row r="156">
      <c r="A156" s="331" t="s">
        <v>742</v>
      </c>
      <c r="B156" s="331" t="s">
        <v>745</v>
      </c>
      <c r="C156" s="332" t="s">
        <v>6</v>
      </c>
      <c r="D156" s="2"/>
      <c r="E156" s="3"/>
      <c r="F156" s="332" t="s">
        <v>746</v>
      </c>
      <c r="G156" s="3"/>
      <c r="H156" s="333"/>
      <c r="I156" s="333"/>
    </row>
    <row r="157">
      <c r="A157" s="20"/>
      <c r="B157" s="20"/>
      <c r="C157" s="334" t="s">
        <v>8</v>
      </c>
      <c r="D157" s="334" t="s">
        <v>9</v>
      </c>
      <c r="E157" s="334" t="s">
        <v>358</v>
      </c>
      <c r="F157" s="334" t="s">
        <v>11</v>
      </c>
      <c r="G157" s="334" t="s">
        <v>751</v>
      </c>
      <c r="H157" s="333"/>
      <c r="I157" s="333"/>
    </row>
    <row r="158">
      <c r="A158" s="337" t="s">
        <v>1344</v>
      </c>
      <c r="B158" s="2"/>
      <c r="C158" s="2"/>
      <c r="D158" s="2"/>
      <c r="E158" s="2"/>
      <c r="F158" s="2"/>
      <c r="G158" s="3"/>
      <c r="H158" s="333"/>
      <c r="I158" s="333"/>
    </row>
    <row r="159">
      <c r="A159" s="339"/>
      <c r="B159" s="339" t="s">
        <v>754</v>
      </c>
      <c r="C159" s="339" t="s">
        <v>43</v>
      </c>
      <c r="D159" s="339" t="s">
        <v>757</v>
      </c>
      <c r="E159" s="339">
        <v>1.0</v>
      </c>
      <c r="F159" s="339"/>
      <c r="G159" s="339"/>
      <c r="H159" s="333"/>
      <c r="I159" s="333"/>
    </row>
    <row r="160">
      <c r="A160" s="339" t="s">
        <v>761</v>
      </c>
      <c r="B160" s="341" t="s">
        <v>1169</v>
      </c>
      <c r="C160" s="2"/>
      <c r="D160" s="2"/>
      <c r="E160" s="2"/>
      <c r="F160" s="2"/>
      <c r="G160" s="3"/>
      <c r="H160" s="333"/>
      <c r="I160" s="333"/>
    </row>
    <row r="161">
      <c r="A161" s="341" t="s">
        <v>1170</v>
      </c>
      <c r="B161" s="2"/>
      <c r="C161" s="2"/>
      <c r="D161" s="2"/>
      <c r="E161" s="2"/>
      <c r="F161" s="2"/>
      <c r="G161" s="3"/>
      <c r="H161" s="333"/>
      <c r="I161" s="333"/>
    </row>
    <row r="162">
      <c r="A162" s="344"/>
      <c r="B162" s="385">
        <v>0.0</v>
      </c>
      <c r="C162" s="348" t="s">
        <v>1347</v>
      </c>
      <c r="D162" s="2"/>
      <c r="E162" s="3"/>
      <c r="F162" s="349"/>
      <c r="G162" s="3"/>
      <c r="H162" s="333"/>
      <c r="I162" s="333"/>
    </row>
    <row r="163">
      <c r="A163" s="20"/>
      <c r="B163" s="20"/>
      <c r="C163" s="351" t="s">
        <v>43</v>
      </c>
      <c r="D163" s="351">
        <v>1.0</v>
      </c>
      <c r="E163" s="351">
        <v>2550.0</v>
      </c>
      <c r="F163" s="351">
        <f>D163*E163</f>
        <v>2550</v>
      </c>
      <c r="G163" s="351" t="s">
        <v>772</v>
      </c>
      <c r="H163" s="333"/>
      <c r="I163" s="333"/>
    </row>
    <row r="164">
      <c r="A164" s="344"/>
      <c r="B164" s="346" t="s">
        <v>1174</v>
      </c>
      <c r="C164" s="348" t="s">
        <v>1175</v>
      </c>
      <c r="D164" s="2"/>
      <c r="E164" s="3"/>
      <c r="F164" s="349"/>
      <c r="G164" s="3"/>
      <c r="H164" s="333"/>
      <c r="I164" s="333"/>
    </row>
    <row r="165">
      <c r="A165" s="20"/>
      <c r="B165" s="20"/>
      <c r="C165" s="351" t="s">
        <v>27</v>
      </c>
      <c r="D165" s="351">
        <v>0.01</v>
      </c>
      <c r="E165" s="351">
        <v>675.0</v>
      </c>
      <c r="F165" s="351">
        <f>D165*E165</f>
        <v>6.75</v>
      </c>
      <c r="G165" s="351" t="s">
        <v>782</v>
      </c>
      <c r="H165" s="333"/>
      <c r="I165" s="333"/>
    </row>
    <row r="166">
      <c r="A166" s="346" t="s">
        <v>1178</v>
      </c>
      <c r="B166" s="344"/>
      <c r="C166" s="357" t="s">
        <v>1180</v>
      </c>
      <c r="D166" s="2"/>
      <c r="E166" s="3"/>
      <c r="F166" s="349"/>
      <c r="G166" s="3"/>
      <c r="H166" s="333"/>
      <c r="I166" s="333"/>
    </row>
    <row r="167">
      <c r="A167" s="20"/>
      <c r="B167" s="20"/>
      <c r="C167" s="351" t="s">
        <v>904</v>
      </c>
      <c r="D167" s="359"/>
      <c r="E167" s="359"/>
      <c r="F167" s="351">
        <f>(F163+F165)*0.5%</f>
        <v>12.78375</v>
      </c>
      <c r="G167" s="351" t="s">
        <v>1183</v>
      </c>
      <c r="H167" s="333"/>
      <c r="I167" s="333"/>
    </row>
    <row r="168">
      <c r="A168" s="341" t="s">
        <v>42</v>
      </c>
      <c r="B168" s="2"/>
      <c r="C168" s="3"/>
      <c r="D168" s="362">
        <v>1.0</v>
      </c>
      <c r="E168" s="362" t="s">
        <v>43</v>
      </c>
      <c r="F168" s="362">
        <f>F163+F165+F167</f>
        <v>2569.53375</v>
      </c>
      <c r="G168" s="339"/>
      <c r="H168" s="333"/>
      <c r="I168" s="333"/>
    </row>
    <row r="169">
      <c r="A169" s="341" t="s">
        <v>800</v>
      </c>
      <c r="B169" s="2"/>
      <c r="C169" s="3"/>
      <c r="D169" s="362">
        <v>1.0</v>
      </c>
      <c r="E169" s="362" t="s">
        <v>43</v>
      </c>
      <c r="F169" s="362">
        <f>F168/D168</f>
        <v>2569.53375</v>
      </c>
      <c r="G169" s="339"/>
      <c r="H169" s="333"/>
      <c r="I169" s="333"/>
    </row>
    <row r="170">
      <c r="A170" s="341" t="s">
        <v>1187</v>
      </c>
      <c r="B170" s="2"/>
      <c r="C170" s="2"/>
      <c r="D170" s="3"/>
      <c r="E170" s="366">
        <f>F163*100.5%/D168</f>
        <v>2562.75</v>
      </c>
      <c r="F170" s="362">
        <f>E170*1%</f>
        <v>25.6275</v>
      </c>
      <c r="G170" s="339"/>
      <c r="H170" s="333"/>
      <c r="I170" s="333"/>
    </row>
    <row r="171">
      <c r="A171" s="341" t="s">
        <v>42</v>
      </c>
      <c r="B171" s="2"/>
      <c r="C171" s="2"/>
      <c r="D171" s="3"/>
      <c r="E171" s="339"/>
      <c r="F171" s="362">
        <f>F169+F170</f>
        <v>2595.16125</v>
      </c>
      <c r="G171" s="339"/>
      <c r="H171" s="333"/>
      <c r="I171" s="333"/>
    </row>
    <row r="172">
      <c r="A172" s="341" t="s">
        <v>806</v>
      </c>
      <c r="B172" s="2"/>
      <c r="C172" s="2"/>
      <c r="D172" s="3"/>
      <c r="E172" s="362">
        <f>F171</f>
        <v>2595.16125</v>
      </c>
      <c r="F172" s="362">
        <f>E172*15%</f>
        <v>389.2741875</v>
      </c>
      <c r="G172" s="339"/>
      <c r="H172" s="333"/>
      <c r="I172" s="333"/>
    </row>
    <row r="173">
      <c r="A173" s="367" t="s">
        <v>42</v>
      </c>
      <c r="B173" s="2"/>
      <c r="C173" s="2"/>
      <c r="D173" s="3"/>
      <c r="E173" s="368"/>
      <c r="F173" s="369">
        <f>round(F171+F172,2)</f>
        <v>2984.44</v>
      </c>
      <c r="G173" s="339"/>
      <c r="H173" s="333"/>
      <c r="I173" s="333"/>
    </row>
    <row r="174">
      <c r="A174" s="344">
        <v>2852.0</v>
      </c>
      <c r="B174" s="346"/>
      <c r="C174" s="348" t="s">
        <v>1201</v>
      </c>
      <c r="D174" s="2"/>
      <c r="E174" s="3"/>
      <c r="F174" s="349"/>
      <c r="G174" s="3"/>
      <c r="H174" s="333"/>
      <c r="I174" s="333"/>
    </row>
    <row r="175">
      <c r="A175" s="20"/>
      <c r="B175" s="20"/>
      <c r="C175" s="351" t="s">
        <v>43</v>
      </c>
      <c r="D175" s="351">
        <v>4.0</v>
      </c>
      <c r="E175" s="351">
        <v>1.8</v>
      </c>
      <c r="F175" s="351">
        <f>D175*E175</f>
        <v>7.2</v>
      </c>
      <c r="G175" s="351" t="s">
        <v>1204</v>
      </c>
      <c r="H175" s="333"/>
      <c r="I175" s="333"/>
    </row>
    <row r="176">
      <c r="A176" s="344">
        <v>1005.0</v>
      </c>
      <c r="B176" s="346"/>
      <c r="C176" s="348" t="s">
        <v>1208</v>
      </c>
      <c r="D176" s="2"/>
      <c r="E176" s="3"/>
      <c r="F176" s="349"/>
      <c r="G176" s="3"/>
      <c r="H176" s="333"/>
      <c r="I176" s="333"/>
    </row>
    <row r="177">
      <c r="A177" s="20"/>
      <c r="B177" s="20"/>
      <c r="C177" s="351" t="s">
        <v>27</v>
      </c>
      <c r="D177" s="351">
        <v>0.01</v>
      </c>
      <c r="E177" s="351">
        <v>734.0</v>
      </c>
      <c r="F177" s="351">
        <f>D177*E177</f>
        <v>7.34</v>
      </c>
      <c r="G177" s="351" t="s">
        <v>780</v>
      </c>
      <c r="H177" s="333"/>
      <c r="I177" s="333"/>
    </row>
    <row r="178">
      <c r="A178" s="346" t="s">
        <v>1178</v>
      </c>
      <c r="B178" s="344"/>
      <c r="C178" s="357" t="s">
        <v>1211</v>
      </c>
      <c r="D178" s="2"/>
      <c r="E178" s="3"/>
      <c r="F178" s="349"/>
      <c r="G178" s="3"/>
      <c r="H178" s="333"/>
      <c r="I178" s="333"/>
    </row>
    <row r="179">
      <c r="A179" s="20"/>
      <c r="B179" s="20"/>
      <c r="C179" s="351" t="s">
        <v>904</v>
      </c>
      <c r="D179" s="359"/>
      <c r="E179" s="359"/>
      <c r="F179" s="351">
        <f>(F175+F177)*0.5%</f>
        <v>0.0727</v>
      </c>
      <c r="G179" s="351" t="s">
        <v>1215</v>
      </c>
      <c r="H179" s="333"/>
      <c r="I179" s="333"/>
    </row>
    <row r="180">
      <c r="A180" s="341" t="s">
        <v>42</v>
      </c>
      <c r="B180" s="2"/>
      <c r="C180" s="3"/>
      <c r="D180" s="362">
        <v>1.0</v>
      </c>
      <c r="E180" s="362" t="s">
        <v>43</v>
      </c>
      <c r="F180" s="362">
        <f>F175+F177+F179</f>
        <v>14.6127</v>
      </c>
      <c r="G180" s="368"/>
      <c r="H180" s="333"/>
      <c r="I180" s="333"/>
    </row>
    <row r="181">
      <c r="A181" s="341" t="s">
        <v>800</v>
      </c>
      <c r="B181" s="2"/>
      <c r="C181" s="3"/>
      <c r="D181" s="362">
        <v>1.0</v>
      </c>
      <c r="E181" s="362" t="s">
        <v>43</v>
      </c>
      <c r="F181" s="362">
        <f>F180/D180</f>
        <v>14.6127</v>
      </c>
      <c r="G181" s="368"/>
      <c r="H181" s="333"/>
      <c r="I181" s="333"/>
    </row>
    <row r="182">
      <c r="A182" s="341" t="s">
        <v>1187</v>
      </c>
      <c r="B182" s="2"/>
      <c r="C182" s="2"/>
      <c r="D182" s="3"/>
      <c r="E182" s="366">
        <f>F175*100.5%/D180</f>
        <v>7.236</v>
      </c>
      <c r="F182" s="362">
        <f>E182*1%</f>
        <v>0.07236</v>
      </c>
      <c r="G182" s="368"/>
      <c r="H182" s="333"/>
      <c r="I182" s="333"/>
    </row>
    <row r="183">
      <c r="A183" s="341" t="s">
        <v>42</v>
      </c>
      <c r="B183" s="2"/>
      <c r="C183" s="2"/>
      <c r="D183" s="3"/>
      <c r="E183" s="339"/>
      <c r="F183" s="362">
        <f>F181+F182</f>
        <v>14.68506</v>
      </c>
      <c r="G183" s="368"/>
      <c r="H183" s="333"/>
      <c r="I183" s="333"/>
    </row>
    <row r="184">
      <c r="A184" s="341" t="s">
        <v>806</v>
      </c>
      <c r="B184" s="2"/>
      <c r="C184" s="2"/>
      <c r="D184" s="3"/>
      <c r="E184" s="362">
        <f>F183</f>
        <v>14.68506</v>
      </c>
      <c r="F184" s="362">
        <f>E184*15%</f>
        <v>2.202759</v>
      </c>
      <c r="G184" s="368"/>
      <c r="H184" s="333"/>
      <c r="I184" s="333"/>
    </row>
    <row r="185">
      <c r="A185" s="367" t="s">
        <v>42</v>
      </c>
      <c r="B185" s="2"/>
      <c r="C185" s="2"/>
      <c r="D185" s="3"/>
      <c r="E185" s="368"/>
      <c r="F185" s="369">
        <f>round(F183+F184,2)</f>
        <v>16.89</v>
      </c>
      <c r="G185" s="339"/>
      <c r="H185" s="333"/>
      <c r="I185" s="333"/>
    </row>
    <row r="186">
      <c r="A186" s="372" t="str">
        <f>CONCATENATE("Say ₹ ",F173," + ",F185," x Cost Index")                                           </f>
        <v>Say ₹ 2984.44 + 16.89 x Cost Index</v>
      </c>
      <c r="B186" s="2"/>
      <c r="C186" s="2"/>
      <c r="D186" s="2"/>
      <c r="E186" s="2"/>
      <c r="F186" s="3"/>
      <c r="G186" s="373" t="s">
        <v>948</v>
      </c>
      <c r="H186" s="374">
        <f>((F163*1.005*1.01)+(F165*1.005))*1.15</f>
        <v>2984.435438</v>
      </c>
      <c r="I186" s="374">
        <f>((F175*1.005*1.01)+(F177*1.005))*1.15</f>
        <v>16.887819</v>
      </c>
    </row>
    <row r="187">
      <c r="A187" s="331" t="s">
        <v>742</v>
      </c>
      <c r="B187" s="331" t="s">
        <v>745</v>
      </c>
      <c r="C187" s="332" t="s">
        <v>6</v>
      </c>
      <c r="D187" s="2"/>
      <c r="E187" s="3"/>
      <c r="F187" s="332" t="s">
        <v>746</v>
      </c>
      <c r="G187" s="3"/>
      <c r="H187" s="333"/>
      <c r="I187" s="333"/>
    </row>
    <row r="188">
      <c r="A188" s="20"/>
      <c r="B188" s="20"/>
      <c r="C188" s="334" t="s">
        <v>8</v>
      </c>
      <c r="D188" s="334" t="s">
        <v>9</v>
      </c>
      <c r="E188" s="334" t="s">
        <v>358</v>
      </c>
      <c r="F188" s="334" t="s">
        <v>11</v>
      </c>
      <c r="G188" s="334" t="s">
        <v>751</v>
      </c>
      <c r="H188" s="333"/>
      <c r="I188" s="333"/>
    </row>
    <row r="189">
      <c r="A189" s="337" t="s">
        <v>1372</v>
      </c>
      <c r="B189" s="2"/>
      <c r="C189" s="2"/>
      <c r="D189" s="2"/>
      <c r="E189" s="2"/>
      <c r="F189" s="2"/>
      <c r="G189" s="3"/>
      <c r="H189" s="333"/>
      <c r="I189" s="333"/>
    </row>
    <row r="190">
      <c r="A190" s="339"/>
      <c r="B190" s="339" t="s">
        <v>754</v>
      </c>
      <c r="C190" s="339" t="s">
        <v>43</v>
      </c>
      <c r="D190" s="339" t="s">
        <v>757</v>
      </c>
      <c r="E190" s="339">
        <v>1.0</v>
      </c>
      <c r="F190" s="339"/>
      <c r="G190" s="339"/>
      <c r="H190" s="333"/>
      <c r="I190" s="333"/>
    </row>
    <row r="191">
      <c r="A191" s="339" t="s">
        <v>761</v>
      </c>
      <c r="B191" s="341" t="s">
        <v>1169</v>
      </c>
      <c r="C191" s="2"/>
      <c r="D191" s="2"/>
      <c r="E191" s="2"/>
      <c r="F191" s="2"/>
      <c r="G191" s="3"/>
      <c r="H191" s="333"/>
      <c r="I191" s="333"/>
    </row>
    <row r="192">
      <c r="A192" s="341" t="s">
        <v>1170</v>
      </c>
      <c r="B192" s="2"/>
      <c r="C192" s="2"/>
      <c r="D192" s="2"/>
      <c r="E192" s="2"/>
      <c r="F192" s="2"/>
      <c r="G192" s="3"/>
      <c r="H192" s="333"/>
      <c r="I192" s="333"/>
    </row>
    <row r="193">
      <c r="A193" s="344"/>
      <c r="B193" s="385">
        <v>0.0</v>
      </c>
      <c r="C193" s="348" t="s">
        <v>1374</v>
      </c>
      <c r="D193" s="2"/>
      <c r="E193" s="3"/>
      <c r="F193" s="349"/>
      <c r="G193" s="3"/>
      <c r="H193" s="333"/>
      <c r="I193" s="333"/>
    </row>
    <row r="194">
      <c r="A194" s="20"/>
      <c r="B194" s="20"/>
      <c r="C194" s="351" t="s">
        <v>43</v>
      </c>
      <c r="D194" s="351">
        <v>1.0</v>
      </c>
      <c r="E194" s="351">
        <v>2600.0</v>
      </c>
      <c r="F194" s="351">
        <f>D194*E194</f>
        <v>2600</v>
      </c>
      <c r="G194" s="351" t="s">
        <v>772</v>
      </c>
      <c r="H194" s="333"/>
      <c r="I194" s="333"/>
    </row>
    <row r="195">
      <c r="A195" s="344"/>
      <c r="B195" s="346" t="s">
        <v>1174</v>
      </c>
      <c r="C195" s="348" t="s">
        <v>1175</v>
      </c>
      <c r="D195" s="2"/>
      <c r="E195" s="3"/>
      <c r="F195" s="349"/>
      <c r="G195" s="3"/>
      <c r="H195" s="333"/>
      <c r="I195" s="333"/>
    </row>
    <row r="196">
      <c r="A196" s="20"/>
      <c r="B196" s="20"/>
      <c r="C196" s="351" t="s">
        <v>27</v>
      </c>
      <c r="D196" s="351">
        <v>0.01</v>
      </c>
      <c r="E196" s="351">
        <v>675.0</v>
      </c>
      <c r="F196" s="351">
        <f>D196*E196</f>
        <v>6.75</v>
      </c>
      <c r="G196" s="351" t="s">
        <v>782</v>
      </c>
      <c r="H196" s="333"/>
      <c r="I196" s="333"/>
    </row>
    <row r="197">
      <c r="A197" s="346" t="s">
        <v>1178</v>
      </c>
      <c r="B197" s="344"/>
      <c r="C197" s="357" t="s">
        <v>1180</v>
      </c>
      <c r="D197" s="2"/>
      <c r="E197" s="3"/>
      <c r="F197" s="349"/>
      <c r="G197" s="3"/>
      <c r="H197" s="333"/>
      <c r="I197" s="333"/>
    </row>
    <row r="198">
      <c r="A198" s="20"/>
      <c r="B198" s="20"/>
      <c r="C198" s="351" t="s">
        <v>904</v>
      </c>
      <c r="D198" s="359"/>
      <c r="E198" s="359"/>
      <c r="F198" s="351">
        <f>(F194+F196)*0.5%</f>
        <v>13.03375</v>
      </c>
      <c r="G198" s="351" t="s">
        <v>1183</v>
      </c>
      <c r="H198" s="333"/>
      <c r="I198" s="333"/>
    </row>
    <row r="199">
      <c r="A199" s="341" t="s">
        <v>42</v>
      </c>
      <c r="B199" s="2"/>
      <c r="C199" s="3"/>
      <c r="D199" s="362">
        <v>1.0</v>
      </c>
      <c r="E199" s="362" t="s">
        <v>43</v>
      </c>
      <c r="F199" s="362">
        <f>F194+F196+F198</f>
        <v>2619.78375</v>
      </c>
      <c r="G199" s="339"/>
      <c r="H199" s="333"/>
      <c r="I199" s="333"/>
    </row>
    <row r="200">
      <c r="A200" s="341" t="s">
        <v>800</v>
      </c>
      <c r="B200" s="2"/>
      <c r="C200" s="3"/>
      <c r="D200" s="362">
        <v>1.0</v>
      </c>
      <c r="E200" s="362" t="s">
        <v>43</v>
      </c>
      <c r="F200" s="362">
        <f>F199/D199</f>
        <v>2619.78375</v>
      </c>
      <c r="G200" s="339"/>
      <c r="H200" s="333"/>
      <c r="I200" s="333"/>
    </row>
    <row r="201">
      <c r="A201" s="341" t="s">
        <v>1187</v>
      </c>
      <c r="B201" s="2"/>
      <c r="C201" s="2"/>
      <c r="D201" s="3"/>
      <c r="E201" s="366">
        <f>F194*100.5%/D199</f>
        <v>2613</v>
      </c>
      <c r="F201" s="362">
        <f>E201*1%</f>
        <v>26.13</v>
      </c>
      <c r="G201" s="339"/>
      <c r="H201" s="333"/>
      <c r="I201" s="333"/>
    </row>
    <row r="202">
      <c r="A202" s="341" t="s">
        <v>42</v>
      </c>
      <c r="B202" s="2"/>
      <c r="C202" s="2"/>
      <c r="D202" s="3"/>
      <c r="E202" s="339"/>
      <c r="F202" s="362">
        <f>F200+F201</f>
        <v>2645.91375</v>
      </c>
      <c r="G202" s="339"/>
      <c r="H202" s="333"/>
      <c r="I202" s="333"/>
    </row>
    <row r="203">
      <c r="A203" s="341" t="s">
        <v>806</v>
      </c>
      <c r="B203" s="2"/>
      <c r="C203" s="2"/>
      <c r="D203" s="3"/>
      <c r="E203" s="362">
        <f>F202</f>
        <v>2645.91375</v>
      </c>
      <c r="F203" s="362">
        <f>E203*15%</f>
        <v>396.8870625</v>
      </c>
      <c r="G203" s="339"/>
      <c r="H203" s="333"/>
      <c r="I203" s="333"/>
    </row>
    <row r="204">
      <c r="A204" s="367" t="s">
        <v>42</v>
      </c>
      <c r="B204" s="2"/>
      <c r="C204" s="2"/>
      <c r="D204" s="3"/>
      <c r="E204" s="368"/>
      <c r="F204" s="369">
        <f>round(F202+F203,2)</f>
        <v>3042.8</v>
      </c>
      <c r="G204" s="339"/>
      <c r="H204" s="333"/>
      <c r="I204" s="333"/>
    </row>
    <row r="205">
      <c r="A205" s="344">
        <v>2852.0</v>
      </c>
      <c r="B205" s="346"/>
      <c r="C205" s="348" t="s">
        <v>1201</v>
      </c>
      <c r="D205" s="2"/>
      <c r="E205" s="3"/>
      <c r="F205" s="349"/>
      <c r="G205" s="3"/>
      <c r="H205" s="333"/>
      <c r="I205" s="333"/>
    </row>
    <row r="206">
      <c r="A206" s="20"/>
      <c r="B206" s="20"/>
      <c r="C206" s="351" t="s">
        <v>43</v>
      </c>
      <c r="D206" s="351">
        <v>4.0</v>
      </c>
      <c r="E206" s="351">
        <v>1.8</v>
      </c>
      <c r="F206" s="351">
        <f>D206*E206</f>
        <v>7.2</v>
      </c>
      <c r="G206" s="351" t="s">
        <v>1204</v>
      </c>
      <c r="H206" s="333"/>
      <c r="I206" s="333"/>
    </row>
    <row r="207">
      <c r="A207" s="344">
        <v>1005.0</v>
      </c>
      <c r="B207" s="346"/>
      <c r="C207" s="348" t="s">
        <v>1208</v>
      </c>
      <c r="D207" s="2"/>
      <c r="E207" s="3"/>
      <c r="F207" s="349"/>
      <c r="G207" s="3"/>
      <c r="H207" s="333"/>
      <c r="I207" s="333"/>
    </row>
    <row r="208">
      <c r="A208" s="20"/>
      <c r="B208" s="20"/>
      <c r="C208" s="351" t="s">
        <v>27</v>
      </c>
      <c r="D208" s="351">
        <v>0.01</v>
      </c>
      <c r="E208" s="351">
        <v>734.0</v>
      </c>
      <c r="F208" s="351">
        <f>D208*E208</f>
        <v>7.34</v>
      </c>
      <c r="G208" s="351" t="s">
        <v>780</v>
      </c>
      <c r="H208" s="333"/>
      <c r="I208" s="333"/>
    </row>
    <row r="209">
      <c r="A209" s="346" t="s">
        <v>1178</v>
      </c>
      <c r="B209" s="344"/>
      <c r="C209" s="357" t="s">
        <v>1211</v>
      </c>
      <c r="D209" s="2"/>
      <c r="E209" s="3"/>
      <c r="F209" s="349"/>
      <c r="G209" s="3"/>
      <c r="H209" s="333"/>
      <c r="I209" s="333"/>
    </row>
    <row r="210">
      <c r="A210" s="20"/>
      <c r="B210" s="20"/>
      <c r="C210" s="351" t="s">
        <v>904</v>
      </c>
      <c r="D210" s="359"/>
      <c r="E210" s="359"/>
      <c r="F210" s="351">
        <f>(F206+F208)*0.5%</f>
        <v>0.0727</v>
      </c>
      <c r="G210" s="351" t="s">
        <v>1215</v>
      </c>
      <c r="H210" s="333"/>
      <c r="I210" s="333"/>
    </row>
    <row r="211">
      <c r="A211" s="341" t="s">
        <v>42</v>
      </c>
      <c r="B211" s="2"/>
      <c r="C211" s="3"/>
      <c r="D211" s="362">
        <v>1.0</v>
      </c>
      <c r="E211" s="362" t="s">
        <v>43</v>
      </c>
      <c r="F211" s="362">
        <f>F206+F208+F210</f>
        <v>14.6127</v>
      </c>
      <c r="G211" s="368"/>
      <c r="H211" s="333"/>
      <c r="I211" s="333"/>
    </row>
    <row r="212">
      <c r="A212" s="341" t="s">
        <v>800</v>
      </c>
      <c r="B212" s="2"/>
      <c r="C212" s="3"/>
      <c r="D212" s="362">
        <v>1.0</v>
      </c>
      <c r="E212" s="362" t="s">
        <v>43</v>
      </c>
      <c r="F212" s="362">
        <f>F211/D211</f>
        <v>14.6127</v>
      </c>
      <c r="G212" s="368"/>
      <c r="H212" s="333"/>
      <c r="I212" s="333"/>
    </row>
    <row r="213">
      <c r="A213" s="341" t="s">
        <v>1187</v>
      </c>
      <c r="B213" s="2"/>
      <c r="C213" s="2"/>
      <c r="D213" s="3"/>
      <c r="E213" s="366">
        <f>F206*100.5%/D211</f>
        <v>7.236</v>
      </c>
      <c r="F213" s="362">
        <f>E213*1%</f>
        <v>0.07236</v>
      </c>
      <c r="G213" s="368"/>
      <c r="H213" s="333"/>
      <c r="I213" s="333"/>
    </row>
    <row r="214">
      <c r="A214" s="341" t="s">
        <v>42</v>
      </c>
      <c r="B214" s="2"/>
      <c r="C214" s="2"/>
      <c r="D214" s="3"/>
      <c r="E214" s="339"/>
      <c r="F214" s="362">
        <f>F212+F213</f>
        <v>14.68506</v>
      </c>
      <c r="G214" s="368"/>
      <c r="H214" s="333"/>
      <c r="I214" s="333"/>
    </row>
    <row r="215">
      <c r="A215" s="341" t="s">
        <v>806</v>
      </c>
      <c r="B215" s="2"/>
      <c r="C215" s="2"/>
      <c r="D215" s="3"/>
      <c r="E215" s="362">
        <f>F214</f>
        <v>14.68506</v>
      </c>
      <c r="F215" s="362">
        <f>E215*15%</f>
        <v>2.202759</v>
      </c>
      <c r="G215" s="368"/>
      <c r="H215" s="333"/>
      <c r="I215" s="333"/>
    </row>
    <row r="216">
      <c r="A216" s="367" t="s">
        <v>42</v>
      </c>
      <c r="B216" s="2"/>
      <c r="C216" s="2"/>
      <c r="D216" s="3"/>
      <c r="E216" s="368"/>
      <c r="F216" s="369">
        <f>round(F214+F215,2)</f>
        <v>16.89</v>
      </c>
      <c r="G216" s="339"/>
      <c r="H216" s="333"/>
      <c r="I216" s="333"/>
    </row>
    <row r="217">
      <c r="A217" s="372" t="str">
        <f>CONCATENATE("Say ₹ ",F204," + ",F216," x Cost Index")                                           </f>
        <v>Say ₹ 3042.8 + 16.89 x Cost Index</v>
      </c>
      <c r="B217" s="2"/>
      <c r="C217" s="2"/>
      <c r="D217" s="2"/>
      <c r="E217" s="2"/>
      <c r="F217" s="3"/>
      <c r="G217" s="373" t="s">
        <v>948</v>
      </c>
      <c r="H217" s="374">
        <f>((F194*1.005*1.01)+(F196*1.005))*1.15</f>
        <v>3042.800813</v>
      </c>
      <c r="I217" s="374">
        <f>((F206*1.005*1.01)+(F208*1.005))*1.15</f>
        <v>16.887819</v>
      </c>
    </row>
  </sheetData>
  <mergeCells count="308">
    <mergeCell ref="A1:A2"/>
    <mergeCell ref="B1:B2"/>
    <mergeCell ref="C1:E1"/>
    <mergeCell ref="F1:G1"/>
    <mergeCell ref="A3:G3"/>
    <mergeCell ref="B5:G5"/>
    <mergeCell ref="A6:G6"/>
    <mergeCell ref="C11:E11"/>
    <mergeCell ref="F11:G11"/>
    <mergeCell ref="A7:A8"/>
    <mergeCell ref="B7:B8"/>
    <mergeCell ref="C7:E7"/>
    <mergeCell ref="F7:G7"/>
    <mergeCell ref="B9:B10"/>
    <mergeCell ref="C9:E9"/>
    <mergeCell ref="F9:G9"/>
    <mergeCell ref="A9:A10"/>
    <mergeCell ref="A11:A12"/>
    <mergeCell ref="B11:B12"/>
    <mergeCell ref="A13:C13"/>
    <mergeCell ref="A14:C14"/>
    <mergeCell ref="A15:D15"/>
    <mergeCell ref="A16:D16"/>
    <mergeCell ref="F21:G21"/>
    <mergeCell ref="F23:G23"/>
    <mergeCell ref="A17:D17"/>
    <mergeCell ref="A18:D18"/>
    <mergeCell ref="A19:A20"/>
    <mergeCell ref="B19:B20"/>
    <mergeCell ref="C19:E19"/>
    <mergeCell ref="F19:G19"/>
    <mergeCell ref="A21:A22"/>
    <mergeCell ref="B21:B22"/>
    <mergeCell ref="C21:E21"/>
    <mergeCell ref="A23:A24"/>
    <mergeCell ref="B23:B24"/>
    <mergeCell ref="C23:E23"/>
    <mergeCell ref="A25:C25"/>
    <mergeCell ref="A26:C26"/>
    <mergeCell ref="C32:E32"/>
    <mergeCell ref="F32:G32"/>
    <mergeCell ref="A27:D27"/>
    <mergeCell ref="A28:D28"/>
    <mergeCell ref="A29:D29"/>
    <mergeCell ref="A30:D30"/>
    <mergeCell ref="A31:F31"/>
    <mergeCell ref="A32:A33"/>
    <mergeCell ref="B32:B33"/>
    <mergeCell ref="A34:G34"/>
    <mergeCell ref="B36:G36"/>
    <mergeCell ref="A37:G37"/>
    <mergeCell ref="A38:A39"/>
    <mergeCell ref="B38:B39"/>
    <mergeCell ref="C38:E38"/>
    <mergeCell ref="F38:G38"/>
    <mergeCell ref="A40:A41"/>
    <mergeCell ref="B40:B41"/>
    <mergeCell ref="C40:E40"/>
    <mergeCell ref="F40:G40"/>
    <mergeCell ref="A42:A43"/>
    <mergeCell ref="C42:E42"/>
    <mergeCell ref="F42:G42"/>
    <mergeCell ref="B42:B43"/>
    <mergeCell ref="A44:C44"/>
    <mergeCell ref="A45:C45"/>
    <mergeCell ref="A46:D46"/>
    <mergeCell ref="A47:D47"/>
    <mergeCell ref="A48:D48"/>
    <mergeCell ref="A49:D49"/>
    <mergeCell ref="C54:E54"/>
    <mergeCell ref="F54:G54"/>
    <mergeCell ref="A50:A51"/>
    <mergeCell ref="B50:B51"/>
    <mergeCell ref="C50:E50"/>
    <mergeCell ref="F50:G50"/>
    <mergeCell ref="B52:B53"/>
    <mergeCell ref="C52:E52"/>
    <mergeCell ref="F52:G52"/>
    <mergeCell ref="A52:A53"/>
    <mergeCell ref="A54:A55"/>
    <mergeCell ref="B54:B55"/>
    <mergeCell ref="A56:C56"/>
    <mergeCell ref="A57:C57"/>
    <mergeCell ref="A58:D58"/>
    <mergeCell ref="A59:D59"/>
    <mergeCell ref="A60:D60"/>
    <mergeCell ref="A61:D61"/>
    <mergeCell ref="A62:F62"/>
    <mergeCell ref="A63:A64"/>
    <mergeCell ref="B63:B64"/>
    <mergeCell ref="C63:E63"/>
    <mergeCell ref="F63:G63"/>
    <mergeCell ref="A65:G65"/>
    <mergeCell ref="B67:G67"/>
    <mergeCell ref="A68:G68"/>
    <mergeCell ref="A69:A70"/>
    <mergeCell ref="B69:B70"/>
    <mergeCell ref="C69:E69"/>
    <mergeCell ref="F69:G69"/>
    <mergeCell ref="A71:A72"/>
    <mergeCell ref="B71:B72"/>
    <mergeCell ref="C71:E71"/>
    <mergeCell ref="F71:G71"/>
    <mergeCell ref="A73:A74"/>
    <mergeCell ref="C73:E73"/>
    <mergeCell ref="F73:G73"/>
    <mergeCell ref="B73:B74"/>
    <mergeCell ref="A75:C75"/>
    <mergeCell ref="A76:C76"/>
    <mergeCell ref="A77:D77"/>
    <mergeCell ref="A78:D78"/>
    <mergeCell ref="A79:D79"/>
    <mergeCell ref="A80:D80"/>
    <mergeCell ref="C85:E85"/>
    <mergeCell ref="F85:G85"/>
    <mergeCell ref="A81:A82"/>
    <mergeCell ref="B81:B82"/>
    <mergeCell ref="C81:E81"/>
    <mergeCell ref="F81:G81"/>
    <mergeCell ref="B83:B84"/>
    <mergeCell ref="C83:E83"/>
    <mergeCell ref="F83:G83"/>
    <mergeCell ref="A83:A84"/>
    <mergeCell ref="A85:A86"/>
    <mergeCell ref="B85:B86"/>
    <mergeCell ref="A87:C87"/>
    <mergeCell ref="A88:C88"/>
    <mergeCell ref="A89:D89"/>
    <mergeCell ref="A90:D90"/>
    <mergeCell ref="A91:D91"/>
    <mergeCell ref="A92:D92"/>
    <mergeCell ref="A93:F93"/>
    <mergeCell ref="A94:A95"/>
    <mergeCell ref="B94:B95"/>
    <mergeCell ref="C94:E94"/>
    <mergeCell ref="F94:G94"/>
    <mergeCell ref="A96:G96"/>
    <mergeCell ref="B98:G98"/>
    <mergeCell ref="A99:G99"/>
    <mergeCell ref="A100:A101"/>
    <mergeCell ref="B100:B101"/>
    <mergeCell ref="C100:E100"/>
    <mergeCell ref="F100:G100"/>
    <mergeCell ref="A102:A103"/>
    <mergeCell ref="B102:B103"/>
    <mergeCell ref="C102:E102"/>
    <mergeCell ref="F102:G102"/>
    <mergeCell ref="A104:A105"/>
    <mergeCell ref="C104:E104"/>
    <mergeCell ref="F104:G104"/>
    <mergeCell ref="B104:B105"/>
    <mergeCell ref="A106:C106"/>
    <mergeCell ref="A107:C107"/>
    <mergeCell ref="A108:D108"/>
    <mergeCell ref="A109:D109"/>
    <mergeCell ref="A110:D110"/>
    <mergeCell ref="A111:D111"/>
    <mergeCell ref="C116:E116"/>
    <mergeCell ref="F116:G116"/>
    <mergeCell ref="A112:A113"/>
    <mergeCell ref="B112:B113"/>
    <mergeCell ref="C112:E112"/>
    <mergeCell ref="F112:G112"/>
    <mergeCell ref="B114:B115"/>
    <mergeCell ref="C114:E114"/>
    <mergeCell ref="F114:G114"/>
    <mergeCell ref="A114:A115"/>
    <mergeCell ref="A116:A117"/>
    <mergeCell ref="B116:B117"/>
    <mergeCell ref="A118:C118"/>
    <mergeCell ref="A119:C119"/>
    <mergeCell ref="A120:D120"/>
    <mergeCell ref="A121:D121"/>
    <mergeCell ref="A122:D122"/>
    <mergeCell ref="A123:D123"/>
    <mergeCell ref="A124:F124"/>
    <mergeCell ref="A125:A126"/>
    <mergeCell ref="B125:B126"/>
    <mergeCell ref="C125:E125"/>
    <mergeCell ref="F125:G125"/>
    <mergeCell ref="A127:G127"/>
    <mergeCell ref="B129:G129"/>
    <mergeCell ref="A130:G130"/>
    <mergeCell ref="A131:A132"/>
    <mergeCell ref="B131:B132"/>
    <mergeCell ref="C131:E131"/>
    <mergeCell ref="F131:G131"/>
    <mergeCell ref="A133:A134"/>
    <mergeCell ref="B133:B134"/>
    <mergeCell ref="C133:E133"/>
    <mergeCell ref="F133:G133"/>
    <mergeCell ref="A135:A136"/>
    <mergeCell ref="C135:E135"/>
    <mergeCell ref="F135:G135"/>
    <mergeCell ref="B135:B136"/>
    <mergeCell ref="A137:C137"/>
    <mergeCell ref="A138:C138"/>
    <mergeCell ref="A139:D139"/>
    <mergeCell ref="A140:D140"/>
    <mergeCell ref="A141:D141"/>
    <mergeCell ref="A142:D142"/>
    <mergeCell ref="C147:E147"/>
    <mergeCell ref="F147:G147"/>
    <mergeCell ref="A143:A144"/>
    <mergeCell ref="B143:B144"/>
    <mergeCell ref="C143:E143"/>
    <mergeCell ref="F143:G143"/>
    <mergeCell ref="B145:B146"/>
    <mergeCell ref="C145:E145"/>
    <mergeCell ref="F145:G145"/>
    <mergeCell ref="A145:A146"/>
    <mergeCell ref="A147:A148"/>
    <mergeCell ref="B147:B148"/>
    <mergeCell ref="A149:C149"/>
    <mergeCell ref="A150:C150"/>
    <mergeCell ref="A151:D151"/>
    <mergeCell ref="A152:D152"/>
    <mergeCell ref="A153:D153"/>
    <mergeCell ref="A154:D154"/>
    <mergeCell ref="A155:F155"/>
    <mergeCell ref="A156:A157"/>
    <mergeCell ref="B156:B157"/>
    <mergeCell ref="C156:E156"/>
    <mergeCell ref="F156:G156"/>
    <mergeCell ref="A158:G158"/>
    <mergeCell ref="B160:G160"/>
    <mergeCell ref="A161:G161"/>
    <mergeCell ref="A162:A163"/>
    <mergeCell ref="B162:B163"/>
    <mergeCell ref="C162:E162"/>
    <mergeCell ref="F162:G162"/>
    <mergeCell ref="A164:A165"/>
    <mergeCell ref="B164:B165"/>
    <mergeCell ref="C164:E164"/>
    <mergeCell ref="F164:G164"/>
    <mergeCell ref="A166:A167"/>
    <mergeCell ref="C166:E166"/>
    <mergeCell ref="F166:G166"/>
    <mergeCell ref="B166:B167"/>
    <mergeCell ref="A168:C168"/>
    <mergeCell ref="A169:C169"/>
    <mergeCell ref="A170:D170"/>
    <mergeCell ref="A171:D171"/>
    <mergeCell ref="A172:D172"/>
    <mergeCell ref="A173:D173"/>
    <mergeCell ref="C178:E178"/>
    <mergeCell ref="F178:G178"/>
    <mergeCell ref="A174:A175"/>
    <mergeCell ref="B174:B175"/>
    <mergeCell ref="C174:E174"/>
    <mergeCell ref="F174:G174"/>
    <mergeCell ref="B176:B177"/>
    <mergeCell ref="C176:E176"/>
    <mergeCell ref="F176:G176"/>
    <mergeCell ref="A215:D215"/>
    <mergeCell ref="A216:D216"/>
    <mergeCell ref="A217:F217"/>
    <mergeCell ref="A207:A208"/>
    <mergeCell ref="A209:A210"/>
    <mergeCell ref="B209:B210"/>
    <mergeCell ref="A211:C211"/>
    <mergeCell ref="A212:C212"/>
    <mergeCell ref="A213:D213"/>
    <mergeCell ref="A214:D214"/>
    <mergeCell ref="A176:A177"/>
    <mergeCell ref="A178:A179"/>
    <mergeCell ref="B178:B179"/>
    <mergeCell ref="A180:C180"/>
    <mergeCell ref="A181:C181"/>
    <mergeCell ref="A182:D182"/>
    <mergeCell ref="A183:D183"/>
    <mergeCell ref="A184:D184"/>
    <mergeCell ref="A185:D185"/>
    <mergeCell ref="A186:F186"/>
    <mergeCell ref="A187:A188"/>
    <mergeCell ref="B187:B188"/>
    <mergeCell ref="C187:E187"/>
    <mergeCell ref="F187:G187"/>
    <mergeCell ref="A189:G189"/>
    <mergeCell ref="B191:G191"/>
    <mergeCell ref="A192:G192"/>
    <mergeCell ref="A193:A194"/>
    <mergeCell ref="B193:B194"/>
    <mergeCell ref="C193:E193"/>
    <mergeCell ref="F193:G193"/>
    <mergeCell ref="A195:A196"/>
    <mergeCell ref="B195:B196"/>
    <mergeCell ref="C195:E195"/>
    <mergeCell ref="F195:G195"/>
    <mergeCell ref="A197:A198"/>
    <mergeCell ref="C197:E197"/>
    <mergeCell ref="F197:G197"/>
    <mergeCell ref="B197:B198"/>
    <mergeCell ref="A199:C199"/>
    <mergeCell ref="A200:C200"/>
    <mergeCell ref="A201:D201"/>
    <mergeCell ref="A202:D202"/>
    <mergeCell ref="A203:D203"/>
    <mergeCell ref="A204:D204"/>
    <mergeCell ref="C209:E209"/>
    <mergeCell ref="F209:G209"/>
    <mergeCell ref="A205:A206"/>
    <mergeCell ref="B205:B206"/>
    <mergeCell ref="C205:E205"/>
    <mergeCell ref="F205:G205"/>
    <mergeCell ref="B207:B208"/>
    <mergeCell ref="C207:E207"/>
    <mergeCell ref="F207:G207"/>
  </mergeCell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hidden="1" min="8" max="8" width="7.57"/>
    <col customWidth="1" hidden="1" min="9" max="9" width="6.71"/>
  </cols>
  <sheetData>
    <row r="1">
      <c r="A1" s="331" t="s">
        <v>742</v>
      </c>
      <c r="B1" s="331" t="s">
        <v>745</v>
      </c>
      <c r="C1" s="332" t="s">
        <v>6</v>
      </c>
      <c r="D1" s="2"/>
      <c r="E1" s="3"/>
      <c r="F1" s="332" t="s">
        <v>746</v>
      </c>
      <c r="G1" s="3"/>
      <c r="H1" s="382"/>
      <c r="I1" s="382"/>
    </row>
    <row r="2">
      <c r="A2" s="20"/>
      <c r="B2" s="20"/>
      <c r="C2" s="334" t="s">
        <v>8</v>
      </c>
      <c r="D2" s="334" t="s">
        <v>9</v>
      </c>
      <c r="E2" s="334" t="s">
        <v>358</v>
      </c>
      <c r="F2" s="334" t="s">
        <v>11</v>
      </c>
      <c r="G2" s="334" t="s">
        <v>751</v>
      </c>
      <c r="H2" s="382"/>
      <c r="I2" s="382"/>
    </row>
    <row r="3">
      <c r="A3" s="337" t="s">
        <v>1303</v>
      </c>
      <c r="B3" s="2"/>
      <c r="C3" s="2"/>
      <c r="D3" s="2"/>
      <c r="E3" s="2"/>
      <c r="F3" s="2"/>
      <c r="G3" s="3"/>
      <c r="H3" s="382"/>
      <c r="I3" s="382"/>
    </row>
    <row r="4">
      <c r="A4" s="368"/>
      <c r="B4" s="362" t="s">
        <v>754</v>
      </c>
      <c r="C4" s="362" t="s">
        <v>43</v>
      </c>
      <c r="D4" s="362" t="s">
        <v>757</v>
      </c>
      <c r="E4" s="362">
        <v>1.0</v>
      </c>
      <c r="F4" s="368"/>
      <c r="G4" s="368"/>
      <c r="H4" s="382"/>
      <c r="I4" s="382"/>
    </row>
    <row r="5">
      <c r="A5" s="362" t="s">
        <v>761</v>
      </c>
      <c r="B5" s="341" t="s">
        <v>1169</v>
      </c>
      <c r="C5" s="2"/>
      <c r="D5" s="2"/>
      <c r="E5" s="2"/>
      <c r="F5" s="2"/>
      <c r="G5" s="3"/>
      <c r="H5" s="382"/>
      <c r="I5" s="382"/>
    </row>
    <row r="6">
      <c r="A6" s="341" t="s">
        <v>1170</v>
      </c>
      <c r="B6" s="2"/>
      <c r="C6" s="2"/>
      <c r="D6" s="2"/>
      <c r="E6" s="2"/>
      <c r="F6" s="2"/>
      <c r="G6" s="3"/>
      <c r="H6" s="382"/>
      <c r="I6" s="382"/>
    </row>
    <row r="7">
      <c r="A7" s="344"/>
      <c r="B7" s="346" t="s">
        <v>1307</v>
      </c>
      <c r="C7" s="348" t="s">
        <v>1308</v>
      </c>
      <c r="D7" s="2"/>
      <c r="E7" s="3"/>
      <c r="F7" s="349"/>
      <c r="G7" s="3"/>
      <c r="H7" s="382"/>
      <c r="I7" s="382"/>
    </row>
    <row r="8">
      <c r="A8" s="20"/>
      <c r="B8" s="20"/>
      <c r="C8" s="351" t="s">
        <v>43</v>
      </c>
      <c r="D8" s="351">
        <v>1.0</v>
      </c>
      <c r="E8" s="351">
        <v>728.81</v>
      </c>
      <c r="F8" s="351">
        <f>D8*E8</f>
        <v>728.81</v>
      </c>
      <c r="G8" s="351" t="s">
        <v>772</v>
      </c>
      <c r="H8" s="382"/>
      <c r="I8" s="382"/>
    </row>
    <row r="9">
      <c r="A9" s="344"/>
      <c r="B9" s="346" t="s">
        <v>1312</v>
      </c>
      <c r="C9" s="348" t="s">
        <v>1313</v>
      </c>
      <c r="D9" s="2"/>
      <c r="E9" s="3"/>
      <c r="F9" s="349"/>
      <c r="G9" s="3"/>
      <c r="H9" s="382"/>
      <c r="I9" s="382"/>
    </row>
    <row r="10">
      <c r="A10" s="20"/>
      <c r="B10" s="20"/>
      <c r="C10" s="351" t="s">
        <v>43</v>
      </c>
      <c r="D10" s="351">
        <v>4.0</v>
      </c>
      <c r="E10" s="351">
        <v>0.25</v>
      </c>
      <c r="F10" s="351">
        <f>D10*E10</f>
        <v>1</v>
      </c>
      <c r="G10" s="351" t="s">
        <v>1315</v>
      </c>
      <c r="H10" s="382"/>
      <c r="I10" s="382"/>
    </row>
    <row r="11">
      <c r="A11" s="344"/>
      <c r="B11" s="346" t="s">
        <v>1174</v>
      </c>
      <c r="C11" s="348" t="s">
        <v>1175</v>
      </c>
      <c r="D11" s="2"/>
      <c r="E11" s="3"/>
      <c r="F11" s="349"/>
      <c r="G11" s="3"/>
      <c r="H11" s="382"/>
      <c r="I11" s="382"/>
    </row>
    <row r="12">
      <c r="A12" s="20"/>
      <c r="B12" s="20"/>
      <c r="C12" s="351" t="s">
        <v>27</v>
      </c>
      <c r="D12" s="351">
        <v>0.01</v>
      </c>
      <c r="E12" s="351">
        <v>675.0</v>
      </c>
      <c r="F12" s="351">
        <f>D12*E12</f>
        <v>6.75</v>
      </c>
      <c r="G12" s="351" t="s">
        <v>782</v>
      </c>
      <c r="H12" s="382"/>
      <c r="I12" s="382"/>
    </row>
    <row r="13">
      <c r="A13" s="346" t="s">
        <v>1178</v>
      </c>
      <c r="B13" s="344"/>
      <c r="C13" s="357" t="s">
        <v>1318</v>
      </c>
      <c r="D13" s="2"/>
      <c r="E13" s="3"/>
      <c r="F13" s="349"/>
      <c r="G13" s="3"/>
      <c r="H13" s="382"/>
      <c r="I13" s="382"/>
    </row>
    <row r="14">
      <c r="A14" s="20"/>
      <c r="B14" s="20"/>
      <c r="C14" s="351" t="s">
        <v>904</v>
      </c>
      <c r="D14" s="359"/>
      <c r="E14" s="359"/>
      <c r="F14" s="351">
        <f>(F8+F10+F12)*0.5%</f>
        <v>3.6828</v>
      </c>
      <c r="G14" s="351" t="s">
        <v>1183</v>
      </c>
      <c r="H14" s="382"/>
      <c r="I14" s="382"/>
    </row>
    <row r="15">
      <c r="A15" s="341" t="s">
        <v>42</v>
      </c>
      <c r="B15" s="2"/>
      <c r="C15" s="3"/>
      <c r="D15" s="362">
        <v>1.0</v>
      </c>
      <c r="E15" s="362" t="s">
        <v>43</v>
      </c>
      <c r="F15" s="362">
        <f>F8+F10+F12+F14</f>
        <v>740.2428</v>
      </c>
      <c r="G15" s="339"/>
      <c r="H15" s="382"/>
      <c r="I15" s="382"/>
    </row>
    <row r="16">
      <c r="A16" s="341" t="s">
        <v>800</v>
      </c>
      <c r="B16" s="2"/>
      <c r="C16" s="3"/>
      <c r="D16" s="362">
        <v>1.0</v>
      </c>
      <c r="E16" s="362" t="s">
        <v>43</v>
      </c>
      <c r="F16" s="362">
        <f>F15/D15</f>
        <v>740.2428</v>
      </c>
      <c r="G16" s="339"/>
      <c r="H16" s="382"/>
      <c r="I16" s="382"/>
    </row>
    <row r="17">
      <c r="A17" s="341" t="s">
        <v>1187</v>
      </c>
      <c r="B17" s="2"/>
      <c r="C17" s="2"/>
      <c r="D17" s="3"/>
      <c r="E17" s="362">
        <f>(F8+F10)*1.005</f>
        <v>733.45905</v>
      </c>
      <c r="F17" s="362">
        <f>E17*1%</f>
        <v>7.3345905</v>
      </c>
      <c r="G17" s="339"/>
      <c r="H17" s="382"/>
      <c r="I17" s="382"/>
    </row>
    <row r="18">
      <c r="A18" s="341" t="s">
        <v>42</v>
      </c>
      <c r="B18" s="2"/>
      <c r="C18" s="2"/>
      <c r="D18" s="3"/>
      <c r="E18" s="339"/>
      <c r="F18" s="362">
        <f>F16+F17</f>
        <v>747.5773905</v>
      </c>
      <c r="G18" s="339"/>
      <c r="H18" s="382"/>
      <c r="I18" s="382"/>
    </row>
    <row r="19">
      <c r="A19" s="341" t="s">
        <v>806</v>
      </c>
      <c r="B19" s="2"/>
      <c r="C19" s="2"/>
      <c r="D19" s="3"/>
      <c r="E19" s="362">
        <f>F18</f>
        <v>747.5773905</v>
      </c>
      <c r="F19" s="362">
        <f>E19*15%</f>
        <v>112.1366086</v>
      </c>
      <c r="G19" s="339"/>
      <c r="H19" s="382"/>
      <c r="I19" s="382"/>
    </row>
    <row r="20">
      <c r="A20" s="367" t="s">
        <v>42</v>
      </c>
      <c r="B20" s="2"/>
      <c r="C20" s="2"/>
      <c r="D20" s="3"/>
      <c r="E20" s="368"/>
      <c r="F20" s="369">
        <f>round(F18+F19,2)</f>
        <v>859.71</v>
      </c>
      <c r="G20" s="339"/>
      <c r="H20" s="382"/>
      <c r="I20" s="382"/>
    </row>
    <row r="21">
      <c r="A21" s="346">
        <v>2862.0</v>
      </c>
      <c r="B21" s="383"/>
      <c r="C21" s="348" t="s">
        <v>1329</v>
      </c>
      <c r="D21" s="2"/>
      <c r="E21" s="3"/>
      <c r="F21" s="349"/>
      <c r="G21" s="3"/>
      <c r="H21" s="382"/>
      <c r="I21" s="382"/>
    </row>
    <row r="22">
      <c r="A22" s="20"/>
      <c r="B22" s="20"/>
      <c r="C22" s="351" t="s">
        <v>43</v>
      </c>
      <c r="D22" s="351">
        <v>4.0</v>
      </c>
      <c r="E22" s="351">
        <v>5.4</v>
      </c>
      <c r="F22" s="351">
        <f>D22*E22</f>
        <v>21.6</v>
      </c>
      <c r="G22" s="351" t="s">
        <v>1204</v>
      </c>
      <c r="H22" s="382"/>
      <c r="I22" s="382"/>
    </row>
    <row r="23">
      <c r="A23" s="346">
        <v>2920.0</v>
      </c>
      <c r="B23" s="383"/>
      <c r="C23" s="351" t="s">
        <v>1333</v>
      </c>
      <c r="D23" s="384"/>
      <c r="E23" s="384"/>
      <c r="F23" s="359"/>
      <c r="G23" s="359"/>
      <c r="H23" s="382"/>
      <c r="I23" s="382"/>
    </row>
    <row r="24">
      <c r="A24" s="20"/>
      <c r="B24" s="20"/>
      <c r="C24" s="351" t="s">
        <v>43</v>
      </c>
      <c r="D24" s="351">
        <v>4.0</v>
      </c>
      <c r="E24" s="351">
        <v>0.0</v>
      </c>
      <c r="F24" s="351">
        <f>D24*E24</f>
        <v>0</v>
      </c>
      <c r="G24" s="351" t="s">
        <v>1337</v>
      </c>
      <c r="H24" s="382"/>
      <c r="I24" s="382"/>
    </row>
    <row r="25">
      <c r="A25" s="346">
        <v>1005.0</v>
      </c>
      <c r="B25" s="383"/>
      <c r="C25" s="348" t="s">
        <v>1208</v>
      </c>
      <c r="D25" s="2"/>
      <c r="E25" s="3"/>
      <c r="F25" s="349"/>
      <c r="G25" s="3"/>
      <c r="H25" s="382"/>
      <c r="I25" s="382"/>
    </row>
    <row r="26">
      <c r="A26" s="20"/>
      <c r="B26" s="20"/>
      <c r="C26" s="351" t="s">
        <v>27</v>
      </c>
      <c r="D26" s="351">
        <v>0.01</v>
      </c>
      <c r="E26" s="351">
        <v>734.0</v>
      </c>
      <c r="F26" s="351">
        <f>D26*E26</f>
        <v>7.34</v>
      </c>
      <c r="G26" s="351" t="s">
        <v>780</v>
      </c>
      <c r="H26" s="382"/>
      <c r="I26" s="382"/>
    </row>
    <row r="27">
      <c r="A27" s="346" t="s">
        <v>1178</v>
      </c>
      <c r="B27" s="344"/>
      <c r="C27" s="357" t="s">
        <v>1340</v>
      </c>
      <c r="D27" s="2"/>
      <c r="E27" s="3"/>
      <c r="F27" s="349"/>
      <c r="G27" s="3"/>
      <c r="H27" s="382"/>
      <c r="I27" s="382"/>
    </row>
    <row r="28">
      <c r="A28" s="20"/>
      <c r="B28" s="20"/>
      <c r="C28" s="351" t="s">
        <v>904</v>
      </c>
      <c r="D28" s="359"/>
      <c r="E28" s="359"/>
      <c r="F28" s="351">
        <f>(F22+F24+F26)*0.5%</f>
        <v>0.1447</v>
      </c>
      <c r="G28" s="351" t="s">
        <v>1215</v>
      </c>
      <c r="H28" s="382"/>
      <c r="I28" s="382"/>
    </row>
    <row r="29">
      <c r="A29" s="341" t="s">
        <v>42</v>
      </c>
      <c r="B29" s="2"/>
      <c r="C29" s="3"/>
      <c r="D29" s="362">
        <v>1.0</v>
      </c>
      <c r="E29" s="362" t="s">
        <v>43</v>
      </c>
      <c r="F29" s="362">
        <f>F22+F24+F26+F28</f>
        <v>29.0847</v>
      </c>
      <c r="G29" s="368"/>
      <c r="H29" s="382"/>
      <c r="I29" s="382"/>
    </row>
    <row r="30">
      <c r="A30" s="341" t="s">
        <v>800</v>
      </c>
      <c r="B30" s="2"/>
      <c r="C30" s="3"/>
      <c r="D30" s="362">
        <v>1.0</v>
      </c>
      <c r="E30" s="362" t="s">
        <v>43</v>
      </c>
      <c r="F30" s="362">
        <f>F29/D29</f>
        <v>29.0847</v>
      </c>
      <c r="G30" s="368"/>
      <c r="H30" s="382"/>
      <c r="I30" s="382"/>
    </row>
    <row r="31">
      <c r="A31" s="341" t="s">
        <v>1187</v>
      </c>
      <c r="B31" s="2"/>
      <c r="C31" s="2"/>
      <c r="D31" s="3"/>
      <c r="E31" s="362">
        <f>(F22+F24)*1.005</f>
        <v>21.708</v>
      </c>
      <c r="F31" s="362">
        <f>E31*1%</f>
        <v>0.21708</v>
      </c>
      <c r="G31" s="368"/>
      <c r="H31" s="382"/>
      <c r="I31" s="382"/>
    </row>
    <row r="32">
      <c r="A32" s="341" t="s">
        <v>42</v>
      </c>
      <c r="B32" s="2"/>
      <c r="C32" s="2"/>
      <c r="D32" s="3"/>
      <c r="E32" s="339"/>
      <c r="F32" s="362">
        <f>F30+F31</f>
        <v>29.30178</v>
      </c>
      <c r="G32" s="368"/>
      <c r="H32" s="382"/>
      <c r="I32" s="382"/>
    </row>
    <row r="33">
      <c r="A33" s="341" t="s">
        <v>806</v>
      </c>
      <c r="B33" s="2"/>
      <c r="C33" s="2"/>
      <c r="D33" s="3"/>
      <c r="E33" s="362">
        <f>F32</f>
        <v>29.30178</v>
      </c>
      <c r="F33" s="362">
        <f>E33*15%</f>
        <v>4.395267</v>
      </c>
      <c r="G33" s="368"/>
      <c r="H33" s="382"/>
      <c r="I33" s="382"/>
    </row>
    <row r="34">
      <c r="A34" s="367" t="s">
        <v>42</v>
      </c>
      <c r="B34" s="2"/>
      <c r="C34" s="2"/>
      <c r="D34" s="3"/>
      <c r="E34" s="368"/>
      <c r="F34" s="369">
        <f>round(F32+F33,2)</f>
        <v>33.7</v>
      </c>
      <c r="G34" s="339"/>
      <c r="H34" s="382"/>
      <c r="I34" s="382"/>
    </row>
    <row r="35">
      <c r="A35" s="372" t="str">
        <f>CONCATENATE("Say ₹ ",F20," + ",F34," x Cost Index")                                           </f>
        <v>Say ₹ 859.71 + 33.7 x Cost Index</v>
      </c>
      <c r="B35" s="2"/>
      <c r="C35" s="2"/>
      <c r="D35" s="2"/>
      <c r="E35" s="2"/>
      <c r="F35" s="3"/>
      <c r="G35" s="373" t="s">
        <v>948</v>
      </c>
      <c r="H35" s="382">
        <f>((F8+F10)*1.005*1.01*1.15)+(F12*1.005*1.15)</f>
        <v>859.7139991</v>
      </c>
      <c r="I35" s="382">
        <f>((F22+F24)*1.005*1.01*1.15)+(F26*1.005*1.15)</f>
        <v>33.697047</v>
      </c>
    </row>
  </sheetData>
  <mergeCells count="50">
    <mergeCell ref="A1:A2"/>
    <mergeCell ref="B1:B2"/>
    <mergeCell ref="C1:E1"/>
    <mergeCell ref="F1:G1"/>
    <mergeCell ref="A3:G3"/>
    <mergeCell ref="B5:G5"/>
    <mergeCell ref="A6:G6"/>
    <mergeCell ref="C11:E11"/>
    <mergeCell ref="F11:G11"/>
    <mergeCell ref="C13:E13"/>
    <mergeCell ref="F13:G13"/>
    <mergeCell ref="A7:A8"/>
    <mergeCell ref="B7:B8"/>
    <mergeCell ref="C7:E7"/>
    <mergeCell ref="F7:G7"/>
    <mergeCell ref="B9:B10"/>
    <mergeCell ref="C9:E9"/>
    <mergeCell ref="F9:G9"/>
    <mergeCell ref="A9:A10"/>
    <mergeCell ref="A11:A12"/>
    <mergeCell ref="B11:B12"/>
    <mergeCell ref="A13:A14"/>
    <mergeCell ref="B13:B14"/>
    <mergeCell ref="A15:C15"/>
    <mergeCell ref="A16:C16"/>
    <mergeCell ref="A17:D17"/>
    <mergeCell ref="A18:D18"/>
    <mergeCell ref="A19:D19"/>
    <mergeCell ref="A20:D20"/>
    <mergeCell ref="B21:B22"/>
    <mergeCell ref="C21:E21"/>
    <mergeCell ref="F21:G21"/>
    <mergeCell ref="A21:A22"/>
    <mergeCell ref="A23:A24"/>
    <mergeCell ref="B23:B24"/>
    <mergeCell ref="A25:A26"/>
    <mergeCell ref="B25:B26"/>
    <mergeCell ref="C25:E25"/>
    <mergeCell ref="F25:G25"/>
    <mergeCell ref="A32:D32"/>
    <mergeCell ref="A33:D33"/>
    <mergeCell ref="A34:D34"/>
    <mergeCell ref="A35:F35"/>
    <mergeCell ref="A27:A28"/>
    <mergeCell ref="B27:B28"/>
    <mergeCell ref="C27:E27"/>
    <mergeCell ref="F27:G27"/>
    <mergeCell ref="A29:C29"/>
    <mergeCell ref="A30:C30"/>
    <mergeCell ref="A31:D3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hidden="1" min="8" max="9" width="14.43"/>
  </cols>
  <sheetData>
    <row r="1">
      <c r="A1" s="331" t="s">
        <v>742</v>
      </c>
      <c r="B1" s="331" t="s">
        <v>745</v>
      </c>
      <c r="C1" s="332" t="s">
        <v>6</v>
      </c>
      <c r="D1" s="2"/>
      <c r="E1" s="3"/>
      <c r="F1" s="332" t="s">
        <v>746</v>
      </c>
      <c r="G1" s="3"/>
      <c r="H1" s="333"/>
      <c r="I1" s="333"/>
    </row>
    <row r="2">
      <c r="A2" s="20"/>
      <c r="B2" s="20"/>
      <c r="C2" s="334" t="s">
        <v>8</v>
      </c>
      <c r="D2" s="334" t="s">
        <v>9</v>
      </c>
      <c r="E2" s="334" t="s">
        <v>358</v>
      </c>
      <c r="F2" s="334" t="s">
        <v>11</v>
      </c>
      <c r="G2" s="334" t="s">
        <v>751</v>
      </c>
      <c r="H2" s="333"/>
      <c r="I2" s="333"/>
    </row>
    <row r="3">
      <c r="A3" s="337" t="s">
        <v>1306</v>
      </c>
      <c r="B3" s="2"/>
      <c r="C3" s="2"/>
      <c r="D3" s="2"/>
      <c r="E3" s="2"/>
      <c r="F3" s="2"/>
      <c r="G3" s="3"/>
      <c r="H3" s="333"/>
      <c r="I3" s="333"/>
    </row>
    <row r="4">
      <c r="A4" s="339"/>
      <c r="B4" s="339" t="s">
        <v>754</v>
      </c>
      <c r="C4" s="339" t="s">
        <v>43</v>
      </c>
      <c r="D4" s="339" t="s">
        <v>757</v>
      </c>
      <c r="E4" s="339">
        <v>1.0</v>
      </c>
      <c r="F4" s="339"/>
      <c r="G4" s="339"/>
      <c r="H4" s="333"/>
      <c r="I4" s="333"/>
    </row>
    <row r="5">
      <c r="A5" s="339" t="s">
        <v>761</v>
      </c>
      <c r="B5" s="341" t="s">
        <v>1169</v>
      </c>
      <c r="C5" s="2"/>
      <c r="D5" s="2"/>
      <c r="E5" s="2"/>
      <c r="F5" s="2"/>
      <c r="G5" s="3"/>
      <c r="H5" s="333"/>
      <c r="I5" s="333"/>
    </row>
    <row r="6">
      <c r="A6" s="341" t="s">
        <v>1170</v>
      </c>
      <c r="B6" s="2"/>
      <c r="C6" s="2"/>
      <c r="D6" s="2"/>
      <c r="E6" s="2"/>
      <c r="F6" s="2"/>
      <c r="G6" s="3"/>
      <c r="H6" s="333"/>
      <c r="I6" s="333"/>
    </row>
    <row r="7">
      <c r="A7" s="344"/>
      <c r="B7" s="346" t="s">
        <v>1310</v>
      </c>
      <c r="C7" s="348" t="s">
        <v>1311</v>
      </c>
      <c r="D7" s="2"/>
      <c r="E7" s="3"/>
      <c r="F7" s="349"/>
      <c r="G7" s="3"/>
      <c r="H7" s="333"/>
      <c r="I7" s="333"/>
    </row>
    <row r="8">
      <c r="A8" s="20"/>
      <c r="B8" s="20"/>
      <c r="C8" s="351" t="s">
        <v>43</v>
      </c>
      <c r="D8" s="351">
        <v>1.0</v>
      </c>
      <c r="E8" s="351">
        <v>1525.42</v>
      </c>
      <c r="F8" s="351">
        <f>D8*E8</f>
        <v>1525.42</v>
      </c>
      <c r="G8" s="351" t="s">
        <v>772</v>
      </c>
      <c r="H8" s="333"/>
      <c r="I8" s="333"/>
    </row>
    <row r="9">
      <c r="A9" s="344"/>
      <c r="B9" s="346" t="s">
        <v>1174</v>
      </c>
      <c r="C9" s="348" t="s">
        <v>1175</v>
      </c>
      <c r="D9" s="2"/>
      <c r="E9" s="3"/>
      <c r="F9" s="349"/>
      <c r="G9" s="3"/>
      <c r="H9" s="333"/>
      <c r="I9" s="333"/>
    </row>
    <row r="10">
      <c r="A10" s="20"/>
      <c r="B10" s="20"/>
      <c r="C10" s="351" t="s">
        <v>27</v>
      </c>
      <c r="D10" s="351">
        <v>0.01</v>
      </c>
      <c r="E10" s="351">
        <v>675.0</v>
      </c>
      <c r="F10" s="351">
        <f>D10*E10</f>
        <v>6.75</v>
      </c>
      <c r="G10" s="351" t="s">
        <v>782</v>
      </c>
      <c r="H10" s="333"/>
      <c r="I10" s="333"/>
    </row>
    <row r="11">
      <c r="A11" s="346" t="s">
        <v>1178</v>
      </c>
      <c r="B11" s="344"/>
      <c r="C11" s="357" t="s">
        <v>1180</v>
      </c>
      <c r="D11" s="2"/>
      <c r="E11" s="3"/>
      <c r="F11" s="349"/>
      <c r="G11" s="3"/>
      <c r="H11" s="333"/>
      <c r="I11" s="333"/>
    </row>
    <row r="12">
      <c r="A12" s="20"/>
      <c r="B12" s="20"/>
      <c r="C12" s="351" t="s">
        <v>904</v>
      </c>
      <c r="D12" s="359"/>
      <c r="E12" s="359"/>
      <c r="F12" s="351">
        <f>(F8+F10)*0.5%</f>
        <v>7.66085</v>
      </c>
      <c r="G12" s="351" t="s">
        <v>1183</v>
      </c>
      <c r="H12" s="333"/>
      <c r="I12" s="333"/>
    </row>
    <row r="13">
      <c r="A13" s="341" t="s">
        <v>42</v>
      </c>
      <c r="B13" s="2"/>
      <c r="C13" s="3"/>
      <c r="D13" s="362">
        <v>1.0</v>
      </c>
      <c r="E13" s="362" t="s">
        <v>43</v>
      </c>
      <c r="F13" s="362">
        <f>F8+F10+F12</f>
        <v>1539.83085</v>
      </c>
      <c r="G13" s="339"/>
      <c r="H13" s="333"/>
      <c r="I13" s="333"/>
    </row>
    <row r="14">
      <c r="A14" s="341" t="s">
        <v>800</v>
      </c>
      <c r="B14" s="2"/>
      <c r="C14" s="3"/>
      <c r="D14" s="362">
        <v>1.0</v>
      </c>
      <c r="E14" s="362" t="s">
        <v>43</v>
      </c>
      <c r="F14" s="362">
        <f>F13/D13</f>
        <v>1539.83085</v>
      </c>
      <c r="G14" s="339"/>
      <c r="H14" s="333"/>
      <c r="I14" s="333"/>
    </row>
    <row r="15">
      <c r="A15" s="341" t="s">
        <v>1187</v>
      </c>
      <c r="B15" s="2"/>
      <c r="C15" s="2"/>
      <c r="D15" s="3"/>
      <c r="E15" s="366">
        <f>F8*100.5%/D13</f>
        <v>1533.0471</v>
      </c>
      <c r="F15" s="362">
        <f>E15*1%</f>
        <v>15.330471</v>
      </c>
      <c r="G15" s="339"/>
      <c r="H15" s="333"/>
      <c r="I15" s="333"/>
    </row>
    <row r="16">
      <c r="A16" s="341" t="s">
        <v>42</v>
      </c>
      <c r="B16" s="2"/>
      <c r="C16" s="2"/>
      <c r="D16" s="3"/>
      <c r="E16" s="339"/>
      <c r="F16" s="362">
        <f>F14+F15</f>
        <v>1555.161321</v>
      </c>
      <c r="G16" s="339"/>
      <c r="H16" s="333"/>
      <c r="I16" s="333"/>
    </row>
    <row r="17">
      <c r="A17" s="341" t="s">
        <v>806</v>
      </c>
      <c r="B17" s="2"/>
      <c r="C17" s="2"/>
      <c r="D17" s="3"/>
      <c r="E17" s="362">
        <f>F16</f>
        <v>1555.161321</v>
      </c>
      <c r="F17" s="362">
        <f>E17*15%</f>
        <v>233.2741982</v>
      </c>
      <c r="G17" s="339"/>
      <c r="H17" s="333"/>
      <c r="I17" s="333"/>
    </row>
    <row r="18">
      <c r="A18" s="367" t="s">
        <v>42</v>
      </c>
      <c r="B18" s="2"/>
      <c r="C18" s="2"/>
      <c r="D18" s="3"/>
      <c r="E18" s="368"/>
      <c r="F18" s="369">
        <f>round(F16+F17,2)</f>
        <v>1788.44</v>
      </c>
      <c r="G18" s="339"/>
      <c r="H18" s="333"/>
      <c r="I18" s="333"/>
    </row>
    <row r="19">
      <c r="A19" s="344">
        <v>2852.0</v>
      </c>
      <c r="B19" s="346"/>
      <c r="C19" s="348" t="s">
        <v>1201</v>
      </c>
      <c r="D19" s="2"/>
      <c r="E19" s="3"/>
      <c r="F19" s="349"/>
      <c r="G19" s="3"/>
      <c r="H19" s="333"/>
      <c r="I19" s="333"/>
    </row>
    <row r="20">
      <c r="A20" s="20"/>
      <c r="B20" s="20"/>
      <c r="C20" s="351" t="s">
        <v>43</v>
      </c>
      <c r="D20" s="351">
        <v>4.0</v>
      </c>
      <c r="E20" s="351">
        <v>1.8</v>
      </c>
      <c r="F20" s="351">
        <f>D20*E20</f>
        <v>7.2</v>
      </c>
      <c r="G20" s="351" t="s">
        <v>1204</v>
      </c>
      <c r="H20" s="333"/>
      <c r="I20" s="333"/>
    </row>
    <row r="21">
      <c r="A21" s="344">
        <v>1005.0</v>
      </c>
      <c r="B21" s="346"/>
      <c r="C21" s="348" t="s">
        <v>1208</v>
      </c>
      <c r="D21" s="2"/>
      <c r="E21" s="3"/>
      <c r="F21" s="349"/>
      <c r="G21" s="3"/>
      <c r="H21" s="333"/>
      <c r="I21" s="333"/>
    </row>
    <row r="22">
      <c r="A22" s="20"/>
      <c r="B22" s="20"/>
      <c r="C22" s="351" t="s">
        <v>27</v>
      </c>
      <c r="D22" s="351">
        <v>0.01</v>
      </c>
      <c r="E22" s="351">
        <v>734.0</v>
      </c>
      <c r="F22" s="351">
        <f>D22*E22</f>
        <v>7.34</v>
      </c>
      <c r="G22" s="351" t="s">
        <v>780</v>
      </c>
      <c r="H22" s="333"/>
      <c r="I22" s="333"/>
    </row>
    <row r="23">
      <c r="A23" s="346" t="s">
        <v>1178</v>
      </c>
      <c r="B23" s="344"/>
      <c r="C23" s="357" t="s">
        <v>1211</v>
      </c>
      <c r="D23" s="2"/>
      <c r="E23" s="3"/>
      <c r="F23" s="349"/>
      <c r="G23" s="3"/>
      <c r="H23" s="333"/>
      <c r="I23" s="333"/>
    </row>
    <row r="24">
      <c r="A24" s="20"/>
      <c r="B24" s="20"/>
      <c r="C24" s="351" t="s">
        <v>904</v>
      </c>
      <c r="D24" s="359"/>
      <c r="E24" s="359"/>
      <c r="F24" s="351">
        <f>(F20+F22)*0.5%</f>
        <v>0.0727</v>
      </c>
      <c r="G24" s="351" t="s">
        <v>1215</v>
      </c>
      <c r="H24" s="333">
        <f>F24+F12</f>
        <v>7.73355</v>
      </c>
      <c r="I24" s="333"/>
    </row>
    <row r="25">
      <c r="A25" s="341" t="s">
        <v>42</v>
      </c>
      <c r="B25" s="2"/>
      <c r="C25" s="3"/>
      <c r="D25" s="362">
        <v>1.0</v>
      </c>
      <c r="E25" s="362" t="s">
        <v>43</v>
      </c>
      <c r="F25" s="362">
        <f>F20+F22+F24</f>
        <v>14.6127</v>
      </c>
      <c r="G25" s="368"/>
      <c r="H25" s="333"/>
      <c r="I25" s="333"/>
    </row>
    <row r="26">
      <c r="A26" s="341" t="s">
        <v>800</v>
      </c>
      <c r="B26" s="2"/>
      <c r="C26" s="3"/>
      <c r="D26" s="362">
        <v>1.0</v>
      </c>
      <c r="E26" s="362" t="s">
        <v>43</v>
      </c>
      <c r="F26" s="362">
        <f>F25/D25</f>
        <v>14.6127</v>
      </c>
      <c r="G26" s="368"/>
      <c r="H26" s="333"/>
      <c r="I26" s="333"/>
    </row>
    <row r="27">
      <c r="A27" s="341" t="s">
        <v>1187</v>
      </c>
      <c r="B27" s="2"/>
      <c r="C27" s="2"/>
      <c r="D27" s="3"/>
      <c r="E27" s="366">
        <f>F20*100.5%/D25</f>
        <v>7.236</v>
      </c>
      <c r="F27" s="362">
        <f>E27*1%</f>
        <v>0.07236</v>
      </c>
      <c r="G27" s="368"/>
      <c r="H27" s="333"/>
      <c r="I27" s="333"/>
    </row>
    <row r="28">
      <c r="A28" s="341" t="s">
        <v>42</v>
      </c>
      <c r="B28" s="2"/>
      <c r="C28" s="2"/>
      <c r="D28" s="3"/>
      <c r="E28" s="339"/>
      <c r="F28" s="362">
        <f>F26+F27</f>
        <v>14.68506</v>
      </c>
      <c r="G28" s="368"/>
      <c r="H28" s="333"/>
      <c r="I28" s="333"/>
    </row>
    <row r="29">
      <c r="A29" s="341" t="s">
        <v>806</v>
      </c>
      <c r="B29" s="2"/>
      <c r="C29" s="2"/>
      <c r="D29" s="3"/>
      <c r="E29" s="362">
        <f>F28</f>
        <v>14.68506</v>
      </c>
      <c r="F29" s="362">
        <f>E29*15%</f>
        <v>2.202759</v>
      </c>
      <c r="G29" s="368"/>
      <c r="H29" s="333"/>
      <c r="I29" s="333"/>
    </row>
    <row r="30">
      <c r="A30" s="367" t="s">
        <v>42</v>
      </c>
      <c r="B30" s="2"/>
      <c r="C30" s="2"/>
      <c r="D30" s="3"/>
      <c r="E30" s="368"/>
      <c r="F30" s="369">
        <f>round(F28+F29,2)</f>
        <v>16.89</v>
      </c>
      <c r="G30" s="339"/>
      <c r="H30" s="333"/>
      <c r="I30" s="333">
        <f>F30+F18</f>
        <v>1805.33</v>
      </c>
    </row>
    <row r="31">
      <c r="A31" s="372" t="str">
        <f>CONCATENATE("Say ₹ ",F18," + ",F30," x Cost Index")                                           </f>
        <v>Say ₹ 1788.44 + 16.89 x Cost Index</v>
      </c>
      <c r="B31" s="2"/>
      <c r="C31" s="2"/>
      <c r="D31" s="2"/>
      <c r="E31" s="2"/>
      <c r="F31" s="3"/>
      <c r="G31" s="373" t="s">
        <v>948</v>
      </c>
      <c r="H31" s="374">
        <f>((F8*1.005*1.01)+(F10*1.005))*1.15</f>
        <v>1788.435519</v>
      </c>
      <c r="I31" s="374">
        <f>((F20*1.005*1.01)+(F22*1.005))*1.15</f>
        <v>16.887819</v>
      </c>
    </row>
    <row r="32">
      <c r="A32" s="331" t="s">
        <v>742</v>
      </c>
      <c r="B32" s="331" t="s">
        <v>745</v>
      </c>
      <c r="C32" s="332" t="s">
        <v>6</v>
      </c>
      <c r="D32" s="2"/>
      <c r="E32" s="3"/>
      <c r="F32" s="332" t="s">
        <v>746</v>
      </c>
      <c r="G32" s="3"/>
      <c r="H32" s="333"/>
      <c r="I32" s="333"/>
    </row>
    <row r="33">
      <c r="A33" s="20"/>
      <c r="B33" s="20"/>
      <c r="C33" s="334" t="s">
        <v>8</v>
      </c>
      <c r="D33" s="334" t="s">
        <v>9</v>
      </c>
      <c r="E33" s="334" t="s">
        <v>358</v>
      </c>
      <c r="F33" s="334" t="s">
        <v>11</v>
      </c>
      <c r="G33" s="334" t="s">
        <v>751</v>
      </c>
      <c r="H33" s="333"/>
      <c r="I33" s="333"/>
    </row>
    <row r="34">
      <c r="A34" s="337" t="s">
        <v>1331</v>
      </c>
      <c r="B34" s="2"/>
      <c r="C34" s="2"/>
      <c r="D34" s="2"/>
      <c r="E34" s="2"/>
      <c r="F34" s="2"/>
      <c r="G34" s="3"/>
      <c r="H34" s="333"/>
      <c r="I34" s="333"/>
    </row>
    <row r="35">
      <c r="A35" s="339"/>
      <c r="B35" s="339" t="s">
        <v>754</v>
      </c>
      <c r="C35" s="339" t="s">
        <v>43</v>
      </c>
      <c r="D35" s="339" t="s">
        <v>757</v>
      </c>
      <c r="E35" s="339">
        <v>1.0</v>
      </c>
      <c r="F35" s="339"/>
      <c r="G35" s="339"/>
      <c r="H35" s="333"/>
      <c r="I35" s="333"/>
    </row>
    <row r="36">
      <c r="A36" s="339" t="s">
        <v>761</v>
      </c>
      <c r="B36" s="341" t="s">
        <v>1169</v>
      </c>
      <c r="C36" s="2"/>
      <c r="D36" s="2"/>
      <c r="E36" s="2"/>
      <c r="F36" s="2"/>
      <c r="G36" s="3"/>
      <c r="H36" s="333"/>
      <c r="I36" s="333"/>
    </row>
    <row r="37">
      <c r="A37" s="341" t="s">
        <v>1170</v>
      </c>
      <c r="B37" s="2"/>
      <c r="C37" s="2"/>
      <c r="D37" s="2"/>
      <c r="E37" s="2"/>
      <c r="F37" s="2"/>
      <c r="G37" s="3"/>
      <c r="H37" s="333"/>
      <c r="I37" s="333"/>
    </row>
    <row r="38">
      <c r="A38" s="344"/>
      <c r="B38" s="346" t="s">
        <v>1334</v>
      </c>
      <c r="C38" s="348" t="s">
        <v>1335</v>
      </c>
      <c r="D38" s="2"/>
      <c r="E38" s="3"/>
      <c r="F38" s="349"/>
      <c r="G38" s="3"/>
      <c r="H38" s="333"/>
      <c r="I38" s="333"/>
    </row>
    <row r="39">
      <c r="A39" s="20"/>
      <c r="B39" s="20"/>
      <c r="C39" s="351" t="s">
        <v>43</v>
      </c>
      <c r="D39" s="351">
        <v>1.0</v>
      </c>
      <c r="E39" s="351">
        <v>1567.8</v>
      </c>
      <c r="F39" s="351">
        <f>D39*E39</f>
        <v>1567.8</v>
      </c>
      <c r="G39" s="351" t="s">
        <v>772</v>
      </c>
      <c r="H39" s="333"/>
      <c r="I39" s="333"/>
    </row>
    <row r="40">
      <c r="A40" s="344"/>
      <c r="B40" s="346" t="s">
        <v>1174</v>
      </c>
      <c r="C40" s="348" t="s">
        <v>1175</v>
      </c>
      <c r="D40" s="2"/>
      <c r="E40" s="3"/>
      <c r="F40" s="349"/>
      <c r="G40" s="3"/>
      <c r="H40" s="333"/>
      <c r="I40" s="333"/>
    </row>
    <row r="41">
      <c r="A41" s="20"/>
      <c r="B41" s="20"/>
      <c r="C41" s="351" t="s">
        <v>27</v>
      </c>
      <c r="D41" s="351">
        <v>0.01</v>
      </c>
      <c r="E41" s="351">
        <v>675.0</v>
      </c>
      <c r="F41" s="351">
        <f>D41*E41</f>
        <v>6.75</v>
      </c>
      <c r="G41" s="351" t="s">
        <v>782</v>
      </c>
      <c r="H41" s="333"/>
      <c r="I41" s="333"/>
    </row>
    <row r="42">
      <c r="A42" s="346" t="s">
        <v>1178</v>
      </c>
      <c r="B42" s="344"/>
      <c r="C42" s="357" t="s">
        <v>1180</v>
      </c>
      <c r="D42" s="2"/>
      <c r="E42" s="3"/>
      <c r="F42" s="349"/>
      <c r="G42" s="3"/>
      <c r="H42" s="333"/>
      <c r="I42" s="333"/>
    </row>
    <row r="43">
      <c r="A43" s="20"/>
      <c r="B43" s="20"/>
      <c r="C43" s="351" t="s">
        <v>904</v>
      </c>
      <c r="D43" s="359"/>
      <c r="E43" s="359"/>
      <c r="F43" s="351">
        <f>(F39+F41)*0.5%</f>
        <v>7.87275</v>
      </c>
      <c r="G43" s="351" t="s">
        <v>1183</v>
      </c>
      <c r="H43" s="333"/>
      <c r="I43" s="333"/>
    </row>
    <row r="44">
      <c r="A44" s="341" t="s">
        <v>42</v>
      </c>
      <c r="B44" s="2"/>
      <c r="C44" s="3"/>
      <c r="D44" s="362">
        <v>1.0</v>
      </c>
      <c r="E44" s="362" t="s">
        <v>43</v>
      </c>
      <c r="F44" s="362">
        <f>F39+F41+F43</f>
        <v>1582.42275</v>
      </c>
      <c r="G44" s="339"/>
      <c r="H44" s="333"/>
      <c r="I44" s="333"/>
    </row>
    <row r="45">
      <c r="A45" s="341" t="s">
        <v>800</v>
      </c>
      <c r="B45" s="2"/>
      <c r="C45" s="3"/>
      <c r="D45" s="362">
        <v>1.0</v>
      </c>
      <c r="E45" s="362" t="s">
        <v>43</v>
      </c>
      <c r="F45" s="362">
        <f>F44/D44</f>
        <v>1582.42275</v>
      </c>
      <c r="G45" s="339"/>
      <c r="H45" s="333"/>
      <c r="I45" s="333"/>
    </row>
    <row r="46">
      <c r="A46" s="341" t="s">
        <v>1187</v>
      </c>
      <c r="B46" s="2"/>
      <c r="C46" s="2"/>
      <c r="D46" s="3"/>
      <c r="E46" s="366">
        <f>F39*100.5%/D44</f>
        <v>1575.639</v>
      </c>
      <c r="F46" s="362">
        <f>E46*1%</f>
        <v>15.75639</v>
      </c>
      <c r="G46" s="339"/>
      <c r="H46" s="333"/>
      <c r="I46" s="333"/>
    </row>
    <row r="47">
      <c r="A47" s="341" t="s">
        <v>42</v>
      </c>
      <c r="B47" s="2"/>
      <c r="C47" s="2"/>
      <c r="D47" s="3"/>
      <c r="E47" s="339"/>
      <c r="F47" s="362">
        <f>F45+F46</f>
        <v>1598.17914</v>
      </c>
      <c r="G47" s="339"/>
      <c r="H47" s="333"/>
      <c r="I47" s="333"/>
    </row>
    <row r="48">
      <c r="A48" s="341" t="s">
        <v>806</v>
      </c>
      <c r="B48" s="2"/>
      <c r="C48" s="2"/>
      <c r="D48" s="3"/>
      <c r="E48" s="362">
        <f>F47</f>
        <v>1598.17914</v>
      </c>
      <c r="F48" s="362">
        <f>E48*15%</f>
        <v>239.726871</v>
      </c>
      <c r="G48" s="339"/>
      <c r="H48" s="333"/>
      <c r="I48" s="333"/>
    </row>
    <row r="49">
      <c r="A49" s="367" t="s">
        <v>42</v>
      </c>
      <c r="B49" s="2"/>
      <c r="C49" s="2"/>
      <c r="D49" s="3"/>
      <c r="E49" s="368"/>
      <c r="F49" s="369">
        <f>round(F47+F48,2)</f>
        <v>1837.91</v>
      </c>
      <c r="G49" s="339"/>
      <c r="H49" s="333"/>
      <c r="I49" s="333"/>
    </row>
    <row r="50">
      <c r="A50" s="344">
        <v>2852.0</v>
      </c>
      <c r="B50" s="346"/>
      <c r="C50" s="348" t="s">
        <v>1201</v>
      </c>
      <c r="D50" s="2"/>
      <c r="E50" s="3"/>
      <c r="F50" s="349"/>
      <c r="G50" s="3"/>
      <c r="H50" s="333"/>
      <c r="I50" s="333"/>
    </row>
    <row r="51">
      <c r="A51" s="20"/>
      <c r="B51" s="20"/>
      <c r="C51" s="351" t="s">
        <v>43</v>
      </c>
      <c r="D51" s="351">
        <v>4.0</v>
      </c>
      <c r="E51" s="351">
        <v>1.8</v>
      </c>
      <c r="F51" s="351">
        <f>D51*E51</f>
        <v>7.2</v>
      </c>
      <c r="G51" s="351" t="s">
        <v>1204</v>
      </c>
      <c r="H51" s="333"/>
      <c r="I51" s="333"/>
    </row>
    <row r="52">
      <c r="A52" s="344">
        <v>1005.0</v>
      </c>
      <c r="B52" s="346"/>
      <c r="C52" s="348" t="s">
        <v>1208</v>
      </c>
      <c r="D52" s="2"/>
      <c r="E52" s="3"/>
      <c r="F52" s="349"/>
      <c r="G52" s="3"/>
      <c r="H52" s="333"/>
      <c r="I52" s="333"/>
    </row>
    <row r="53">
      <c r="A53" s="20"/>
      <c r="B53" s="20"/>
      <c r="C53" s="351" t="s">
        <v>27</v>
      </c>
      <c r="D53" s="351">
        <v>0.01</v>
      </c>
      <c r="E53" s="351">
        <v>734.0</v>
      </c>
      <c r="F53" s="351">
        <f>D53*E53</f>
        <v>7.34</v>
      </c>
      <c r="G53" s="351" t="s">
        <v>780</v>
      </c>
      <c r="H53" s="333"/>
      <c r="I53" s="333"/>
    </row>
    <row r="54">
      <c r="A54" s="346" t="s">
        <v>1178</v>
      </c>
      <c r="B54" s="344"/>
      <c r="C54" s="357" t="s">
        <v>1211</v>
      </c>
      <c r="D54" s="2"/>
      <c r="E54" s="3"/>
      <c r="F54" s="349"/>
      <c r="G54" s="3"/>
      <c r="H54" s="333"/>
      <c r="I54" s="333"/>
    </row>
    <row r="55">
      <c r="A55" s="20"/>
      <c r="B55" s="20"/>
      <c r="C55" s="351" t="s">
        <v>904</v>
      </c>
      <c r="D55" s="359"/>
      <c r="E55" s="359"/>
      <c r="F55" s="351">
        <f>(F51+F53)*0.5%</f>
        <v>0.0727</v>
      </c>
      <c r="G55" s="351" t="s">
        <v>1215</v>
      </c>
      <c r="H55" s="333">
        <f>F55+F43</f>
        <v>7.94545</v>
      </c>
      <c r="I55" s="333"/>
    </row>
    <row r="56">
      <c r="A56" s="341" t="s">
        <v>42</v>
      </c>
      <c r="B56" s="2"/>
      <c r="C56" s="3"/>
      <c r="D56" s="362">
        <v>1.0</v>
      </c>
      <c r="E56" s="362" t="s">
        <v>43</v>
      </c>
      <c r="F56" s="362">
        <f>F51+F53+F55</f>
        <v>14.6127</v>
      </c>
      <c r="G56" s="368"/>
      <c r="H56" s="333"/>
      <c r="I56" s="333"/>
    </row>
    <row r="57">
      <c r="A57" s="341" t="s">
        <v>800</v>
      </c>
      <c r="B57" s="2"/>
      <c r="C57" s="3"/>
      <c r="D57" s="362">
        <v>1.0</v>
      </c>
      <c r="E57" s="362" t="s">
        <v>43</v>
      </c>
      <c r="F57" s="362">
        <f>F56/D56</f>
        <v>14.6127</v>
      </c>
      <c r="G57" s="368"/>
      <c r="H57" s="333"/>
      <c r="I57" s="333"/>
    </row>
    <row r="58">
      <c r="A58" s="341" t="s">
        <v>1187</v>
      </c>
      <c r="B58" s="2"/>
      <c r="C58" s="2"/>
      <c r="D58" s="3"/>
      <c r="E58" s="366">
        <f>F51*100.5%/D56</f>
        <v>7.236</v>
      </c>
      <c r="F58" s="362">
        <f>E58*1%</f>
        <v>0.07236</v>
      </c>
      <c r="G58" s="368"/>
      <c r="H58" s="333"/>
      <c r="I58" s="333"/>
    </row>
    <row r="59">
      <c r="A59" s="341" t="s">
        <v>42</v>
      </c>
      <c r="B59" s="2"/>
      <c r="C59" s="2"/>
      <c r="D59" s="3"/>
      <c r="E59" s="339"/>
      <c r="F59" s="362">
        <f>F57+F58</f>
        <v>14.68506</v>
      </c>
      <c r="G59" s="368"/>
      <c r="H59" s="333"/>
      <c r="I59" s="333"/>
    </row>
    <row r="60">
      <c r="A60" s="341" t="s">
        <v>806</v>
      </c>
      <c r="B60" s="2"/>
      <c r="C60" s="2"/>
      <c r="D60" s="3"/>
      <c r="E60" s="362">
        <f>F59</f>
        <v>14.68506</v>
      </c>
      <c r="F60" s="362">
        <f>E60*15%</f>
        <v>2.202759</v>
      </c>
      <c r="G60" s="368"/>
      <c r="H60" s="333"/>
      <c r="I60" s="333"/>
    </row>
    <row r="61">
      <c r="A61" s="367" t="s">
        <v>42</v>
      </c>
      <c r="B61" s="2"/>
      <c r="C61" s="2"/>
      <c r="D61" s="3"/>
      <c r="E61" s="368"/>
      <c r="F61" s="369">
        <f>round(F59+F60,2)</f>
        <v>16.89</v>
      </c>
      <c r="G61" s="339"/>
      <c r="H61" s="333"/>
      <c r="I61" s="333">
        <f>F61+F49</f>
        <v>1854.8</v>
      </c>
    </row>
    <row r="62">
      <c r="A62" s="372" t="str">
        <f>CONCATENATE("Say ₹ ",F49," + ",F61," x Cost Index")                                           </f>
        <v>Say ₹ 1837.91 + 16.89 x Cost Index</v>
      </c>
      <c r="B62" s="2"/>
      <c r="C62" s="2"/>
      <c r="D62" s="2"/>
      <c r="E62" s="2"/>
      <c r="F62" s="3"/>
      <c r="G62" s="373" t="s">
        <v>948</v>
      </c>
      <c r="H62" s="374">
        <f>((F39*1.005*1.01)+(F41*1.005))*1.15</f>
        <v>1837.906011</v>
      </c>
      <c r="I62" s="374">
        <f>((F51*1.005*1.01)+(F53*1.005))*1.15</f>
        <v>16.887819</v>
      </c>
    </row>
    <row r="63">
      <c r="A63" s="331" t="s">
        <v>742</v>
      </c>
      <c r="B63" s="331" t="s">
        <v>745</v>
      </c>
      <c r="C63" s="332" t="s">
        <v>6</v>
      </c>
      <c r="D63" s="2"/>
      <c r="E63" s="3"/>
      <c r="F63" s="332" t="s">
        <v>746</v>
      </c>
      <c r="G63" s="3"/>
      <c r="H63" s="333"/>
      <c r="I63" s="333"/>
    </row>
    <row r="64">
      <c r="A64" s="20"/>
      <c r="B64" s="20"/>
      <c r="C64" s="334" t="s">
        <v>8</v>
      </c>
      <c r="D64" s="334" t="s">
        <v>9</v>
      </c>
      <c r="E64" s="334" t="s">
        <v>358</v>
      </c>
      <c r="F64" s="334" t="s">
        <v>11</v>
      </c>
      <c r="G64" s="334" t="s">
        <v>751</v>
      </c>
      <c r="H64" s="333"/>
      <c r="I64" s="333"/>
    </row>
    <row r="65">
      <c r="A65" s="337" t="s">
        <v>1357</v>
      </c>
      <c r="B65" s="2"/>
      <c r="C65" s="2"/>
      <c r="D65" s="2"/>
      <c r="E65" s="2"/>
      <c r="F65" s="2"/>
      <c r="G65" s="3"/>
      <c r="H65" s="333"/>
      <c r="I65" s="333"/>
    </row>
    <row r="66">
      <c r="A66" s="339"/>
      <c r="B66" s="339" t="s">
        <v>754</v>
      </c>
      <c r="C66" s="339" t="s">
        <v>43</v>
      </c>
      <c r="D66" s="339" t="s">
        <v>757</v>
      </c>
      <c r="E66" s="339">
        <v>1.0</v>
      </c>
      <c r="F66" s="339"/>
      <c r="G66" s="339"/>
      <c r="H66" s="333"/>
      <c r="I66" s="333"/>
    </row>
    <row r="67">
      <c r="A67" s="339" t="s">
        <v>761</v>
      </c>
      <c r="B67" s="341" t="s">
        <v>1169</v>
      </c>
      <c r="C67" s="2"/>
      <c r="D67" s="2"/>
      <c r="E67" s="2"/>
      <c r="F67" s="2"/>
      <c r="G67" s="3"/>
      <c r="H67" s="333"/>
      <c r="I67" s="333"/>
    </row>
    <row r="68">
      <c r="A68" s="341" t="s">
        <v>1170</v>
      </c>
      <c r="B68" s="2"/>
      <c r="C68" s="2"/>
      <c r="D68" s="2"/>
      <c r="E68" s="2"/>
      <c r="F68" s="2"/>
      <c r="G68" s="3"/>
      <c r="H68" s="333"/>
      <c r="I68" s="333"/>
    </row>
    <row r="69">
      <c r="A69" s="344"/>
      <c r="B69" s="346" t="s">
        <v>1361</v>
      </c>
      <c r="C69" s="348" t="s">
        <v>1362</v>
      </c>
      <c r="D69" s="2"/>
      <c r="E69" s="3"/>
      <c r="F69" s="349"/>
      <c r="G69" s="3"/>
      <c r="H69" s="333"/>
      <c r="I69" s="333"/>
    </row>
    <row r="70">
      <c r="A70" s="20"/>
      <c r="B70" s="20"/>
      <c r="C70" s="351" t="s">
        <v>43</v>
      </c>
      <c r="D70" s="351">
        <v>1.0</v>
      </c>
      <c r="E70" s="351">
        <v>1610.17</v>
      </c>
      <c r="F70" s="351">
        <f>D70*E70</f>
        <v>1610.17</v>
      </c>
      <c r="G70" s="351" t="s">
        <v>772</v>
      </c>
      <c r="H70" s="333"/>
      <c r="I70" s="333"/>
    </row>
    <row r="71">
      <c r="A71" s="344"/>
      <c r="B71" s="346" t="s">
        <v>1174</v>
      </c>
      <c r="C71" s="348" t="s">
        <v>1175</v>
      </c>
      <c r="D71" s="2"/>
      <c r="E71" s="3"/>
      <c r="F71" s="349"/>
      <c r="G71" s="3"/>
      <c r="H71" s="333"/>
      <c r="I71" s="333"/>
    </row>
    <row r="72">
      <c r="A72" s="20"/>
      <c r="B72" s="20"/>
      <c r="C72" s="351" t="s">
        <v>27</v>
      </c>
      <c r="D72" s="351">
        <v>0.01</v>
      </c>
      <c r="E72" s="351">
        <v>675.0</v>
      </c>
      <c r="F72" s="351">
        <f>D72*E72</f>
        <v>6.75</v>
      </c>
      <c r="G72" s="351" t="s">
        <v>782</v>
      </c>
      <c r="H72" s="333"/>
      <c r="I72" s="333"/>
    </row>
    <row r="73">
      <c r="A73" s="346" t="s">
        <v>1178</v>
      </c>
      <c r="B73" s="344"/>
      <c r="C73" s="357" t="s">
        <v>1180</v>
      </c>
      <c r="D73" s="2"/>
      <c r="E73" s="3"/>
      <c r="F73" s="349"/>
      <c r="G73" s="3"/>
      <c r="H73" s="333"/>
      <c r="I73" s="333"/>
    </row>
    <row r="74">
      <c r="A74" s="20"/>
      <c r="B74" s="20"/>
      <c r="C74" s="351" t="s">
        <v>904</v>
      </c>
      <c r="D74" s="359"/>
      <c r="E74" s="359"/>
      <c r="F74" s="351">
        <f>(F70+F72)*0.5%</f>
        <v>8.0846</v>
      </c>
      <c r="G74" s="351" t="s">
        <v>1183</v>
      </c>
      <c r="H74" s="333"/>
      <c r="I74" s="333"/>
    </row>
    <row r="75">
      <c r="A75" s="341" t="s">
        <v>42</v>
      </c>
      <c r="B75" s="2"/>
      <c r="C75" s="3"/>
      <c r="D75" s="362">
        <v>1.0</v>
      </c>
      <c r="E75" s="362" t="s">
        <v>43</v>
      </c>
      <c r="F75" s="362">
        <f>F70+F72+F74</f>
        <v>1625.0046</v>
      </c>
      <c r="G75" s="339"/>
      <c r="H75" s="333"/>
      <c r="I75" s="333"/>
    </row>
    <row r="76">
      <c r="A76" s="341" t="s">
        <v>800</v>
      </c>
      <c r="B76" s="2"/>
      <c r="C76" s="3"/>
      <c r="D76" s="362">
        <v>1.0</v>
      </c>
      <c r="E76" s="362" t="s">
        <v>43</v>
      </c>
      <c r="F76" s="362">
        <f>F75/D75</f>
        <v>1625.0046</v>
      </c>
      <c r="G76" s="339"/>
      <c r="H76" s="333"/>
      <c r="I76" s="333"/>
    </row>
    <row r="77">
      <c r="A77" s="341" t="s">
        <v>1187</v>
      </c>
      <c r="B77" s="2"/>
      <c r="C77" s="2"/>
      <c r="D77" s="3"/>
      <c r="E77" s="366">
        <f>F70*100.5%/D75</f>
        <v>1618.22085</v>
      </c>
      <c r="F77" s="362">
        <f>E77*1%</f>
        <v>16.1822085</v>
      </c>
      <c r="G77" s="339"/>
      <c r="H77" s="333"/>
      <c r="I77" s="333"/>
    </row>
    <row r="78">
      <c r="A78" s="341" t="s">
        <v>42</v>
      </c>
      <c r="B78" s="2"/>
      <c r="C78" s="2"/>
      <c r="D78" s="3"/>
      <c r="E78" s="339"/>
      <c r="F78" s="362">
        <f>F76+F77</f>
        <v>1641.186809</v>
      </c>
      <c r="G78" s="339"/>
      <c r="H78" s="333"/>
      <c r="I78" s="333"/>
    </row>
    <row r="79">
      <c r="A79" s="341" t="s">
        <v>806</v>
      </c>
      <c r="B79" s="2"/>
      <c r="C79" s="2"/>
      <c r="D79" s="3"/>
      <c r="E79" s="362">
        <f>F78</f>
        <v>1641.186809</v>
      </c>
      <c r="F79" s="362">
        <f>E79*15%</f>
        <v>246.1780213</v>
      </c>
      <c r="G79" s="339"/>
      <c r="H79" s="333"/>
      <c r="I79" s="333"/>
    </row>
    <row r="80">
      <c r="A80" s="367" t="s">
        <v>42</v>
      </c>
      <c r="B80" s="2"/>
      <c r="C80" s="2"/>
      <c r="D80" s="3"/>
      <c r="E80" s="368"/>
      <c r="F80" s="369">
        <f>round(F78+F79,2)</f>
        <v>1887.36</v>
      </c>
      <c r="G80" s="339"/>
      <c r="H80" s="333"/>
      <c r="I80" s="333"/>
    </row>
    <row r="81">
      <c r="A81" s="344">
        <v>2852.0</v>
      </c>
      <c r="B81" s="346"/>
      <c r="C81" s="348" t="s">
        <v>1201</v>
      </c>
      <c r="D81" s="2"/>
      <c r="E81" s="3"/>
      <c r="F81" s="349"/>
      <c r="G81" s="3"/>
      <c r="H81" s="333"/>
      <c r="I81" s="333"/>
    </row>
    <row r="82">
      <c r="A82" s="20"/>
      <c r="B82" s="20"/>
      <c r="C82" s="351" t="s">
        <v>43</v>
      </c>
      <c r="D82" s="351">
        <v>4.0</v>
      </c>
      <c r="E82" s="351">
        <v>1.8</v>
      </c>
      <c r="F82" s="351">
        <f>D82*E82</f>
        <v>7.2</v>
      </c>
      <c r="G82" s="351" t="s">
        <v>1204</v>
      </c>
      <c r="H82" s="333"/>
      <c r="I82" s="333"/>
    </row>
    <row r="83">
      <c r="A83" s="344">
        <v>1005.0</v>
      </c>
      <c r="B83" s="346"/>
      <c r="C83" s="348" t="s">
        <v>1208</v>
      </c>
      <c r="D83" s="2"/>
      <c r="E83" s="3"/>
      <c r="F83" s="349"/>
      <c r="G83" s="3"/>
      <c r="H83" s="333"/>
      <c r="I83" s="333"/>
    </row>
    <row r="84">
      <c r="A84" s="20"/>
      <c r="B84" s="20"/>
      <c r="C84" s="351" t="s">
        <v>27</v>
      </c>
      <c r="D84" s="351">
        <v>0.01</v>
      </c>
      <c r="E84" s="351">
        <v>734.0</v>
      </c>
      <c r="F84" s="351">
        <f>D84*E84</f>
        <v>7.34</v>
      </c>
      <c r="G84" s="351" t="s">
        <v>780</v>
      </c>
      <c r="H84" s="333"/>
      <c r="I84" s="333"/>
    </row>
    <row r="85">
      <c r="A85" s="346" t="s">
        <v>1178</v>
      </c>
      <c r="B85" s="344"/>
      <c r="C85" s="357" t="s">
        <v>1211</v>
      </c>
      <c r="D85" s="2"/>
      <c r="E85" s="3"/>
      <c r="F85" s="349"/>
      <c r="G85" s="3"/>
      <c r="H85" s="333"/>
      <c r="I85" s="333"/>
    </row>
    <row r="86">
      <c r="A86" s="20"/>
      <c r="B86" s="20"/>
      <c r="C86" s="351" t="s">
        <v>904</v>
      </c>
      <c r="D86" s="359"/>
      <c r="E86" s="359"/>
      <c r="F86" s="351">
        <f>(F82+F84)*0.5%</f>
        <v>0.0727</v>
      </c>
      <c r="G86" s="351" t="s">
        <v>1215</v>
      </c>
      <c r="H86" s="333">
        <f>F86+F74</f>
        <v>8.1573</v>
      </c>
      <c r="I86" s="333"/>
    </row>
    <row r="87">
      <c r="A87" s="341" t="s">
        <v>42</v>
      </c>
      <c r="B87" s="2"/>
      <c r="C87" s="3"/>
      <c r="D87" s="362">
        <v>1.0</v>
      </c>
      <c r="E87" s="362" t="s">
        <v>43</v>
      </c>
      <c r="F87" s="362">
        <f>F82+F84+F86</f>
        <v>14.6127</v>
      </c>
      <c r="G87" s="368"/>
      <c r="H87" s="333"/>
      <c r="I87" s="333"/>
    </row>
    <row r="88">
      <c r="A88" s="341" t="s">
        <v>800</v>
      </c>
      <c r="B88" s="2"/>
      <c r="C88" s="3"/>
      <c r="D88" s="362">
        <v>1.0</v>
      </c>
      <c r="E88" s="362" t="s">
        <v>43</v>
      </c>
      <c r="F88" s="362">
        <f>F87/D87</f>
        <v>14.6127</v>
      </c>
      <c r="G88" s="368"/>
      <c r="H88" s="333"/>
      <c r="I88" s="333"/>
    </row>
    <row r="89">
      <c r="A89" s="341" t="s">
        <v>1187</v>
      </c>
      <c r="B89" s="2"/>
      <c r="C89" s="2"/>
      <c r="D89" s="3"/>
      <c r="E89" s="366">
        <f>F82*100.5%/D87</f>
        <v>7.236</v>
      </c>
      <c r="F89" s="362">
        <f>E89*1%</f>
        <v>0.07236</v>
      </c>
      <c r="G89" s="368"/>
      <c r="H89" s="333"/>
      <c r="I89" s="333"/>
    </row>
    <row r="90">
      <c r="A90" s="341" t="s">
        <v>42</v>
      </c>
      <c r="B90" s="2"/>
      <c r="C90" s="2"/>
      <c r="D90" s="3"/>
      <c r="E90" s="339"/>
      <c r="F90" s="362">
        <f>F88+F89</f>
        <v>14.68506</v>
      </c>
      <c r="G90" s="368"/>
      <c r="H90" s="333"/>
      <c r="I90" s="333"/>
    </row>
    <row r="91">
      <c r="A91" s="341" t="s">
        <v>806</v>
      </c>
      <c r="B91" s="2"/>
      <c r="C91" s="2"/>
      <c r="D91" s="3"/>
      <c r="E91" s="362">
        <f>F90</f>
        <v>14.68506</v>
      </c>
      <c r="F91" s="362">
        <f>E91*15%</f>
        <v>2.202759</v>
      </c>
      <c r="G91" s="368"/>
      <c r="H91" s="333"/>
      <c r="I91" s="333"/>
    </row>
    <row r="92">
      <c r="A92" s="367" t="s">
        <v>42</v>
      </c>
      <c r="B92" s="2"/>
      <c r="C92" s="2"/>
      <c r="D92" s="3"/>
      <c r="E92" s="368"/>
      <c r="F92" s="369">
        <f>round(F90+F91,2)</f>
        <v>16.89</v>
      </c>
      <c r="G92" s="339"/>
      <c r="H92" s="333"/>
      <c r="I92" s="333">
        <f>F92+F80</f>
        <v>1904.25</v>
      </c>
    </row>
    <row r="93">
      <c r="A93" s="372" t="str">
        <f>CONCATENATE("Say ₹ ",F80," + ",F92," x Cost Index")                                           </f>
        <v>Say ₹ 1887.36 + 16.89 x Cost Index</v>
      </c>
      <c r="B93" s="2"/>
      <c r="C93" s="2"/>
      <c r="D93" s="2"/>
      <c r="E93" s="2"/>
      <c r="F93" s="3"/>
      <c r="G93" s="373" t="s">
        <v>948</v>
      </c>
      <c r="H93" s="374">
        <f>((F70*1.005*1.01)+(F72*1.005))*1.15</f>
        <v>1887.36483</v>
      </c>
      <c r="I93" s="374">
        <f>((F82*1.005*1.01)+(F84*1.005))*1.15</f>
        <v>16.887819</v>
      </c>
    </row>
    <row r="94">
      <c r="A94" s="331" t="s">
        <v>742</v>
      </c>
      <c r="B94" s="331" t="s">
        <v>745</v>
      </c>
      <c r="C94" s="332" t="s">
        <v>6</v>
      </c>
      <c r="D94" s="2"/>
      <c r="E94" s="3"/>
      <c r="F94" s="332" t="s">
        <v>746</v>
      </c>
      <c r="G94" s="3"/>
      <c r="H94" s="333"/>
      <c r="I94" s="333"/>
    </row>
    <row r="95">
      <c r="A95" s="20"/>
      <c r="B95" s="20"/>
      <c r="C95" s="334" t="s">
        <v>8</v>
      </c>
      <c r="D95" s="334" t="s">
        <v>9</v>
      </c>
      <c r="E95" s="334" t="s">
        <v>358</v>
      </c>
      <c r="F95" s="334" t="s">
        <v>11</v>
      </c>
      <c r="G95" s="334" t="s">
        <v>751</v>
      </c>
      <c r="H95" s="333"/>
      <c r="I95" s="333"/>
    </row>
    <row r="96">
      <c r="A96" s="337" t="s">
        <v>1447</v>
      </c>
      <c r="B96" s="2"/>
      <c r="C96" s="2"/>
      <c r="D96" s="2"/>
      <c r="E96" s="2"/>
      <c r="F96" s="2"/>
      <c r="G96" s="3"/>
      <c r="H96" s="333"/>
      <c r="I96" s="333"/>
    </row>
    <row r="97">
      <c r="A97" s="339"/>
      <c r="B97" s="339" t="s">
        <v>754</v>
      </c>
      <c r="C97" s="339" t="s">
        <v>43</v>
      </c>
      <c r="D97" s="339" t="s">
        <v>757</v>
      </c>
      <c r="E97" s="339">
        <v>1.0</v>
      </c>
      <c r="F97" s="339"/>
      <c r="G97" s="339"/>
      <c r="H97" s="333"/>
      <c r="I97" s="333"/>
    </row>
    <row r="98">
      <c r="A98" s="339" t="s">
        <v>761</v>
      </c>
      <c r="B98" s="341" t="s">
        <v>1169</v>
      </c>
      <c r="C98" s="2"/>
      <c r="D98" s="2"/>
      <c r="E98" s="2"/>
      <c r="F98" s="2"/>
      <c r="G98" s="3"/>
      <c r="H98" s="333"/>
      <c r="I98" s="333"/>
    </row>
    <row r="99">
      <c r="A99" s="341" t="s">
        <v>1170</v>
      </c>
      <c r="B99" s="2"/>
      <c r="C99" s="2"/>
      <c r="D99" s="2"/>
      <c r="E99" s="2"/>
      <c r="F99" s="2"/>
      <c r="G99" s="3"/>
      <c r="H99" s="333"/>
      <c r="I99" s="333"/>
    </row>
    <row r="100">
      <c r="A100" s="344"/>
      <c r="B100" s="346" t="s">
        <v>1457</v>
      </c>
      <c r="C100" s="348" t="s">
        <v>1458</v>
      </c>
      <c r="D100" s="2"/>
      <c r="E100" s="3"/>
      <c r="F100" s="349"/>
      <c r="G100" s="3"/>
      <c r="H100" s="333"/>
      <c r="I100" s="333"/>
    </row>
    <row r="101">
      <c r="A101" s="20"/>
      <c r="B101" s="20"/>
      <c r="C101" s="351" t="s">
        <v>43</v>
      </c>
      <c r="D101" s="351">
        <v>1.0</v>
      </c>
      <c r="E101" s="351">
        <v>1652.54</v>
      </c>
      <c r="F101" s="351">
        <f>D101*E101</f>
        <v>1652.54</v>
      </c>
      <c r="G101" s="351" t="s">
        <v>772</v>
      </c>
      <c r="H101" s="333"/>
      <c r="I101" s="333"/>
    </row>
    <row r="102">
      <c r="A102" s="344"/>
      <c r="B102" s="346" t="s">
        <v>1174</v>
      </c>
      <c r="C102" s="348" t="s">
        <v>1175</v>
      </c>
      <c r="D102" s="2"/>
      <c r="E102" s="3"/>
      <c r="F102" s="349"/>
      <c r="G102" s="3"/>
      <c r="H102" s="333"/>
      <c r="I102" s="333"/>
    </row>
    <row r="103">
      <c r="A103" s="20"/>
      <c r="B103" s="20"/>
      <c r="C103" s="351" t="s">
        <v>27</v>
      </c>
      <c r="D103" s="351">
        <v>0.01</v>
      </c>
      <c r="E103" s="351">
        <v>675.0</v>
      </c>
      <c r="F103" s="351">
        <f>D103*E103</f>
        <v>6.75</v>
      </c>
      <c r="G103" s="351" t="s">
        <v>782</v>
      </c>
      <c r="H103" s="333"/>
      <c r="I103" s="333"/>
    </row>
    <row r="104">
      <c r="A104" s="346" t="s">
        <v>1178</v>
      </c>
      <c r="B104" s="344"/>
      <c r="C104" s="357" t="s">
        <v>1180</v>
      </c>
      <c r="D104" s="2"/>
      <c r="E104" s="3"/>
      <c r="F104" s="349"/>
      <c r="G104" s="3"/>
      <c r="H104" s="333"/>
      <c r="I104" s="333"/>
    </row>
    <row r="105">
      <c r="A105" s="20"/>
      <c r="B105" s="20"/>
      <c r="C105" s="351" t="s">
        <v>904</v>
      </c>
      <c r="D105" s="359"/>
      <c r="E105" s="359"/>
      <c r="F105" s="351">
        <f>(F101+F103)*0.5%</f>
        <v>8.29645</v>
      </c>
      <c r="G105" s="351" t="s">
        <v>1183</v>
      </c>
      <c r="H105" s="333"/>
      <c r="I105" s="333"/>
    </row>
    <row r="106">
      <c r="A106" s="341" t="s">
        <v>42</v>
      </c>
      <c r="B106" s="2"/>
      <c r="C106" s="3"/>
      <c r="D106" s="362">
        <v>1.0</v>
      </c>
      <c r="E106" s="362" t="s">
        <v>43</v>
      </c>
      <c r="F106" s="362">
        <f>F101+F103+F105</f>
        <v>1667.58645</v>
      </c>
      <c r="G106" s="339"/>
      <c r="H106" s="333"/>
      <c r="I106" s="333"/>
    </row>
    <row r="107">
      <c r="A107" s="341" t="s">
        <v>800</v>
      </c>
      <c r="B107" s="2"/>
      <c r="C107" s="3"/>
      <c r="D107" s="362">
        <v>1.0</v>
      </c>
      <c r="E107" s="362" t="s">
        <v>43</v>
      </c>
      <c r="F107" s="362">
        <f>F106/D106</f>
        <v>1667.58645</v>
      </c>
      <c r="G107" s="339"/>
      <c r="H107" s="333"/>
      <c r="I107" s="333"/>
    </row>
    <row r="108">
      <c r="A108" s="341" t="s">
        <v>1187</v>
      </c>
      <c r="B108" s="2"/>
      <c r="C108" s="2"/>
      <c r="D108" s="3"/>
      <c r="E108" s="366">
        <f>F101*100.5%/D106</f>
        <v>1660.8027</v>
      </c>
      <c r="F108" s="362">
        <f>E108*1%</f>
        <v>16.608027</v>
      </c>
      <c r="G108" s="339"/>
      <c r="H108" s="333"/>
      <c r="I108" s="333"/>
    </row>
    <row r="109">
      <c r="A109" s="341" t="s">
        <v>42</v>
      </c>
      <c r="B109" s="2"/>
      <c r="C109" s="2"/>
      <c r="D109" s="3"/>
      <c r="E109" s="339"/>
      <c r="F109" s="362">
        <f>F107+F108</f>
        <v>1684.194477</v>
      </c>
      <c r="G109" s="339"/>
      <c r="H109" s="333"/>
      <c r="I109" s="333"/>
    </row>
    <row r="110">
      <c r="A110" s="341" t="s">
        <v>806</v>
      </c>
      <c r="B110" s="2"/>
      <c r="C110" s="2"/>
      <c r="D110" s="3"/>
      <c r="E110" s="362">
        <f>F109</f>
        <v>1684.194477</v>
      </c>
      <c r="F110" s="362">
        <f>E110*15%</f>
        <v>252.6291716</v>
      </c>
      <c r="G110" s="339"/>
      <c r="H110" s="333"/>
      <c r="I110" s="333"/>
    </row>
    <row r="111">
      <c r="A111" s="367" t="s">
        <v>42</v>
      </c>
      <c r="B111" s="2"/>
      <c r="C111" s="2"/>
      <c r="D111" s="3"/>
      <c r="E111" s="368"/>
      <c r="F111" s="369">
        <f>round(F109+F110,2)</f>
        <v>1936.82</v>
      </c>
      <c r="G111" s="339"/>
      <c r="H111" s="333"/>
      <c r="I111" s="333"/>
    </row>
    <row r="112">
      <c r="A112" s="344">
        <v>2852.0</v>
      </c>
      <c r="B112" s="346"/>
      <c r="C112" s="348" t="s">
        <v>1201</v>
      </c>
      <c r="D112" s="2"/>
      <c r="E112" s="3"/>
      <c r="F112" s="349"/>
      <c r="G112" s="3"/>
      <c r="H112" s="333"/>
      <c r="I112" s="333"/>
    </row>
    <row r="113">
      <c r="A113" s="20"/>
      <c r="B113" s="20"/>
      <c r="C113" s="351" t="s">
        <v>43</v>
      </c>
      <c r="D113" s="351">
        <v>4.0</v>
      </c>
      <c r="E113" s="351">
        <v>1.8</v>
      </c>
      <c r="F113" s="351">
        <f>D113*E113</f>
        <v>7.2</v>
      </c>
      <c r="G113" s="351" t="s">
        <v>1204</v>
      </c>
      <c r="H113" s="333"/>
      <c r="I113" s="333"/>
    </row>
    <row r="114">
      <c r="A114" s="344">
        <v>1005.0</v>
      </c>
      <c r="B114" s="346"/>
      <c r="C114" s="348" t="s">
        <v>1208</v>
      </c>
      <c r="D114" s="2"/>
      <c r="E114" s="3"/>
      <c r="F114" s="349"/>
      <c r="G114" s="3"/>
      <c r="H114" s="333"/>
      <c r="I114" s="333"/>
    </row>
    <row r="115">
      <c r="A115" s="20"/>
      <c r="B115" s="20"/>
      <c r="C115" s="351" t="s">
        <v>27</v>
      </c>
      <c r="D115" s="351">
        <v>0.01</v>
      </c>
      <c r="E115" s="351">
        <v>734.0</v>
      </c>
      <c r="F115" s="351">
        <f>D115*E115</f>
        <v>7.34</v>
      </c>
      <c r="G115" s="351" t="s">
        <v>780</v>
      </c>
      <c r="H115" s="333"/>
      <c r="I115" s="333"/>
    </row>
    <row r="116">
      <c r="A116" s="346" t="s">
        <v>1178</v>
      </c>
      <c r="B116" s="344"/>
      <c r="C116" s="357" t="s">
        <v>1211</v>
      </c>
      <c r="D116" s="2"/>
      <c r="E116" s="3"/>
      <c r="F116" s="349"/>
      <c r="G116" s="3"/>
      <c r="H116" s="333"/>
      <c r="I116" s="333"/>
    </row>
    <row r="117">
      <c r="A117" s="20"/>
      <c r="B117" s="20"/>
      <c r="C117" s="351" t="s">
        <v>904</v>
      </c>
      <c r="D117" s="359"/>
      <c r="E117" s="359"/>
      <c r="F117" s="351">
        <f>(F113+F115)*0.5%</f>
        <v>0.0727</v>
      </c>
      <c r="G117" s="351" t="s">
        <v>1215</v>
      </c>
      <c r="H117" s="333">
        <f>F117+F105</f>
        <v>8.36915</v>
      </c>
      <c r="I117" s="333"/>
    </row>
    <row r="118">
      <c r="A118" s="341" t="s">
        <v>42</v>
      </c>
      <c r="B118" s="2"/>
      <c r="C118" s="3"/>
      <c r="D118" s="362">
        <v>1.0</v>
      </c>
      <c r="E118" s="362" t="s">
        <v>43</v>
      </c>
      <c r="F118" s="362">
        <f>F113+F115+F117</f>
        <v>14.6127</v>
      </c>
      <c r="G118" s="368"/>
      <c r="H118" s="333"/>
      <c r="I118" s="333"/>
    </row>
    <row r="119">
      <c r="A119" s="341" t="s">
        <v>800</v>
      </c>
      <c r="B119" s="2"/>
      <c r="C119" s="3"/>
      <c r="D119" s="362">
        <v>1.0</v>
      </c>
      <c r="E119" s="362" t="s">
        <v>43</v>
      </c>
      <c r="F119" s="362">
        <f>F118/D118</f>
        <v>14.6127</v>
      </c>
      <c r="G119" s="368"/>
      <c r="H119" s="333"/>
      <c r="I119" s="333"/>
    </row>
    <row r="120">
      <c r="A120" s="341" t="s">
        <v>1187</v>
      </c>
      <c r="B120" s="2"/>
      <c r="C120" s="2"/>
      <c r="D120" s="3"/>
      <c r="E120" s="366">
        <f>F113*100.5%/D118</f>
        <v>7.236</v>
      </c>
      <c r="F120" s="362">
        <f>E120*1%</f>
        <v>0.07236</v>
      </c>
      <c r="G120" s="368"/>
      <c r="H120" s="333"/>
      <c r="I120" s="333"/>
    </row>
    <row r="121">
      <c r="A121" s="341" t="s">
        <v>42</v>
      </c>
      <c r="B121" s="2"/>
      <c r="C121" s="2"/>
      <c r="D121" s="3"/>
      <c r="E121" s="339"/>
      <c r="F121" s="362">
        <f>F119+F120</f>
        <v>14.68506</v>
      </c>
      <c r="G121" s="368"/>
      <c r="H121" s="333"/>
      <c r="I121" s="333"/>
    </row>
    <row r="122">
      <c r="A122" s="341" t="s">
        <v>806</v>
      </c>
      <c r="B122" s="2"/>
      <c r="C122" s="2"/>
      <c r="D122" s="3"/>
      <c r="E122" s="362">
        <f>F121</f>
        <v>14.68506</v>
      </c>
      <c r="F122" s="362">
        <f>E122*15%</f>
        <v>2.202759</v>
      </c>
      <c r="G122" s="368"/>
      <c r="H122" s="333"/>
      <c r="I122" s="333"/>
    </row>
    <row r="123">
      <c r="A123" s="367" t="s">
        <v>42</v>
      </c>
      <c r="B123" s="2"/>
      <c r="C123" s="2"/>
      <c r="D123" s="3"/>
      <c r="E123" s="368"/>
      <c r="F123" s="369">
        <f>round(F121+F122,2)</f>
        <v>16.89</v>
      </c>
      <c r="G123" s="339"/>
      <c r="H123" s="333"/>
      <c r="I123" s="333">
        <f>F123+F111</f>
        <v>1953.71</v>
      </c>
    </row>
    <row r="124">
      <c r="A124" s="372" t="str">
        <f>CONCATENATE("Say ₹ ",F111," + ",F123," x Cost Index")                                           </f>
        <v>Say ₹ 1936.82 + 16.89 x Cost Index</v>
      </c>
      <c r="B124" s="2"/>
      <c r="C124" s="2"/>
      <c r="D124" s="2"/>
      <c r="E124" s="2"/>
      <c r="F124" s="3"/>
      <c r="G124" s="373" t="s">
        <v>948</v>
      </c>
      <c r="H124" s="374">
        <f>((F101*1.005*1.01)+(F103*1.005))*1.15</f>
        <v>1936.823649</v>
      </c>
      <c r="I124" s="374">
        <f>((F113*1.005*1.01)+(F115*1.005))*1.15</f>
        <v>16.887819</v>
      </c>
    </row>
    <row r="125">
      <c r="A125" s="331" t="s">
        <v>742</v>
      </c>
      <c r="B125" s="331" t="s">
        <v>745</v>
      </c>
      <c r="C125" s="332" t="s">
        <v>6</v>
      </c>
      <c r="D125" s="2"/>
      <c r="E125" s="3"/>
      <c r="F125" s="332" t="s">
        <v>746</v>
      </c>
      <c r="G125" s="3"/>
      <c r="H125" s="333"/>
      <c r="I125" s="333"/>
    </row>
    <row r="126">
      <c r="A126" s="20"/>
      <c r="B126" s="20"/>
      <c r="C126" s="334" t="s">
        <v>8</v>
      </c>
      <c r="D126" s="334" t="s">
        <v>9</v>
      </c>
      <c r="E126" s="334" t="s">
        <v>358</v>
      </c>
      <c r="F126" s="334" t="s">
        <v>11</v>
      </c>
      <c r="G126" s="334" t="s">
        <v>751</v>
      </c>
      <c r="H126" s="333"/>
      <c r="I126" s="333"/>
    </row>
    <row r="127">
      <c r="A127" s="337" t="s">
        <v>1503</v>
      </c>
      <c r="B127" s="2"/>
      <c r="C127" s="2"/>
      <c r="D127" s="2"/>
      <c r="E127" s="2"/>
      <c r="F127" s="2"/>
      <c r="G127" s="3"/>
      <c r="H127" s="333"/>
      <c r="I127" s="333"/>
    </row>
    <row r="128">
      <c r="A128" s="339"/>
      <c r="B128" s="339" t="s">
        <v>754</v>
      </c>
      <c r="C128" s="339" t="s">
        <v>43</v>
      </c>
      <c r="D128" s="339" t="s">
        <v>757</v>
      </c>
      <c r="E128" s="339">
        <v>1.0</v>
      </c>
      <c r="F128" s="339"/>
      <c r="G128" s="339"/>
      <c r="H128" s="333"/>
      <c r="I128" s="333"/>
    </row>
    <row r="129">
      <c r="A129" s="339" t="s">
        <v>761</v>
      </c>
      <c r="B129" s="341" t="s">
        <v>1169</v>
      </c>
      <c r="C129" s="2"/>
      <c r="D129" s="2"/>
      <c r="E129" s="2"/>
      <c r="F129" s="2"/>
      <c r="G129" s="3"/>
      <c r="H129" s="333"/>
      <c r="I129" s="333"/>
    </row>
    <row r="130">
      <c r="A130" s="341" t="s">
        <v>1170</v>
      </c>
      <c r="B130" s="2"/>
      <c r="C130" s="2"/>
      <c r="D130" s="2"/>
      <c r="E130" s="2"/>
      <c r="F130" s="2"/>
      <c r="G130" s="3"/>
      <c r="H130" s="333"/>
      <c r="I130" s="333"/>
    </row>
    <row r="131">
      <c r="A131" s="344"/>
      <c r="B131" s="346" t="s">
        <v>1509</v>
      </c>
      <c r="C131" s="348" t="s">
        <v>1512</v>
      </c>
      <c r="D131" s="2"/>
      <c r="E131" s="3"/>
      <c r="F131" s="349"/>
      <c r="G131" s="3"/>
      <c r="H131" s="333"/>
      <c r="I131" s="333"/>
    </row>
    <row r="132">
      <c r="A132" s="20"/>
      <c r="B132" s="20"/>
      <c r="C132" s="351" t="s">
        <v>43</v>
      </c>
      <c r="D132" s="351">
        <v>1.0</v>
      </c>
      <c r="E132" s="351">
        <v>3453.39</v>
      </c>
      <c r="F132" s="351">
        <f>D132*E132</f>
        <v>3453.39</v>
      </c>
      <c r="G132" s="351" t="s">
        <v>772</v>
      </c>
      <c r="H132" s="333"/>
      <c r="I132" s="333"/>
    </row>
    <row r="133">
      <c r="A133" s="344"/>
      <c r="B133" s="346" t="s">
        <v>1174</v>
      </c>
      <c r="C133" s="348" t="s">
        <v>1175</v>
      </c>
      <c r="D133" s="2"/>
      <c r="E133" s="3"/>
      <c r="F133" s="349"/>
      <c r="G133" s="3"/>
      <c r="H133" s="333"/>
      <c r="I133" s="333"/>
    </row>
    <row r="134">
      <c r="A134" s="20"/>
      <c r="B134" s="20"/>
      <c r="C134" s="351" t="s">
        <v>27</v>
      </c>
      <c r="D134" s="351">
        <v>0.01</v>
      </c>
      <c r="E134" s="351">
        <v>675.0</v>
      </c>
      <c r="F134" s="351">
        <f>D134*E134</f>
        <v>6.75</v>
      </c>
      <c r="G134" s="351" t="s">
        <v>782</v>
      </c>
      <c r="H134" s="333"/>
      <c r="I134" s="333"/>
    </row>
    <row r="135">
      <c r="A135" s="346" t="s">
        <v>1178</v>
      </c>
      <c r="B135" s="344"/>
      <c r="C135" s="357" t="s">
        <v>1180</v>
      </c>
      <c r="D135" s="2"/>
      <c r="E135" s="3"/>
      <c r="F135" s="349"/>
      <c r="G135" s="3"/>
      <c r="H135" s="333"/>
      <c r="I135" s="333"/>
    </row>
    <row r="136">
      <c r="A136" s="20"/>
      <c r="B136" s="20"/>
      <c r="C136" s="351" t="s">
        <v>904</v>
      </c>
      <c r="D136" s="359"/>
      <c r="E136" s="359"/>
      <c r="F136" s="351">
        <f>(F132+F134)*0.5%</f>
        <v>17.3007</v>
      </c>
      <c r="G136" s="351" t="s">
        <v>1183</v>
      </c>
      <c r="H136" s="333"/>
      <c r="I136" s="333"/>
    </row>
    <row r="137">
      <c r="A137" s="341" t="s">
        <v>42</v>
      </c>
      <c r="B137" s="2"/>
      <c r="C137" s="3"/>
      <c r="D137" s="362">
        <v>1.0</v>
      </c>
      <c r="E137" s="362" t="s">
        <v>43</v>
      </c>
      <c r="F137" s="362">
        <f>F132+F134+F136</f>
        <v>3477.4407</v>
      </c>
      <c r="G137" s="339"/>
      <c r="H137" s="333"/>
      <c r="I137" s="333"/>
    </row>
    <row r="138">
      <c r="A138" s="341" t="s">
        <v>800</v>
      </c>
      <c r="B138" s="2"/>
      <c r="C138" s="3"/>
      <c r="D138" s="362">
        <v>1.0</v>
      </c>
      <c r="E138" s="362" t="s">
        <v>43</v>
      </c>
      <c r="F138" s="362">
        <f>F137/D137</f>
        <v>3477.4407</v>
      </c>
      <c r="G138" s="339"/>
      <c r="H138" s="333"/>
      <c r="I138" s="333"/>
    </row>
    <row r="139">
      <c r="A139" s="341" t="s">
        <v>1187</v>
      </c>
      <c r="B139" s="2"/>
      <c r="C139" s="2"/>
      <c r="D139" s="3"/>
      <c r="E139" s="366">
        <f>F132*100.5%/D137</f>
        <v>3470.65695</v>
      </c>
      <c r="F139" s="362">
        <f>E139*1%</f>
        <v>34.7065695</v>
      </c>
      <c r="G139" s="339"/>
      <c r="H139" s="333"/>
      <c r="I139" s="333"/>
    </row>
    <row r="140">
      <c r="A140" s="341" t="s">
        <v>42</v>
      </c>
      <c r="B140" s="2"/>
      <c r="C140" s="2"/>
      <c r="D140" s="3"/>
      <c r="E140" s="339"/>
      <c r="F140" s="362">
        <f>F138+F139</f>
        <v>3512.14727</v>
      </c>
      <c r="G140" s="339"/>
      <c r="H140" s="333"/>
      <c r="I140" s="333"/>
    </row>
    <row r="141">
      <c r="A141" s="341" t="s">
        <v>806</v>
      </c>
      <c r="B141" s="2"/>
      <c r="C141" s="2"/>
      <c r="D141" s="3"/>
      <c r="E141" s="362">
        <f>F140</f>
        <v>3512.14727</v>
      </c>
      <c r="F141" s="362">
        <f>E141*15%</f>
        <v>526.8220904</v>
      </c>
      <c r="G141" s="339"/>
      <c r="H141" s="333"/>
      <c r="I141" s="333"/>
    </row>
    <row r="142">
      <c r="A142" s="367" t="s">
        <v>42</v>
      </c>
      <c r="B142" s="2"/>
      <c r="C142" s="2"/>
      <c r="D142" s="3"/>
      <c r="E142" s="368"/>
      <c r="F142" s="369">
        <f>round(F140+F141,2)</f>
        <v>4038.97</v>
      </c>
      <c r="G142" s="339"/>
      <c r="H142" s="333"/>
      <c r="I142" s="333"/>
    </row>
    <row r="143">
      <c r="A143" s="344">
        <v>2852.0</v>
      </c>
      <c r="B143" s="346"/>
      <c r="C143" s="348" t="s">
        <v>1201</v>
      </c>
      <c r="D143" s="2"/>
      <c r="E143" s="3"/>
      <c r="F143" s="349"/>
      <c r="G143" s="3"/>
      <c r="H143" s="333"/>
      <c r="I143" s="333"/>
    </row>
    <row r="144">
      <c r="A144" s="20"/>
      <c r="B144" s="20"/>
      <c r="C144" s="351" t="s">
        <v>43</v>
      </c>
      <c r="D144" s="351">
        <v>4.0</v>
      </c>
      <c r="E144" s="351">
        <v>1.8</v>
      </c>
      <c r="F144" s="351">
        <f>D144*E144</f>
        <v>7.2</v>
      </c>
      <c r="G144" s="351" t="s">
        <v>1204</v>
      </c>
      <c r="H144" s="333"/>
      <c r="I144" s="333"/>
    </row>
    <row r="145">
      <c r="A145" s="344">
        <v>1005.0</v>
      </c>
      <c r="B145" s="346"/>
      <c r="C145" s="348" t="s">
        <v>1208</v>
      </c>
      <c r="D145" s="2"/>
      <c r="E145" s="3"/>
      <c r="F145" s="349"/>
      <c r="G145" s="3"/>
      <c r="H145" s="333"/>
      <c r="I145" s="333"/>
    </row>
    <row r="146">
      <c r="A146" s="20"/>
      <c r="B146" s="20"/>
      <c r="C146" s="351" t="s">
        <v>27</v>
      </c>
      <c r="D146" s="351">
        <v>0.01</v>
      </c>
      <c r="E146" s="351">
        <v>734.0</v>
      </c>
      <c r="F146" s="351">
        <f>D146*E146</f>
        <v>7.34</v>
      </c>
      <c r="G146" s="351" t="s">
        <v>780</v>
      </c>
      <c r="H146" s="333"/>
      <c r="I146" s="333"/>
    </row>
    <row r="147">
      <c r="A147" s="346" t="s">
        <v>1178</v>
      </c>
      <c r="B147" s="344"/>
      <c r="C147" s="357" t="s">
        <v>1211</v>
      </c>
      <c r="D147" s="2"/>
      <c r="E147" s="3"/>
      <c r="F147" s="349"/>
      <c r="G147" s="3"/>
      <c r="H147" s="333"/>
      <c r="I147" s="333"/>
    </row>
    <row r="148">
      <c r="A148" s="20"/>
      <c r="B148" s="20"/>
      <c r="C148" s="351" t="s">
        <v>904</v>
      </c>
      <c r="D148" s="359"/>
      <c r="E148" s="359"/>
      <c r="F148" s="351">
        <f>(F144+F146)*0.5%</f>
        <v>0.0727</v>
      </c>
      <c r="G148" s="351" t="s">
        <v>1215</v>
      </c>
      <c r="H148" s="333">
        <f>F148+F136</f>
        <v>17.3734</v>
      </c>
      <c r="I148" s="333"/>
    </row>
    <row r="149">
      <c r="A149" s="341" t="s">
        <v>42</v>
      </c>
      <c r="B149" s="2"/>
      <c r="C149" s="3"/>
      <c r="D149" s="362">
        <v>1.0</v>
      </c>
      <c r="E149" s="362" t="s">
        <v>43</v>
      </c>
      <c r="F149" s="362">
        <f>F144+F146+F148</f>
        <v>14.6127</v>
      </c>
      <c r="G149" s="368"/>
      <c r="H149" s="333"/>
      <c r="I149" s="333"/>
    </row>
    <row r="150">
      <c r="A150" s="341" t="s">
        <v>800</v>
      </c>
      <c r="B150" s="2"/>
      <c r="C150" s="3"/>
      <c r="D150" s="362">
        <v>1.0</v>
      </c>
      <c r="E150" s="362" t="s">
        <v>43</v>
      </c>
      <c r="F150" s="362">
        <f>F149/D149</f>
        <v>14.6127</v>
      </c>
      <c r="G150" s="368"/>
      <c r="H150" s="333"/>
      <c r="I150" s="333"/>
    </row>
    <row r="151">
      <c r="A151" s="341" t="s">
        <v>1187</v>
      </c>
      <c r="B151" s="2"/>
      <c r="C151" s="2"/>
      <c r="D151" s="3"/>
      <c r="E151" s="366">
        <f>F144*100.5%/D149</f>
        <v>7.236</v>
      </c>
      <c r="F151" s="362">
        <f>E151*1%</f>
        <v>0.07236</v>
      </c>
      <c r="G151" s="368"/>
      <c r="H151" s="333"/>
      <c r="I151" s="333"/>
    </row>
    <row r="152">
      <c r="A152" s="341" t="s">
        <v>42</v>
      </c>
      <c r="B152" s="2"/>
      <c r="C152" s="2"/>
      <c r="D152" s="3"/>
      <c r="E152" s="339"/>
      <c r="F152" s="362">
        <f>F150+F151</f>
        <v>14.68506</v>
      </c>
      <c r="G152" s="368"/>
      <c r="H152" s="333"/>
      <c r="I152" s="333"/>
    </row>
    <row r="153">
      <c r="A153" s="341" t="s">
        <v>806</v>
      </c>
      <c r="B153" s="2"/>
      <c r="C153" s="2"/>
      <c r="D153" s="3"/>
      <c r="E153" s="362">
        <f>F152</f>
        <v>14.68506</v>
      </c>
      <c r="F153" s="362">
        <f>E153*15%</f>
        <v>2.202759</v>
      </c>
      <c r="G153" s="368"/>
      <c r="H153" s="333"/>
      <c r="I153" s="333"/>
    </row>
    <row r="154">
      <c r="A154" s="367" t="s">
        <v>42</v>
      </c>
      <c r="B154" s="2"/>
      <c r="C154" s="2"/>
      <c r="D154" s="3"/>
      <c r="E154" s="368"/>
      <c r="F154" s="369">
        <f>round(F152+F153,2)</f>
        <v>16.89</v>
      </c>
      <c r="G154" s="339"/>
      <c r="H154" s="333"/>
      <c r="I154" s="333">
        <f>F154+F142</f>
        <v>4055.86</v>
      </c>
    </row>
    <row r="155">
      <c r="A155" s="372" t="str">
        <f>CONCATENATE("Say ₹ ",F142," + ",F154," x Cost Index")                                           </f>
        <v>Say ₹ 4038.97 + 16.89 x Cost Index</v>
      </c>
      <c r="B155" s="2"/>
      <c r="C155" s="2"/>
      <c r="D155" s="2"/>
      <c r="E155" s="2"/>
      <c r="F155" s="3"/>
      <c r="G155" s="373" t="s">
        <v>948</v>
      </c>
      <c r="H155" s="374">
        <f>((F132*1.005*1.01)+(F134*1.005))*1.15</f>
        <v>4038.96936</v>
      </c>
      <c r="I155" s="374">
        <f>((F144*1.005*1.01)+(F146*1.005))*1.15</f>
        <v>16.887819</v>
      </c>
    </row>
    <row r="156">
      <c r="A156" s="331" t="s">
        <v>742</v>
      </c>
      <c r="B156" s="331" t="s">
        <v>745</v>
      </c>
      <c r="C156" s="332" t="s">
        <v>6</v>
      </c>
      <c r="D156" s="2"/>
      <c r="E156" s="3"/>
      <c r="F156" s="332" t="s">
        <v>746</v>
      </c>
      <c r="G156" s="3"/>
      <c r="H156" s="333"/>
      <c r="I156" s="333"/>
    </row>
    <row r="157">
      <c r="A157" s="20"/>
      <c r="B157" s="20"/>
      <c r="C157" s="334" t="s">
        <v>8</v>
      </c>
      <c r="D157" s="334" t="s">
        <v>9</v>
      </c>
      <c r="E157" s="334" t="s">
        <v>358</v>
      </c>
      <c r="F157" s="334" t="s">
        <v>11</v>
      </c>
      <c r="G157" s="334" t="s">
        <v>751</v>
      </c>
      <c r="H157" s="333"/>
      <c r="I157" s="333"/>
    </row>
    <row r="158">
      <c r="A158" s="337" t="s">
        <v>1558</v>
      </c>
      <c r="B158" s="2"/>
      <c r="C158" s="2"/>
      <c r="D158" s="2"/>
      <c r="E158" s="2"/>
      <c r="F158" s="2"/>
      <c r="G158" s="3"/>
      <c r="H158" s="333"/>
      <c r="I158" s="333"/>
    </row>
    <row r="159">
      <c r="A159" s="339"/>
      <c r="B159" s="339" t="s">
        <v>754</v>
      </c>
      <c r="C159" s="339" t="s">
        <v>43</v>
      </c>
      <c r="D159" s="339" t="s">
        <v>757</v>
      </c>
      <c r="E159" s="339">
        <v>1.0</v>
      </c>
      <c r="F159" s="339"/>
      <c r="G159" s="339"/>
      <c r="H159" s="333"/>
      <c r="I159" s="333"/>
    </row>
    <row r="160">
      <c r="A160" s="339" t="s">
        <v>761</v>
      </c>
      <c r="B160" s="341" t="s">
        <v>1169</v>
      </c>
      <c r="C160" s="2"/>
      <c r="D160" s="2"/>
      <c r="E160" s="2"/>
      <c r="F160" s="2"/>
      <c r="G160" s="3"/>
      <c r="H160" s="333"/>
      <c r="I160" s="333"/>
    </row>
    <row r="161">
      <c r="A161" s="341" t="s">
        <v>1170</v>
      </c>
      <c r="B161" s="2"/>
      <c r="C161" s="2"/>
      <c r="D161" s="2"/>
      <c r="E161" s="2"/>
      <c r="F161" s="2"/>
      <c r="G161" s="3"/>
      <c r="H161" s="333"/>
      <c r="I161" s="333"/>
    </row>
    <row r="162">
      <c r="A162" s="344"/>
      <c r="B162" s="346" t="s">
        <v>1560</v>
      </c>
      <c r="C162" s="348" t="s">
        <v>1561</v>
      </c>
      <c r="D162" s="2"/>
      <c r="E162" s="3"/>
      <c r="F162" s="349"/>
      <c r="G162" s="3"/>
      <c r="H162" s="333"/>
      <c r="I162" s="333"/>
    </row>
    <row r="163">
      <c r="A163" s="20"/>
      <c r="B163" s="20"/>
      <c r="C163" s="351" t="s">
        <v>43</v>
      </c>
      <c r="D163" s="351">
        <v>1.0</v>
      </c>
      <c r="E163" s="351">
        <v>4105.93</v>
      </c>
      <c r="F163" s="351">
        <f>D163*E163</f>
        <v>4105.93</v>
      </c>
      <c r="G163" s="351" t="s">
        <v>772</v>
      </c>
      <c r="H163" s="333"/>
      <c r="I163" s="333"/>
    </row>
    <row r="164">
      <c r="A164" s="344"/>
      <c r="B164" s="346" t="s">
        <v>1174</v>
      </c>
      <c r="C164" s="348" t="s">
        <v>1175</v>
      </c>
      <c r="D164" s="2"/>
      <c r="E164" s="3"/>
      <c r="F164" s="349"/>
      <c r="G164" s="3"/>
      <c r="H164" s="333"/>
      <c r="I164" s="333"/>
    </row>
    <row r="165">
      <c r="A165" s="20"/>
      <c r="B165" s="20"/>
      <c r="C165" s="351" t="s">
        <v>27</v>
      </c>
      <c r="D165" s="351">
        <v>0.15</v>
      </c>
      <c r="E165" s="351">
        <v>675.0</v>
      </c>
      <c r="F165" s="351">
        <f>D165*E165</f>
        <v>101.25</v>
      </c>
      <c r="G165" s="351" t="s">
        <v>782</v>
      </c>
      <c r="H165" s="333"/>
      <c r="I165" s="333"/>
    </row>
    <row r="166">
      <c r="A166" s="346" t="s">
        <v>1178</v>
      </c>
      <c r="B166" s="344"/>
      <c r="C166" s="357" t="s">
        <v>1180</v>
      </c>
      <c r="D166" s="2"/>
      <c r="E166" s="3"/>
      <c r="F166" s="349"/>
      <c r="G166" s="3"/>
      <c r="H166" s="333"/>
      <c r="I166" s="333"/>
    </row>
    <row r="167">
      <c r="A167" s="20"/>
      <c r="B167" s="20"/>
      <c r="C167" s="351" t="s">
        <v>904</v>
      </c>
      <c r="D167" s="359"/>
      <c r="E167" s="359"/>
      <c r="F167" s="351">
        <f>(F163+F165)*0.5%</f>
        <v>21.0359</v>
      </c>
      <c r="G167" s="351" t="s">
        <v>1183</v>
      </c>
      <c r="H167" s="333"/>
      <c r="I167" s="333"/>
    </row>
    <row r="168">
      <c r="A168" s="341" t="s">
        <v>42</v>
      </c>
      <c r="B168" s="2"/>
      <c r="C168" s="3"/>
      <c r="D168" s="362">
        <v>1.0</v>
      </c>
      <c r="E168" s="362" t="s">
        <v>43</v>
      </c>
      <c r="F168" s="362">
        <f>F163+F165+F167</f>
        <v>4228.2159</v>
      </c>
      <c r="G168" s="339"/>
      <c r="H168" s="333"/>
      <c r="I168" s="333"/>
    </row>
    <row r="169">
      <c r="A169" s="341" t="s">
        <v>800</v>
      </c>
      <c r="B169" s="2"/>
      <c r="C169" s="3"/>
      <c r="D169" s="362">
        <v>1.0</v>
      </c>
      <c r="E169" s="362" t="s">
        <v>43</v>
      </c>
      <c r="F169" s="362">
        <f>F168/D168</f>
        <v>4228.2159</v>
      </c>
      <c r="G169" s="339"/>
      <c r="H169" s="333"/>
      <c r="I169" s="333"/>
    </row>
    <row r="170">
      <c r="A170" s="341" t="s">
        <v>1187</v>
      </c>
      <c r="B170" s="2"/>
      <c r="C170" s="2"/>
      <c r="D170" s="3"/>
      <c r="E170" s="366">
        <f>F163*100.5%/D168</f>
        <v>4126.45965</v>
      </c>
      <c r="F170" s="362">
        <f>E170*1%</f>
        <v>41.2645965</v>
      </c>
      <c r="G170" s="339"/>
      <c r="H170" s="333"/>
      <c r="I170" s="333"/>
    </row>
    <row r="171">
      <c r="A171" s="341" t="s">
        <v>42</v>
      </c>
      <c r="B171" s="2"/>
      <c r="C171" s="2"/>
      <c r="D171" s="3"/>
      <c r="E171" s="339"/>
      <c r="F171" s="362">
        <f>F169+F170</f>
        <v>4269.480497</v>
      </c>
      <c r="G171" s="339"/>
      <c r="H171" s="333"/>
      <c r="I171" s="333"/>
    </row>
    <row r="172">
      <c r="A172" s="341" t="s">
        <v>806</v>
      </c>
      <c r="B172" s="2"/>
      <c r="C172" s="2"/>
      <c r="D172" s="3"/>
      <c r="E172" s="362">
        <f>F171</f>
        <v>4269.480497</v>
      </c>
      <c r="F172" s="362">
        <f>E172*15%</f>
        <v>640.4220745</v>
      </c>
      <c r="G172" s="339"/>
      <c r="H172" s="333"/>
      <c r="I172" s="333"/>
    </row>
    <row r="173">
      <c r="A173" s="367" t="s">
        <v>42</v>
      </c>
      <c r="B173" s="2"/>
      <c r="C173" s="2"/>
      <c r="D173" s="3"/>
      <c r="E173" s="368"/>
      <c r="F173" s="369">
        <f>round(F171+F172,2)</f>
        <v>4909.9</v>
      </c>
      <c r="G173" s="339"/>
      <c r="H173" s="333"/>
      <c r="I173" s="333"/>
    </row>
    <row r="174">
      <c r="A174" s="344">
        <v>2852.0</v>
      </c>
      <c r="B174" s="346"/>
      <c r="C174" s="348" t="s">
        <v>1201</v>
      </c>
      <c r="D174" s="2"/>
      <c r="E174" s="3"/>
      <c r="F174" s="349"/>
      <c r="G174" s="3"/>
      <c r="H174" s="333"/>
      <c r="I174" s="333"/>
    </row>
    <row r="175">
      <c r="A175" s="20"/>
      <c r="B175" s="20"/>
      <c r="C175" s="351" t="s">
        <v>43</v>
      </c>
      <c r="D175" s="351">
        <v>4.0</v>
      </c>
      <c r="E175" s="351">
        <v>1.8</v>
      </c>
      <c r="F175" s="351">
        <f>D175*E175</f>
        <v>7.2</v>
      </c>
      <c r="G175" s="351" t="s">
        <v>1204</v>
      </c>
      <c r="H175" s="333"/>
      <c r="I175" s="333"/>
    </row>
    <row r="176">
      <c r="A176" s="344">
        <v>1005.0</v>
      </c>
      <c r="B176" s="346"/>
      <c r="C176" s="348" t="s">
        <v>1208</v>
      </c>
      <c r="D176" s="2"/>
      <c r="E176" s="3"/>
      <c r="F176" s="349"/>
      <c r="G176" s="3"/>
      <c r="H176" s="333"/>
      <c r="I176" s="333"/>
    </row>
    <row r="177">
      <c r="A177" s="20"/>
      <c r="B177" s="20"/>
      <c r="C177" s="351" t="s">
        <v>27</v>
      </c>
      <c r="D177" s="351">
        <v>0.15</v>
      </c>
      <c r="E177" s="351">
        <v>734.0</v>
      </c>
      <c r="F177" s="351">
        <f>D177*E177</f>
        <v>110.1</v>
      </c>
      <c r="G177" s="351" t="s">
        <v>780</v>
      </c>
      <c r="H177" s="333"/>
      <c r="I177" s="333"/>
    </row>
    <row r="178">
      <c r="A178" s="346" t="s">
        <v>1178</v>
      </c>
      <c r="B178" s="344"/>
      <c r="C178" s="357" t="s">
        <v>1211</v>
      </c>
      <c r="D178" s="2"/>
      <c r="E178" s="3"/>
      <c r="F178" s="349"/>
      <c r="G178" s="3"/>
      <c r="H178" s="333"/>
      <c r="I178" s="333"/>
    </row>
    <row r="179">
      <c r="A179" s="20"/>
      <c r="B179" s="20"/>
      <c r="C179" s="351" t="s">
        <v>904</v>
      </c>
      <c r="D179" s="359"/>
      <c r="E179" s="359"/>
      <c r="F179" s="351">
        <f>(F175+F177)*0.5%</f>
        <v>0.5865</v>
      </c>
      <c r="G179" s="351" t="s">
        <v>1215</v>
      </c>
      <c r="H179" s="333">
        <f>F179+F167</f>
        <v>21.6224</v>
      </c>
      <c r="I179" s="333"/>
    </row>
    <row r="180">
      <c r="A180" s="341" t="s">
        <v>42</v>
      </c>
      <c r="B180" s="2"/>
      <c r="C180" s="3"/>
      <c r="D180" s="362">
        <v>1.0</v>
      </c>
      <c r="E180" s="362" t="s">
        <v>43</v>
      </c>
      <c r="F180" s="362">
        <f>F175+F177+F179</f>
        <v>117.8865</v>
      </c>
      <c r="G180" s="368"/>
      <c r="H180" s="333"/>
      <c r="I180" s="333"/>
    </row>
    <row r="181">
      <c r="A181" s="341" t="s">
        <v>800</v>
      </c>
      <c r="B181" s="2"/>
      <c r="C181" s="3"/>
      <c r="D181" s="362">
        <v>1.0</v>
      </c>
      <c r="E181" s="362" t="s">
        <v>43</v>
      </c>
      <c r="F181" s="362">
        <f>F180/D180</f>
        <v>117.8865</v>
      </c>
      <c r="G181" s="368"/>
      <c r="H181" s="333"/>
      <c r="I181" s="333"/>
    </row>
    <row r="182">
      <c r="A182" s="341" t="s">
        <v>1187</v>
      </c>
      <c r="B182" s="2"/>
      <c r="C182" s="2"/>
      <c r="D182" s="3"/>
      <c r="E182" s="366">
        <f>F175*100.5%/D180</f>
        <v>7.236</v>
      </c>
      <c r="F182" s="362">
        <f>E182*1%</f>
        <v>0.07236</v>
      </c>
      <c r="G182" s="368"/>
      <c r="H182" s="333">
        <f>E182+E170</f>
        <v>4133.69565</v>
      </c>
      <c r="I182" s="333"/>
    </row>
    <row r="183">
      <c r="A183" s="341" t="s">
        <v>42</v>
      </c>
      <c r="B183" s="2"/>
      <c r="C183" s="2"/>
      <c r="D183" s="3"/>
      <c r="E183" s="339"/>
      <c r="F183" s="362">
        <f>F181+F182</f>
        <v>117.95886</v>
      </c>
      <c r="G183" s="368"/>
      <c r="H183" s="333"/>
      <c r="I183" s="333"/>
    </row>
    <row r="184">
      <c r="A184" s="341" t="s">
        <v>806</v>
      </c>
      <c r="B184" s="2"/>
      <c r="C184" s="2"/>
      <c r="D184" s="3"/>
      <c r="E184" s="362">
        <f>F183</f>
        <v>117.95886</v>
      </c>
      <c r="F184" s="362">
        <f>E184*15%</f>
        <v>17.693829</v>
      </c>
      <c r="G184" s="368"/>
      <c r="H184" s="333">
        <f>E184+E172</f>
        <v>4387.439357</v>
      </c>
      <c r="I184" s="333"/>
    </row>
    <row r="185">
      <c r="A185" s="367" t="s">
        <v>42</v>
      </c>
      <c r="B185" s="2"/>
      <c r="C185" s="2"/>
      <c r="D185" s="3"/>
      <c r="E185" s="368"/>
      <c r="F185" s="369">
        <f>round(F183+F184,2)</f>
        <v>135.65</v>
      </c>
      <c r="G185" s="339"/>
      <c r="H185" s="333"/>
      <c r="I185" s="333">
        <f>F185+F173</f>
        <v>5045.55</v>
      </c>
    </row>
    <row r="186">
      <c r="A186" s="372" t="str">
        <f>CONCATENATE("Say ₹ ",F173," + ",F185," x Cost Index")                                           </f>
        <v>Say ₹ 4909.9 + 135.65 x Cost Index</v>
      </c>
      <c r="B186" s="2"/>
      <c r="C186" s="2"/>
      <c r="D186" s="2"/>
      <c r="E186" s="2"/>
      <c r="F186" s="3"/>
      <c r="G186" s="373" t="s">
        <v>948</v>
      </c>
      <c r="H186" s="374">
        <f>((F163*1.005*1.01)+(F165*1.005))*1.15</f>
        <v>4909.902571</v>
      </c>
      <c r="I186" s="374">
        <f>((F175*1.005*1.01)+(F177*1.005))*1.15</f>
        <v>135.652689</v>
      </c>
    </row>
    <row r="187">
      <c r="A187" s="331" t="s">
        <v>742</v>
      </c>
      <c r="B187" s="331" t="s">
        <v>745</v>
      </c>
      <c r="C187" s="332" t="s">
        <v>6</v>
      </c>
      <c r="D187" s="2"/>
      <c r="E187" s="3"/>
      <c r="F187" s="332" t="s">
        <v>746</v>
      </c>
      <c r="G187" s="3"/>
      <c r="H187" s="333"/>
      <c r="I187" s="333"/>
    </row>
    <row r="188">
      <c r="A188" s="20"/>
      <c r="B188" s="20"/>
      <c r="C188" s="334" t="s">
        <v>8</v>
      </c>
      <c r="D188" s="334" t="s">
        <v>9</v>
      </c>
      <c r="E188" s="334" t="s">
        <v>358</v>
      </c>
      <c r="F188" s="334" t="s">
        <v>11</v>
      </c>
      <c r="G188" s="334" t="s">
        <v>751</v>
      </c>
      <c r="H188" s="333"/>
      <c r="I188" s="333"/>
    </row>
    <row r="189">
      <c r="A189" s="337" t="s">
        <v>1583</v>
      </c>
      <c r="B189" s="2"/>
      <c r="C189" s="2"/>
      <c r="D189" s="2"/>
      <c r="E189" s="2"/>
      <c r="F189" s="2"/>
      <c r="G189" s="3"/>
      <c r="H189" s="333"/>
      <c r="I189" s="333"/>
    </row>
    <row r="190">
      <c r="A190" s="339"/>
      <c r="B190" s="339" t="s">
        <v>754</v>
      </c>
      <c r="C190" s="339" t="s">
        <v>43</v>
      </c>
      <c r="D190" s="339" t="s">
        <v>757</v>
      </c>
      <c r="E190" s="339">
        <v>1.0</v>
      </c>
      <c r="F190" s="339"/>
      <c r="G190" s="339"/>
      <c r="H190" s="333"/>
      <c r="I190" s="333"/>
    </row>
    <row r="191">
      <c r="A191" s="339" t="s">
        <v>761</v>
      </c>
      <c r="B191" s="341" t="s">
        <v>1169</v>
      </c>
      <c r="C191" s="2"/>
      <c r="D191" s="2"/>
      <c r="E191" s="2"/>
      <c r="F191" s="2"/>
      <c r="G191" s="3"/>
      <c r="H191" s="333"/>
      <c r="I191" s="333"/>
    </row>
    <row r="192">
      <c r="A192" s="341" t="s">
        <v>1170</v>
      </c>
      <c r="B192" s="2"/>
      <c r="C192" s="2"/>
      <c r="D192" s="2"/>
      <c r="E192" s="2"/>
      <c r="F192" s="2"/>
      <c r="G192" s="3"/>
      <c r="H192" s="333"/>
      <c r="I192" s="333"/>
    </row>
    <row r="193">
      <c r="A193" s="344"/>
      <c r="B193" s="346" t="s">
        <v>1585</v>
      </c>
      <c r="C193" s="348" t="s">
        <v>1586</v>
      </c>
      <c r="D193" s="2"/>
      <c r="E193" s="3"/>
      <c r="F193" s="349"/>
      <c r="G193" s="3"/>
      <c r="H193" s="333"/>
      <c r="I193" s="333"/>
    </row>
    <row r="194">
      <c r="A194" s="20"/>
      <c r="B194" s="20"/>
      <c r="C194" s="351" t="s">
        <v>43</v>
      </c>
      <c r="D194" s="351">
        <v>1.0</v>
      </c>
      <c r="E194" s="351">
        <v>15932.2</v>
      </c>
      <c r="F194" s="351">
        <f>D194*E194</f>
        <v>15932.2</v>
      </c>
      <c r="G194" s="351" t="s">
        <v>772</v>
      </c>
      <c r="H194" s="333"/>
      <c r="I194" s="333"/>
    </row>
    <row r="195">
      <c r="A195" s="344"/>
      <c r="B195" s="346" t="s">
        <v>1174</v>
      </c>
      <c r="C195" s="348" t="s">
        <v>1175</v>
      </c>
      <c r="D195" s="2"/>
      <c r="E195" s="3"/>
      <c r="F195" s="349"/>
      <c r="G195" s="3"/>
      <c r="H195" s="333"/>
      <c r="I195" s="333"/>
    </row>
    <row r="196">
      <c r="A196" s="20"/>
      <c r="B196" s="20"/>
      <c r="C196" s="351" t="s">
        <v>27</v>
      </c>
      <c r="D196" s="351">
        <v>0.25</v>
      </c>
      <c r="E196" s="351">
        <v>675.0</v>
      </c>
      <c r="F196" s="351">
        <f>D196*E196</f>
        <v>168.75</v>
      </c>
      <c r="G196" s="351" t="s">
        <v>782</v>
      </c>
      <c r="H196" s="333"/>
      <c r="I196" s="333"/>
    </row>
    <row r="197">
      <c r="A197" s="346" t="s">
        <v>1178</v>
      </c>
      <c r="B197" s="344"/>
      <c r="C197" s="357" t="s">
        <v>1180</v>
      </c>
      <c r="D197" s="2"/>
      <c r="E197" s="3"/>
      <c r="F197" s="349"/>
      <c r="G197" s="3"/>
      <c r="H197" s="333"/>
      <c r="I197" s="333"/>
    </row>
    <row r="198">
      <c r="A198" s="20"/>
      <c r="B198" s="20"/>
      <c r="C198" s="351" t="s">
        <v>904</v>
      </c>
      <c r="D198" s="359"/>
      <c r="E198" s="359"/>
      <c r="F198" s="351">
        <f>(F194+F196)*0.5%</f>
        <v>80.50475</v>
      </c>
      <c r="G198" s="351" t="s">
        <v>1183</v>
      </c>
      <c r="H198" s="333"/>
      <c r="I198" s="333"/>
    </row>
    <row r="199">
      <c r="A199" s="341" t="s">
        <v>42</v>
      </c>
      <c r="B199" s="2"/>
      <c r="C199" s="3"/>
      <c r="D199" s="362">
        <v>1.0</v>
      </c>
      <c r="E199" s="362" t="s">
        <v>43</v>
      </c>
      <c r="F199" s="362">
        <f>F194+F196+F198</f>
        <v>16181.45475</v>
      </c>
      <c r="G199" s="339"/>
      <c r="H199" s="333"/>
      <c r="I199" s="333"/>
    </row>
    <row r="200">
      <c r="A200" s="341" t="s">
        <v>800</v>
      </c>
      <c r="B200" s="2"/>
      <c r="C200" s="3"/>
      <c r="D200" s="362">
        <v>1.0</v>
      </c>
      <c r="E200" s="362" t="s">
        <v>43</v>
      </c>
      <c r="F200" s="362">
        <f>F199/D199</f>
        <v>16181.45475</v>
      </c>
      <c r="G200" s="339"/>
      <c r="H200" s="333"/>
      <c r="I200" s="333"/>
    </row>
    <row r="201">
      <c r="A201" s="341" t="s">
        <v>1187</v>
      </c>
      <c r="B201" s="2"/>
      <c r="C201" s="2"/>
      <c r="D201" s="3"/>
      <c r="E201" s="366">
        <f>F194*100.5%/D199</f>
        <v>16011.861</v>
      </c>
      <c r="F201" s="362">
        <f>E201*1%</f>
        <v>160.11861</v>
      </c>
      <c r="G201" s="339"/>
      <c r="H201" s="333"/>
      <c r="I201" s="333"/>
    </row>
    <row r="202">
      <c r="A202" s="341" t="s">
        <v>42</v>
      </c>
      <c r="B202" s="2"/>
      <c r="C202" s="2"/>
      <c r="D202" s="3"/>
      <c r="E202" s="339"/>
      <c r="F202" s="362">
        <f>F200+F201</f>
        <v>16341.57336</v>
      </c>
      <c r="G202" s="339"/>
      <c r="H202" s="333"/>
      <c r="I202" s="333"/>
    </row>
    <row r="203">
      <c r="A203" s="341" t="s">
        <v>806</v>
      </c>
      <c r="B203" s="2"/>
      <c r="C203" s="2"/>
      <c r="D203" s="3"/>
      <c r="E203" s="362">
        <f>F202</f>
        <v>16341.57336</v>
      </c>
      <c r="F203" s="362">
        <f>E203*15%</f>
        <v>2451.236004</v>
      </c>
      <c r="G203" s="339"/>
      <c r="H203" s="333"/>
      <c r="I203" s="333"/>
    </row>
    <row r="204">
      <c r="A204" s="367" t="s">
        <v>42</v>
      </c>
      <c r="B204" s="2"/>
      <c r="C204" s="2"/>
      <c r="D204" s="3"/>
      <c r="E204" s="368"/>
      <c r="F204" s="369">
        <f>round(F202+F203,2)</f>
        <v>18792.81</v>
      </c>
      <c r="G204" s="339"/>
      <c r="H204" s="333"/>
      <c r="I204" s="333"/>
    </row>
    <row r="205">
      <c r="A205" s="344">
        <v>2852.0</v>
      </c>
      <c r="B205" s="346"/>
      <c r="C205" s="348" t="s">
        <v>1201</v>
      </c>
      <c r="D205" s="2"/>
      <c r="E205" s="3"/>
      <c r="F205" s="349"/>
      <c r="G205" s="3"/>
      <c r="H205" s="333"/>
      <c r="I205" s="333"/>
    </row>
    <row r="206">
      <c r="A206" s="20"/>
      <c r="B206" s="20"/>
      <c r="C206" s="351" t="s">
        <v>43</v>
      </c>
      <c r="D206" s="351">
        <v>4.0</v>
      </c>
      <c r="E206" s="351">
        <v>1.8</v>
      </c>
      <c r="F206" s="351">
        <f>D206*E206</f>
        <v>7.2</v>
      </c>
      <c r="G206" s="351" t="s">
        <v>1204</v>
      </c>
      <c r="H206" s="333"/>
      <c r="I206" s="333"/>
    </row>
    <row r="207">
      <c r="A207" s="344">
        <v>1005.0</v>
      </c>
      <c r="B207" s="346"/>
      <c r="C207" s="348" t="s">
        <v>1208</v>
      </c>
      <c r="D207" s="2"/>
      <c r="E207" s="3"/>
      <c r="F207" s="349"/>
      <c r="G207" s="3"/>
      <c r="H207" s="333"/>
      <c r="I207" s="333"/>
    </row>
    <row r="208">
      <c r="A208" s="20"/>
      <c r="B208" s="20"/>
      <c r="C208" s="351" t="s">
        <v>27</v>
      </c>
      <c r="D208" s="351">
        <v>0.25</v>
      </c>
      <c r="E208" s="351">
        <v>734.0</v>
      </c>
      <c r="F208" s="351">
        <f>D208*E208</f>
        <v>183.5</v>
      </c>
      <c r="G208" s="351" t="s">
        <v>780</v>
      </c>
      <c r="H208" s="333"/>
      <c r="I208" s="333"/>
    </row>
    <row r="209">
      <c r="A209" s="346" t="s">
        <v>1178</v>
      </c>
      <c r="B209" s="344"/>
      <c r="C209" s="357" t="s">
        <v>1211</v>
      </c>
      <c r="D209" s="2"/>
      <c r="E209" s="3"/>
      <c r="F209" s="349"/>
      <c r="G209" s="3"/>
      <c r="H209" s="333"/>
      <c r="I209" s="333"/>
    </row>
    <row r="210">
      <c r="A210" s="20"/>
      <c r="B210" s="20"/>
      <c r="C210" s="351" t="s">
        <v>904</v>
      </c>
      <c r="D210" s="359"/>
      <c r="E210" s="359"/>
      <c r="F210" s="351">
        <f>(F206+F208)*0.5%</f>
        <v>0.9535</v>
      </c>
      <c r="G210" s="351" t="s">
        <v>1215</v>
      </c>
      <c r="H210" s="333">
        <f>F210+F198</f>
        <v>81.45825</v>
      </c>
      <c r="I210" s="333"/>
    </row>
    <row r="211">
      <c r="A211" s="341" t="s">
        <v>42</v>
      </c>
      <c r="B211" s="2"/>
      <c r="C211" s="3"/>
      <c r="D211" s="362">
        <v>1.0</v>
      </c>
      <c r="E211" s="362" t="s">
        <v>43</v>
      </c>
      <c r="F211" s="362">
        <f>F206+F208+F210</f>
        <v>191.6535</v>
      </c>
      <c r="G211" s="368"/>
      <c r="H211" s="333"/>
      <c r="I211" s="333"/>
    </row>
    <row r="212">
      <c r="A212" s="341" t="s">
        <v>800</v>
      </c>
      <c r="B212" s="2"/>
      <c r="C212" s="3"/>
      <c r="D212" s="362">
        <v>1.0</v>
      </c>
      <c r="E212" s="362" t="s">
        <v>43</v>
      </c>
      <c r="F212" s="362">
        <f>F211/D211</f>
        <v>191.6535</v>
      </c>
      <c r="G212" s="368"/>
      <c r="H212" s="333"/>
      <c r="I212" s="333"/>
    </row>
    <row r="213">
      <c r="A213" s="341" t="s">
        <v>1187</v>
      </c>
      <c r="B213" s="2"/>
      <c r="C213" s="2"/>
      <c r="D213" s="3"/>
      <c r="E213" s="366">
        <f>F206*100.5%/D211</f>
        <v>7.236</v>
      </c>
      <c r="F213" s="362">
        <f>E213*1%</f>
        <v>0.07236</v>
      </c>
      <c r="G213" s="368"/>
      <c r="H213" s="333">
        <f>E213+E201</f>
        <v>16019.097</v>
      </c>
      <c r="I213" s="333"/>
    </row>
    <row r="214">
      <c r="A214" s="341" t="s">
        <v>42</v>
      </c>
      <c r="B214" s="2"/>
      <c r="C214" s="2"/>
      <c r="D214" s="3"/>
      <c r="E214" s="339"/>
      <c r="F214" s="362">
        <f>F212+F213</f>
        <v>191.72586</v>
      </c>
      <c r="G214" s="368"/>
      <c r="H214" s="333"/>
      <c r="I214" s="333"/>
    </row>
    <row r="215">
      <c r="A215" s="341" t="s">
        <v>806</v>
      </c>
      <c r="B215" s="2"/>
      <c r="C215" s="2"/>
      <c r="D215" s="3"/>
      <c r="E215" s="362">
        <f>F214</f>
        <v>191.72586</v>
      </c>
      <c r="F215" s="362">
        <f>E215*15%</f>
        <v>28.758879</v>
      </c>
      <c r="G215" s="368"/>
      <c r="H215" s="333">
        <f>E215+E203</f>
        <v>16533.29922</v>
      </c>
      <c r="I215" s="333"/>
    </row>
    <row r="216">
      <c r="A216" s="367" t="s">
        <v>42</v>
      </c>
      <c r="B216" s="2"/>
      <c r="C216" s="2"/>
      <c r="D216" s="3"/>
      <c r="E216" s="368"/>
      <c r="F216" s="369">
        <f>round(F214+F215,2)</f>
        <v>220.48</v>
      </c>
      <c r="G216" s="339"/>
      <c r="H216" s="333"/>
      <c r="I216" s="333">
        <f>F216+F204</f>
        <v>19013.29</v>
      </c>
    </row>
    <row r="217">
      <c r="A217" s="372" t="str">
        <f>CONCATENATE("Say ₹ ",F204," + ",F216," x Cost Index")                                           </f>
        <v>Say ₹ 18792.81 + 220.48 x Cost Index</v>
      </c>
      <c r="B217" s="2"/>
      <c r="C217" s="2"/>
      <c r="D217" s="2"/>
      <c r="E217" s="2"/>
      <c r="F217" s="3"/>
      <c r="G217" s="373" t="s">
        <v>948</v>
      </c>
      <c r="H217" s="374">
        <f>((F194*1.005*1.01)+(F196*1.005))*1.15</f>
        <v>18792.80936</v>
      </c>
      <c r="I217" s="374">
        <f>((F206*1.005*1.01)+(F208*1.005))*1.15</f>
        <v>220.484739</v>
      </c>
    </row>
    <row r="218">
      <c r="A218" s="331" t="s">
        <v>742</v>
      </c>
      <c r="B218" s="331" t="s">
        <v>745</v>
      </c>
      <c r="C218" s="332" t="s">
        <v>6</v>
      </c>
      <c r="D218" s="2"/>
      <c r="E218" s="3"/>
      <c r="F218" s="332" t="s">
        <v>746</v>
      </c>
      <c r="G218" s="3"/>
      <c r="H218" s="333"/>
      <c r="I218" s="333"/>
    </row>
    <row r="219">
      <c r="A219" s="20"/>
      <c r="B219" s="20"/>
      <c r="C219" s="334" t="s">
        <v>8</v>
      </c>
      <c r="D219" s="334" t="s">
        <v>9</v>
      </c>
      <c r="E219" s="334" t="s">
        <v>358</v>
      </c>
      <c r="F219" s="334" t="s">
        <v>11</v>
      </c>
      <c r="G219" s="334" t="s">
        <v>751</v>
      </c>
      <c r="H219" s="333"/>
      <c r="I219" s="333"/>
    </row>
    <row r="220">
      <c r="A220" s="337" t="s">
        <v>1604</v>
      </c>
      <c r="B220" s="2"/>
      <c r="C220" s="2"/>
      <c r="D220" s="2"/>
      <c r="E220" s="2"/>
      <c r="F220" s="2"/>
      <c r="G220" s="3"/>
      <c r="H220" s="333"/>
      <c r="I220" s="333"/>
    </row>
    <row r="221">
      <c r="A221" s="339"/>
      <c r="B221" s="339" t="s">
        <v>754</v>
      </c>
      <c r="C221" s="339" t="s">
        <v>43</v>
      </c>
      <c r="D221" s="339" t="s">
        <v>757</v>
      </c>
      <c r="E221" s="339">
        <v>1.0</v>
      </c>
      <c r="F221" s="339"/>
      <c r="G221" s="339"/>
      <c r="H221" s="333"/>
      <c r="I221" s="333"/>
    </row>
    <row r="222">
      <c r="A222" s="339" t="s">
        <v>761</v>
      </c>
      <c r="B222" s="341" t="s">
        <v>1169</v>
      </c>
      <c r="C222" s="2"/>
      <c r="D222" s="2"/>
      <c r="E222" s="2"/>
      <c r="F222" s="2"/>
      <c r="G222" s="3"/>
      <c r="H222" s="333"/>
      <c r="I222" s="333"/>
    </row>
    <row r="223">
      <c r="A223" s="341" t="s">
        <v>1170</v>
      </c>
      <c r="B223" s="2"/>
      <c r="C223" s="2"/>
      <c r="D223" s="2"/>
      <c r="E223" s="2"/>
      <c r="F223" s="2"/>
      <c r="G223" s="3"/>
      <c r="H223" s="333"/>
      <c r="I223" s="333"/>
    </row>
    <row r="224">
      <c r="A224" s="344"/>
      <c r="B224" s="346" t="s">
        <v>1606</v>
      </c>
      <c r="C224" s="348" t="s">
        <v>1607</v>
      </c>
      <c r="D224" s="2"/>
      <c r="E224" s="3"/>
      <c r="F224" s="349"/>
      <c r="G224" s="3"/>
      <c r="H224" s="333"/>
      <c r="I224" s="333"/>
    </row>
    <row r="225">
      <c r="A225" s="20"/>
      <c r="B225" s="20"/>
      <c r="C225" s="351" t="s">
        <v>43</v>
      </c>
      <c r="D225" s="351">
        <v>1.0</v>
      </c>
      <c r="E225" s="351">
        <v>6737.29</v>
      </c>
      <c r="F225" s="351">
        <f>D225*E225</f>
        <v>6737.29</v>
      </c>
      <c r="G225" s="351" t="s">
        <v>772</v>
      </c>
      <c r="H225" s="333"/>
      <c r="I225" s="333"/>
    </row>
    <row r="226">
      <c r="A226" s="344"/>
      <c r="B226" s="346" t="s">
        <v>1174</v>
      </c>
      <c r="C226" s="348" t="s">
        <v>1175</v>
      </c>
      <c r="D226" s="2"/>
      <c r="E226" s="3"/>
      <c r="F226" s="349"/>
      <c r="G226" s="3"/>
      <c r="H226" s="333"/>
      <c r="I226" s="333"/>
    </row>
    <row r="227">
      <c r="A227" s="20"/>
      <c r="B227" s="20"/>
      <c r="C227" s="351" t="s">
        <v>27</v>
      </c>
      <c r="D227" s="351">
        <v>0.25</v>
      </c>
      <c r="E227" s="351">
        <v>675.0</v>
      </c>
      <c r="F227" s="351">
        <f>D227*E227</f>
        <v>168.75</v>
      </c>
      <c r="G227" s="351" t="s">
        <v>782</v>
      </c>
      <c r="H227" s="333"/>
      <c r="I227" s="333"/>
    </row>
    <row r="228">
      <c r="A228" s="346" t="s">
        <v>1178</v>
      </c>
      <c r="B228" s="344"/>
      <c r="C228" s="357" t="s">
        <v>1180</v>
      </c>
      <c r="D228" s="2"/>
      <c r="E228" s="3"/>
      <c r="F228" s="349"/>
      <c r="G228" s="3"/>
      <c r="H228" s="333"/>
      <c r="I228" s="333"/>
    </row>
    <row r="229">
      <c r="A229" s="20"/>
      <c r="B229" s="20"/>
      <c r="C229" s="351" t="s">
        <v>904</v>
      </c>
      <c r="D229" s="359"/>
      <c r="E229" s="359"/>
      <c r="F229" s="351">
        <f>(F225+F227)*0.5%</f>
        <v>34.5302</v>
      </c>
      <c r="G229" s="351" t="s">
        <v>1183</v>
      </c>
      <c r="H229" s="333"/>
      <c r="I229" s="333"/>
    </row>
    <row r="230">
      <c r="A230" s="341" t="s">
        <v>42</v>
      </c>
      <c r="B230" s="2"/>
      <c r="C230" s="3"/>
      <c r="D230" s="362">
        <v>1.0</v>
      </c>
      <c r="E230" s="362" t="s">
        <v>43</v>
      </c>
      <c r="F230" s="362">
        <f>F225+F227+F229</f>
        <v>6940.5702</v>
      </c>
      <c r="G230" s="339"/>
      <c r="H230" s="333"/>
      <c r="I230" s="333"/>
    </row>
    <row r="231">
      <c r="A231" s="341" t="s">
        <v>800</v>
      </c>
      <c r="B231" s="2"/>
      <c r="C231" s="3"/>
      <c r="D231" s="362">
        <v>1.0</v>
      </c>
      <c r="E231" s="362" t="s">
        <v>43</v>
      </c>
      <c r="F231" s="362">
        <f>F230/D230</f>
        <v>6940.5702</v>
      </c>
      <c r="G231" s="339"/>
      <c r="H231" s="333"/>
      <c r="I231" s="333"/>
    </row>
    <row r="232">
      <c r="A232" s="341" t="s">
        <v>1187</v>
      </c>
      <c r="B232" s="2"/>
      <c r="C232" s="2"/>
      <c r="D232" s="3"/>
      <c r="E232" s="366">
        <f>F225*100.5%/D230</f>
        <v>6770.97645</v>
      </c>
      <c r="F232" s="362">
        <f>E232*1%</f>
        <v>67.7097645</v>
      </c>
      <c r="G232" s="339"/>
      <c r="H232" s="333"/>
      <c r="I232" s="333"/>
    </row>
    <row r="233">
      <c r="A233" s="341" t="s">
        <v>42</v>
      </c>
      <c r="B233" s="2"/>
      <c r="C233" s="2"/>
      <c r="D233" s="3"/>
      <c r="E233" s="339"/>
      <c r="F233" s="362">
        <f>F231+F232</f>
        <v>7008.279965</v>
      </c>
      <c r="G233" s="339"/>
      <c r="H233" s="333"/>
      <c r="I233" s="333"/>
    </row>
    <row r="234">
      <c r="A234" s="341" t="s">
        <v>806</v>
      </c>
      <c r="B234" s="2"/>
      <c r="C234" s="2"/>
      <c r="D234" s="3"/>
      <c r="E234" s="362">
        <f>F233</f>
        <v>7008.279965</v>
      </c>
      <c r="F234" s="362">
        <f>E234*15%</f>
        <v>1051.241995</v>
      </c>
      <c r="G234" s="339"/>
      <c r="H234" s="333"/>
      <c r="I234" s="333"/>
    </row>
    <row r="235">
      <c r="A235" s="367" t="s">
        <v>42</v>
      </c>
      <c r="B235" s="2"/>
      <c r="C235" s="2"/>
      <c r="D235" s="3"/>
      <c r="E235" s="368"/>
      <c r="F235" s="369">
        <f>round(F233+F234,2)</f>
        <v>8059.52</v>
      </c>
      <c r="G235" s="339"/>
      <c r="H235" s="333"/>
      <c r="I235" s="333"/>
    </row>
    <row r="236">
      <c r="A236" s="344">
        <v>2852.0</v>
      </c>
      <c r="B236" s="346"/>
      <c r="C236" s="348" t="s">
        <v>1201</v>
      </c>
      <c r="D236" s="2"/>
      <c r="E236" s="3"/>
      <c r="F236" s="349"/>
      <c r="G236" s="3"/>
      <c r="H236" s="333"/>
      <c r="I236" s="333"/>
    </row>
    <row r="237">
      <c r="A237" s="20"/>
      <c r="B237" s="20"/>
      <c r="C237" s="351" t="s">
        <v>43</v>
      </c>
      <c r="D237" s="351">
        <v>4.0</v>
      </c>
      <c r="E237" s="351">
        <v>1.8</v>
      </c>
      <c r="F237" s="351">
        <f>D237*E237</f>
        <v>7.2</v>
      </c>
      <c r="G237" s="351" t="s">
        <v>1204</v>
      </c>
      <c r="H237" s="333"/>
      <c r="I237" s="333"/>
    </row>
    <row r="238">
      <c r="A238" s="344">
        <v>1005.0</v>
      </c>
      <c r="B238" s="346"/>
      <c r="C238" s="348" t="s">
        <v>1208</v>
      </c>
      <c r="D238" s="2"/>
      <c r="E238" s="3"/>
      <c r="F238" s="349"/>
      <c r="G238" s="3"/>
      <c r="H238" s="333"/>
      <c r="I238" s="333"/>
    </row>
    <row r="239">
      <c r="A239" s="20"/>
      <c r="B239" s="20"/>
      <c r="C239" s="351" t="s">
        <v>27</v>
      </c>
      <c r="D239" s="351">
        <v>0.25</v>
      </c>
      <c r="E239" s="351">
        <v>734.0</v>
      </c>
      <c r="F239" s="351">
        <f>D239*E239</f>
        <v>183.5</v>
      </c>
      <c r="G239" s="351" t="s">
        <v>780</v>
      </c>
      <c r="H239" s="333"/>
      <c r="I239" s="333"/>
    </row>
    <row r="240">
      <c r="A240" s="346" t="s">
        <v>1178</v>
      </c>
      <c r="B240" s="344"/>
      <c r="C240" s="357" t="s">
        <v>1211</v>
      </c>
      <c r="D240" s="2"/>
      <c r="E240" s="3"/>
      <c r="F240" s="349"/>
      <c r="G240" s="3"/>
      <c r="H240" s="333"/>
      <c r="I240" s="333"/>
    </row>
    <row r="241">
      <c r="A241" s="20"/>
      <c r="B241" s="20"/>
      <c r="C241" s="351" t="s">
        <v>904</v>
      </c>
      <c r="D241" s="359"/>
      <c r="E241" s="359"/>
      <c r="F241" s="351">
        <f>(F237+F239)*0.5%</f>
        <v>0.9535</v>
      </c>
      <c r="G241" s="351" t="s">
        <v>1215</v>
      </c>
      <c r="H241" s="333">
        <f>F241+F229</f>
        <v>35.4837</v>
      </c>
      <c r="I241" s="333"/>
    </row>
    <row r="242">
      <c r="A242" s="341" t="s">
        <v>42</v>
      </c>
      <c r="B242" s="2"/>
      <c r="C242" s="3"/>
      <c r="D242" s="362">
        <v>1.0</v>
      </c>
      <c r="E242" s="362" t="s">
        <v>43</v>
      </c>
      <c r="F242" s="362">
        <f>F237+F239+F241</f>
        <v>191.6535</v>
      </c>
      <c r="G242" s="368"/>
      <c r="H242" s="333"/>
      <c r="I242" s="333"/>
    </row>
    <row r="243">
      <c r="A243" s="341" t="s">
        <v>800</v>
      </c>
      <c r="B243" s="2"/>
      <c r="C243" s="3"/>
      <c r="D243" s="362">
        <v>1.0</v>
      </c>
      <c r="E243" s="362" t="s">
        <v>43</v>
      </c>
      <c r="F243" s="362">
        <f>F242/D242</f>
        <v>191.6535</v>
      </c>
      <c r="G243" s="368"/>
      <c r="H243" s="333"/>
      <c r="I243" s="333"/>
    </row>
    <row r="244">
      <c r="A244" s="341" t="s">
        <v>1187</v>
      </c>
      <c r="B244" s="2"/>
      <c r="C244" s="2"/>
      <c r="D244" s="3"/>
      <c r="E244" s="366">
        <f>F237*100.5%/D242</f>
        <v>7.236</v>
      </c>
      <c r="F244" s="362">
        <f>E244*1%</f>
        <v>0.07236</v>
      </c>
      <c r="G244" s="368"/>
      <c r="H244" s="333">
        <f>E244+E232</f>
        <v>6778.21245</v>
      </c>
      <c r="I244" s="333"/>
    </row>
    <row r="245">
      <c r="A245" s="341" t="s">
        <v>42</v>
      </c>
      <c r="B245" s="2"/>
      <c r="C245" s="2"/>
      <c r="D245" s="3"/>
      <c r="E245" s="339"/>
      <c r="F245" s="362">
        <f>F243+F244</f>
        <v>191.72586</v>
      </c>
      <c r="G245" s="368"/>
      <c r="H245" s="333"/>
      <c r="I245" s="333"/>
    </row>
    <row r="246">
      <c r="A246" s="341" t="s">
        <v>806</v>
      </c>
      <c r="B246" s="2"/>
      <c r="C246" s="2"/>
      <c r="D246" s="3"/>
      <c r="E246" s="362">
        <f>F245</f>
        <v>191.72586</v>
      </c>
      <c r="F246" s="362">
        <f>E246*15%</f>
        <v>28.758879</v>
      </c>
      <c r="G246" s="368"/>
      <c r="H246" s="333">
        <f>E246+E234</f>
        <v>7200.005825</v>
      </c>
      <c r="I246" s="333"/>
    </row>
    <row r="247">
      <c r="A247" s="367" t="s">
        <v>42</v>
      </c>
      <c r="B247" s="2"/>
      <c r="C247" s="2"/>
      <c r="D247" s="3"/>
      <c r="E247" s="368"/>
      <c r="F247" s="369">
        <f>round(F245+F246,2)</f>
        <v>220.48</v>
      </c>
      <c r="G247" s="339"/>
      <c r="H247" s="333"/>
      <c r="I247" s="333">
        <f>F247+F235</f>
        <v>8280</v>
      </c>
    </row>
    <row r="248">
      <c r="A248" s="372" t="str">
        <f>CONCATENATE("Say ₹ ",F235," + ",F247," x Cost Index")                                           </f>
        <v>Say ₹ 8059.52 + 220.48 x Cost Index</v>
      </c>
      <c r="B248" s="2"/>
      <c r="C248" s="2"/>
      <c r="D248" s="2"/>
      <c r="E248" s="2"/>
      <c r="F248" s="3"/>
      <c r="G248" s="373" t="s">
        <v>948</v>
      </c>
      <c r="H248" s="374">
        <f>((F225*1.005*1.01)+(F227*1.005))*1.15</f>
        <v>8059.521959</v>
      </c>
      <c r="I248" s="374">
        <f>((F237*1.005*1.01)+(F239*1.005))*1.15</f>
        <v>220.484739</v>
      </c>
    </row>
    <row r="249">
      <c r="A249" s="331" t="s">
        <v>742</v>
      </c>
      <c r="B249" s="331" t="s">
        <v>745</v>
      </c>
      <c r="C249" s="332" t="s">
        <v>6</v>
      </c>
      <c r="D249" s="2"/>
      <c r="E249" s="3"/>
      <c r="F249" s="332" t="s">
        <v>746</v>
      </c>
      <c r="G249" s="3"/>
      <c r="H249" s="333"/>
      <c r="I249" s="333"/>
    </row>
    <row r="250">
      <c r="A250" s="20"/>
      <c r="B250" s="20"/>
      <c r="C250" s="334" t="s">
        <v>8</v>
      </c>
      <c r="D250" s="334" t="s">
        <v>9</v>
      </c>
      <c r="E250" s="334" t="s">
        <v>358</v>
      </c>
      <c r="F250" s="334" t="s">
        <v>11</v>
      </c>
      <c r="G250" s="334" t="s">
        <v>751</v>
      </c>
      <c r="H250" s="333"/>
      <c r="I250" s="333"/>
    </row>
    <row r="251">
      <c r="A251" s="337" t="s">
        <v>1627</v>
      </c>
      <c r="B251" s="2"/>
      <c r="C251" s="2"/>
      <c r="D251" s="2"/>
      <c r="E251" s="2"/>
      <c r="F251" s="2"/>
      <c r="G251" s="3"/>
      <c r="H251" s="333"/>
      <c r="I251" s="333"/>
    </row>
    <row r="252">
      <c r="A252" s="339"/>
      <c r="B252" s="339" t="s">
        <v>754</v>
      </c>
      <c r="C252" s="339" t="s">
        <v>43</v>
      </c>
      <c r="D252" s="339" t="s">
        <v>757</v>
      </c>
      <c r="E252" s="339">
        <v>1.0</v>
      </c>
      <c r="F252" s="339"/>
      <c r="G252" s="339"/>
      <c r="H252" s="333"/>
      <c r="I252" s="333"/>
    </row>
    <row r="253">
      <c r="A253" s="339" t="s">
        <v>761</v>
      </c>
      <c r="B253" s="341" t="s">
        <v>1169</v>
      </c>
      <c r="C253" s="2"/>
      <c r="D253" s="2"/>
      <c r="E253" s="2"/>
      <c r="F253" s="2"/>
      <c r="G253" s="3"/>
      <c r="H253" s="333"/>
      <c r="I253" s="333"/>
    </row>
    <row r="254">
      <c r="A254" s="341" t="s">
        <v>1170</v>
      </c>
      <c r="B254" s="2"/>
      <c r="C254" s="2"/>
      <c r="D254" s="2"/>
      <c r="E254" s="2"/>
      <c r="F254" s="2"/>
      <c r="G254" s="3"/>
      <c r="H254" s="333"/>
      <c r="I254" s="333"/>
    </row>
    <row r="255">
      <c r="A255" s="344"/>
      <c r="B255" s="346" t="s">
        <v>1631</v>
      </c>
      <c r="C255" s="348" t="s">
        <v>1632</v>
      </c>
      <c r="D255" s="2"/>
      <c r="E255" s="3"/>
      <c r="F255" s="349"/>
      <c r="G255" s="3"/>
      <c r="H255" s="333"/>
      <c r="I255" s="333"/>
    </row>
    <row r="256">
      <c r="A256" s="20"/>
      <c r="B256" s="20"/>
      <c r="C256" s="351" t="s">
        <v>43</v>
      </c>
      <c r="D256" s="351">
        <v>1.0</v>
      </c>
      <c r="E256" s="351">
        <v>7881.36</v>
      </c>
      <c r="F256" s="351">
        <f>D256*E256</f>
        <v>7881.36</v>
      </c>
      <c r="G256" s="351" t="s">
        <v>772</v>
      </c>
      <c r="H256" s="333"/>
      <c r="I256" s="333"/>
    </row>
    <row r="257">
      <c r="A257" s="344"/>
      <c r="B257" s="346" t="s">
        <v>1174</v>
      </c>
      <c r="C257" s="348" t="s">
        <v>1175</v>
      </c>
      <c r="D257" s="2"/>
      <c r="E257" s="3"/>
      <c r="F257" s="349"/>
      <c r="G257" s="3"/>
      <c r="H257" s="333"/>
      <c r="I257" s="333"/>
    </row>
    <row r="258">
      <c r="A258" s="20"/>
      <c r="B258" s="20"/>
      <c r="C258" s="351" t="s">
        <v>27</v>
      </c>
      <c r="D258" s="351">
        <v>0.25</v>
      </c>
      <c r="E258" s="351">
        <v>675.0</v>
      </c>
      <c r="F258" s="351">
        <f>D258*E258</f>
        <v>168.75</v>
      </c>
      <c r="G258" s="351" t="s">
        <v>782</v>
      </c>
      <c r="H258" s="333"/>
      <c r="I258" s="333"/>
    </row>
    <row r="259">
      <c r="A259" s="346" t="s">
        <v>1178</v>
      </c>
      <c r="B259" s="344"/>
      <c r="C259" s="357" t="s">
        <v>1180</v>
      </c>
      <c r="D259" s="2"/>
      <c r="E259" s="3"/>
      <c r="F259" s="349"/>
      <c r="G259" s="3"/>
      <c r="H259" s="333"/>
      <c r="I259" s="333"/>
    </row>
    <row r="260">
      <c r="A260" s="20"/>
      <c r="B260" s="20"/>
      <c r="C260" s="351" t="s">
        <v>904</v>
      </c>
      <c r="D260" s="359"/>
      <c r="E260" s="359"/>
      <c r="F260" s="351">
        <f>(F256+F258)*0.5%</f>
        <v>40.25055</v>
      </c>
      <c r="G260" s="351" t="s">
        <v>1183</v>
      </c>
      <c r="H260" s="333"/>
      <c r="I260" s="333"/>
    </row>
    <row r="261">
      <c r="A261" s="341" t="s">
        <v>42</v>
      </c>
      <c r="B261" s="2"/>
      <c r="C261" s="3"/>
      <c r="D261" s="362">
        <v>1.0</v>
      </c>
      <c r="E261" s="362" t="s">
        <v>43</v>
      </c>
      <c r="F261" s="362">
        <f>F256+F258+F260</f>
        <v>8090.36055</v>
      </c>
      <c r="G261" s="339"/>
      <c r="H261" s="333"/>
      <c r="I261" s="333"/>
    </row>
    <row r="262">
      <c r="A262" s="341" t="s">
        <v>800</v>
      </c>
      <c r="B262" s="2"/>
      <c r="C262" s="3"/>
      <c r="D262" s="362">
        <v>1.0</v>
      </c>
      <c r="E262" s="362" t="s">
        <v>43</v>
      </c>
      <c r="F262" s="362">
        <f>F261/D261</f>
        <v>8090.36055</v>
      </c>
      <c r="G262" s="339"/>
      <c r="H262" s="333"/>
      <c r="I262" s="333"/>
    </row>
    <row r="263">
      <c r="A263" s="341" t="s">
        <v>1187</v>
      </c>
      <c r="B263" s="2"/>
      <c r="C263" s="2"/>
      <c r="D263" s="3"/>
      <c r="E263" s="366">
        <f>F256*100.5%/D261</f>
        <v>7920.7668</v>
      </c>
      <c r="F263" s="362">
        <f>E263*1%</f>
        <v>79.207668</v>
      </c>
      <c r="G263" s="339"/>
      <c r="H263" s="333"/>
      <c r="I263" s="333"/>
    </row>
    <row r="264">
      <c r="A264" s="341" t="s">
        <v>42</v>
      </c>
      <c r="B264" s="2"/>
      <c r="C264" s="2"/>
      <c r="D264" s="3"/>
      <c r="E264" s="339"/>
      <c r="F264" s="362">
        <f>F262+F263</f>
        <v>8169.568218</v>
      </c>
      <c r="G264" s="339"/>
      <c r="H264" s="333"/>
      <c r="I264" s="333"/>
    </row>
    <row r="265">
      <c r="A265" s="341" t="s">
        <v>806</v>
      </c>
      <c r="B265" s="2"/>
      <c r="C265" s="2"/>
      <c r="D265" s="3"/>
      <c r="E265" s="362">
        <f>F264</f>
        <v>8169.568218</v>
      </c>
      <c r="F265" s="362">
        <f>E265*15%</f>
        <v>1225.435233</v>
      </c>
      <c r="G265" s="339"/>
      <c r="H265" s="333"/>
      <c r="I265" s="333"/>
    </row>
    <row r="266">
      <c r="A266" s="367" t="s">
        <v>42</v>
      </c>
      <c r="B266" s="2"/>
      <c r="C266" s="2"/>
      <c r="D266" s="3"/>
      <c r="E266" s="368"/>
      <c r="F266" s="369">
        <f>round(F264+F265,2)</f>
        <v>9395</v>
      </c>
      <c r="G266" s="339"/>
      <c r="H266" s="333"/>
      <c r="I266" s="333"/>
    </row>
    <row r="267">
      <c r="A267" s="344">
        <v>2852.0</v>
      </c>
      <c r="B267" s="346"/>
      <c r="C267" s="348" t="s">
        <v>1201</v>
      </c>
      <c r="D267" s="2"/>
      <c r="E267" s="3"/>
      <c r="F267" s="349"/>
      <c r="G267" s="3"/>
      <c r="H267" s="333"/>
      <c r="I267" s="333"/>
    </row>
    <row r="268">
      <c r="A268" s="20"/>
      <c r="B268" s="20"/>
      <c r="C268" s="351" t="s">
        <v>43</v>
      </c>
      <c r="D268" s="351">
        <v>4.0</v>
      </c>
      <c r="E268" s="351">
        <v>1.8</v>
      </c>
      <c r="F268" s="351">
        <f>D268*E268</f>
        <v>7.2</v>
      </c>
      <c r="G268" s="351" t="s">
        <v>1204</v>
      </c>
      <c r="H268" s="333"/>
      <c r="I268" s="333"/>
    </row>
    <row r="269">
      <c r="A269" s="344">
        <v>1005.0</v>
      </c>
      <c r="B269" s="346"/>
      <c r="C269" s="348" t="s">
        <v>1208</v>
      </c>
      <c r="D269" s="2"/>
      <c r="E269" s="3"/>
      <c r="F269" s="349"/>
      <c r="G269" s="3"/>
      <c r="H269" s="333"/>
      <c r="I269" s="333"/>
    </row>
    <row r="270">
      <c r="A270" s="20"/>
      <c r="B270" s="20"/>
      <c r="C270" s="351" t="s">
        <v>27</v>
      </c>
      <c r="D270" s="351">
        <v>0.25</v>
      </c>
      <c r="E270" s="351">
        <v>734.0</v>
      </c>
      <c r="F270" s="351">
        <f>D270*E270</f>
        <v>183.5</v>
      </c>
      <c r="G270" s="351" t="s">
        <v>780</v>
      </c>
      <c r="H270" s="333"/>
      <c r="I270" s="333"/>
    </row>
    <row r="271">
      <c r="A271" s="346" t="s">
        <v>1178</v>
      </c>
      <c r="B271" s="344"/>
      <c r="C271" s="357" t="s">
        <v>1211</v>
      </c>
      <c r="D271" s="2"/>
      <c r="E271" s="3"/>
      <c r="F271" s="349"/>
      <c r="G271" s="3"/>
      <c r="H271" s="333"/>
      <c r="I271" s="333"/>
    </row>
    <row r="272">
      <c r="A272" s="20"/>
      <c r="B272" s="20"/>
      <c r="C272" s="351" t="s">
        <v>904</v>
      </c>
      <c r="D272" s="359"/>
      <c r="E272" s="359"/>
      <c r="F272" s="351">
        <f>(F268+F270)*0.5%</f>
        <v>0.9535</v>
      </c>
      <c r="G272" s="351" t="s">
        <v>1215</v>
      </c>
      <c r="H272" s="333">
        <f>F272+F260</f>
        <v>41.20405</v>
      </c>
      <c r="I272" s="333"/>
    </row>
    <row r="273">
      <c r="A273" s="341" t="s">
        <v>42</v>
      </c>
      <c r="B273" s="2"/>
      <c r="C273" s="3"/>
      <c r="D273" s="362">
        <v>1.0</v>
      </c>
      <c r="E273" s="362" t="s">
        <v>43</v>
      </c>
      <c r="F273" s="362">
        <f>F268+F270+F272</f>
        <v>191.6535</v>
      </c>
      <c r="G273" s="368"/>
      <c r="H273" s="333"/>
      <c r="I273" s="333"/>
    </row>
    <row r="274">
      <c r="A274" s="341" t="s">
        <v>800</v>
      </c>
      <c r="B274" s="2"/>
      <c r="C274" s="3"/>
      <c r="D274" s="362">
        <v>1.0</v>
      </c>
      <c r="E274" s="362" t="s">
        <v>43</v>
      </c>
      <c r="F274" s="362">
        <f>F273/D273</f>
        <v>191.6535</v>
      </c>
      <c r="G274" s="368"/>
      <c r="H274" s="333"/>
      <c r="I274" s="333"/>
    </row>
    <row r="275">
      <c r="A275" s="341" t="s">
        <v>1187</v>
      </c>
      <c r="B275" s="2"/>
      <c r="C275" s="2"/>
      <c r="D275" s="3"/>
      <c r="E275" s="366">
        <f>F268*100.5%/D273</f>
        <v>7.236</v>
      </c>
      <c r="F275" s="362">
        <f>E275*1%</f>
        <v>0.07236</v>
      </c>
      <c r="G275" s="368"/>
      <c r="H275" s="333">
        <f>E275+E263</f>
        <v>7928.0028</v>
      </c>
      <c r="I275" s="333"/>
    </row>
    <row r="276">
      <c r="A276" s="341" t="s">
        <v>42</v>
      </c>
      <c r="B276" s="2"/>
      <c r="C276" s="2"/>
      <c r="D276" s="3"/>
      <c r="E276" s="339"/>
      <c r="F276" s="362">
        <f>F274+F275</f>
        <v>191.72586</v>
      </c>
      <c r="G276" s="368"/>
      <c r="H276" s="333"/>
      <c r="I276" s="333"/>
    </row>
    <row r="277">
      <c r="A277" s="341" t="s">
        <v>806</v>
      </c>
      <c r="B277" s="2"/>
      <c r="C277" s="2"/>
      <c r="D277" s="3"/>
      <c r="E277" s="362">
        <f>F276</f>
        <v>191.72586</v>
      </c>
      <c r="F277" s="362">
        <f>E277*15%</f>
        <v>28.758879</v>
      </c>
      <c r="G277" s="368"/>
      <c r="H277" s="333">
        <f>E277+E265</f>
        <v>8361.294078</v>
      </c>
      <c r="I277" s="333"/>
    </row>
    <row r="278">
      <c r="A278" s="367" t="s">
        <v>42</v>
      </c>
      <c r="B278" s="2"/>
      <c r="C278" s="2"/>
      <c r="D278" s="3"/>
      <c r="E278" s="368"/>
      <c r="F278" s="369">
        <f>round(F276+F277,2)</f>
        <v>220.48</v>
      </c>
      <c r="G278" s="339"/>
      <c r="H278" s="333"/>
      <c r="I278" s="333">
        <f>F278+F266</f>
        <v>9615.48</v>
      </c>
    </row>
    <row r="279">
      <c r="A279" s="372" t="str">
        <f>CONCATENATE("Say ₹ ",F266," + ",F278," x Cost Index")                                           </f>
        <v>Say ₹ 9395 + 220.48 x Cost Index</v>
      </c>
      <c r="B279" s="2"/>
      <c r="C279" s="2"/>
      <c r="D279" s="2"/>
      <c r="E279" s="2"/>
      <c r="F279" s="3"/>
      <c r="G279" s="373" t="s">
        <v>948</v>
      </c>
      <c r="H279" s="374">
        <f>((F256*1.005*1.01)+(F258*1.005))*1.15</f>
        <v>9395.003451</v>
      </c>
      <c r="I279" s="374">
        <f>((F268*1.005*1.01)+(F270*1.005))*1.15</f>
        <v>220.484739</v>
      </c>
    </row>
  </sheetData>
  <mergeCells count="396">
    <mergeCell ref="A176:A177"/>
    <mergeCell ref="A178:A179"/>
    <mergeCell ref="B178:B179"/>
    <mergeCell ref="A180:C180"/>
    <mergeCell ref="A181:C181"/>
    <mergeCell ref="A182:D182"/>
    <mergeCell ref="A183:D183"/>
    <mergeCell ref="A184:D184"/>
    <mergeCell ref="A185:D185"/>
    <mergeCell ref="A186:F186"/>
    <mergeCell ref="A187:A188"/>
    <mergeCell ref="B187:B188"/>
    <mergeCell ref="C187:E187"/>
    <mergeCell ref="F187:G187"/>
    <mergeCell ref="A189:G189"/>
    <mergeCell ref="B191:G191"/>
    <mergeCell ref="A192:G192"/>
    <mergeCell ref="A193:A194"/>
    <mergeCell ref="B193:B194"/>
    <mergeCell ref="C193:E193"/>
    <mergeCell ref="F193:G193"/>
    <mergeCell ref="A195:A196"/>
    <mergeCell ref="B195:B196"/>
    <mergeCell ref="C195:E195"/>
    <mergeCell ref="F195:G195"/>
    <mergeCell ref="A197:A198"/>
    <mergeCell ref="C197:E197"/>
    <mergeCell ref="F197:G197"/>
    <mergeCell ref="B197:B198"/>
    <mergeCell ref="A199:C199"/>
    <mergeCell ref="A200:C200"/>
    <mergeCell ref="A201:D201"/>
    <mergeCell ref="A202:D202"/>
    <mergeCell ref="A203:D203"/>
    <mergeCell ref="A204:D204"/>
    <mergeCell ref="C209:E209"/>
    <mergeCell ref="F209:G209"/>
    <mergeCell ref="A205:A206"/>
    <mergeCell ref="B205:B206"/>
    <mergeCell ref="C205:E205"/>
    <mergeCell ref="F205:G205"/>
    <mergeCell ref="B207:B208"/>
    <mergeCell ref="C207:E207"/>
    <mergeCell ref="F207:G207"/>
    <mergeCell ref="A207:A208"/>
    <mergeCell ref="A209:A210"/>
    <mergeCell ref="B209:B210"/>
    <mergeCell ref="A211:C211"/>
    <mergeCell ref="A212:C212"/>
    <mergeCell ref="A213:D213"/>
    <mergeCell ref="A214:D214"/>
    <mergeCell ref="A215:D215"/>
    <mergeCell ref="A216:D216"/>
    <mergeCell ref="A217:F217"/>
    <mergeCell ref="A218:A219"/>
    <mergeCell ref="B218:B219"/>
    <mergeCell ref="C218:E218"/>
    <mergeCell ref="F218:G218"/>
    <mergeCell ref="A220:G220"/>
    <mergeCell ref="B222:G222"/>
    <mergeCell ref="A223:G223"/>
    <mergeCell ref="A224:A225"/>
    <mergeCell ref="B224:B225"/>
    <mergeCell ref="C224:E224"/>
    <mergeCell ref="F224:G224"/>
    <mergeCell ref="A226:A227"/>
    <mergeCell ref="B226:B227"/>
    <mergeCell ref="C226:E226"/>
    <mergeCell ref="F226:G226"/>
    <mergeCell ref="A228:A229"/>
    <mergeCell ref="C228:E228"/>
    <mergeCell ref="F228:G228"/>
    <mergeCell ref="B228:B229"/>
    <mergeCell ref="A230:C230"/>
    <mergeCell ref="A231:C231"/>
    <mergeCell ref="A232:D232"/>
    <mergeCell ref="A233:D233"/>
    <mergeCell ref="A234:D234"/>
    <mergeCell ref="A235:D235"/>
    <mergeCell ref="C240:E240"/>
    <mergeCell ref="F240:G240"/>
    <mergeCell ref="A236:A237"/>
    <mergeCell ref="B236:B237"/>
    <mergeCell ref="C236:E236"/>
    <mergeCell ref="F236:G236"/>
    <mergeCell ref="B238:B239"/>
    <mergeCell ref="C238:E238"/>
    <mergeCell ref="F238:G238"/>
    <mergeCell ref="A1:A2"/>
    <mergeCell ref="B1:B2"/>
    <mergeCell ref="C1:E1"/>
    <mergeCell ref="F1:G1"/>
    <mergeCell ref="A3:G3"/>
    <mergeCell ref="B5:G5"/>
    <mergeCell ref="A6:G6"/>
    <mergeCell ref="C11:E11"/>
    <mergeCell ref="F11:G11"/>
    <mergeCell ref="A7:A8"/>
    <mergeCell ref="B7:B8"/>
    <mergeCell ref="C7:E7"/>
    <mergeCell ref="F7:G7"/>
    <mergeCell ref="B9:B10"/>
    <mergeCell ref="C9:E9"/>
    <mergeCell ref="F9:G9"/>
    <mergeCell ref="A9:A10"/>
    <mergeCell ref="A11:A12"/>
    <mergeCell ref="B11:B12"/>
    <mergeCell ref="A13:C13"/>
    <mergeCell ref="A14:C14"/>
    <mergeCell ref="A15:D15"/>
    <mergeCell ref="A16:D16"/>
    <mergeCell ref="F21:G21"/>
    <mergeCell ref="F23:G23"/>
    <mergeCell ref="A17:D17"/>
    <mergeCell ref="A18:D18"/>
    <mergeCell ref="A19:A20"/>
    <mergeCell ref="B19:B20"/>
    <mergeCell ref="C19:E19"/>
    <mergeCell ref="F19:G19"/>
    <mergeCell ref="A21:A22"/>
    <mergeCell ref="B21:B22"/>
    <mergeCell ref="C21:E21"/>
    <mergeCell ref="A23:A24"/>
    <mergeCell ref="B23:B24"/>
    <mergeCell ref="C23:E23"/>
    <mergeCell ref="A25:C25"/>
    <mergeCell ref="A26:C26"/>
    <mergeCell ref="C32:E32"/>
    <mergeCell ref="F32:G32"/>
    <mergeCell ref="A27:D27"/>
    <mergeCell ref="A28:D28"/>
    <mergeCell ref="A29:D29"/>
    <mergeCell ref="A30:D30"/>
    <mergeCell ref="A31:F31"/>
    <mergeCell ref="A32:A33"/>
    <mergeCell ref="B32:B33"/>
    <mergeCell ref="A34:G34"/>
    <mergeCell ref="B36:G36"/>
    <mergeCell ref="A37:G37"/>
    <mergeCell ref="A38:A39"/>
    <mergeCell ref="B38:B39"/>
    <mergeCell ref="C38:E38"/>
    <mergeCell ref="F38:G38"/>
    <mergeCell ref="A40:A41"/>
    <mergeCell ref="B40:B41"/>
    <mergeCell ref="C40:E40"/>
    <mergeCell ref="F40:G40"/>
    <mergeCell ref="A42:A43"/>
    <mergeCell ref="C42:E42"/>
    <mergeCell ref="F42:G42"/>
    <mergeCell ref="B42:B43"/>
    <mergeCell ref="A44:C44"/>
    <mergeCell ref="A45:C45"/>
    <mergeCell ref="A46:D46"/>
    <mergeCell ref="A47:D47"/>
    <mergeCell ref="A48:D48"/>
    <mergeCell ref="A49:D49"/>
    <mergeCell ref="C54:E54"/>
    <mergeCell ref="F54:G54"/>
    <mergeCell ref="A50:A51"/>
    <mergeCell ref="B50:B51"/>
    <mergeCell ref="C50:E50"/>
    <mergeCell ref="F50:G50"/>
    <mergeCell ref="B52:B53"/>
    <mergeCell ref="C52:E52"/>
    <mergeCell ref="F52:G52"/>
    <mergeCell ref="A52:A53"/>
    <mergeCell ref="A54:A55"/>
    <mergeCell ref="B54:B55"/>
    <mergeCell ref="A56:C56"/>
    <mergeCell ref="A57:C57"/>
    <mergeCell ref="A58:D58"/>
    <mergeCell ref="A59:D59"/>
    <mergeCell ref="A60:D60"/>
    <mergeCell ref="A61:D61"/>
    <mergeCell ref="A62:F62"/>
    <mergeCell ref="A63:A64"/>
    <mergeCell ref="B63:B64"/>
    <mergeCell ref="C63:E63"/>
    <mergeCell ref="F63:G63"/>
    <mergeCell ref="A65:G65"/>
    <mergeCell ref="B67:G67"/>
    <mergeCell ref="A68:G68"/>
    <mergeCell ref="A69:A70"/>
    <mergeCell ref="B69:B70"/>
    <mergeCell ref="C69:E69"/>
    <mergeCell ref="F69:G69"/>
    <mergeCell ref="A71:A72"/>
    <mergeCell ref="B71:B72"/>
    <mergeCell ref="C71:E71"/>
    <mergeCell ref="F71:G71"/>
    <mergeCell ref="A73:A74"/>
    <mergeCell ref="C73:E73"/>
    <mergeCell ref="F73:G73"/>
    <mergeCell ref="B73:B74"/>
    <mergeCell ref="A75:C75"/>
    <mergeCell ref="A76:C76"/>
    <mergeCell ref="A77:D77"/>
    <mergeCell ref="A78:D78"/>
    <mergeCell ref="A79:D79"/>
    <mergeCell ref="A80:D80"/>
    <mergeCell ref="C85:E85"/>
    <mergeCell ref="F85:G85"/>
    <mergeCell ref="A81:A82"/>
    <mergeCell ref="B81:B82"/>
    <mergeCell ref="C81:E81"/>
    <mergeCell ref="F81:G81"/>
    <mergeCell ref="B83:B84"/>
    <mergeCell ref="C83:E83"/>
    <mergeCell ref="F83:G83"/>
    <mergeCell ref="A83:A84"/>
    <mergeCell ref="A85:A86"/>
    <mergeCell ref="B85:B86"/>
    <mergeCell ref="A87:C87"/>
    <mergeCell ref="A88:C88"/>
    <mergeCell ref="A89:D89"/>
    <mergeCell ref="A90:D90"/>
    <mergeCell ref="A91:D91"/>
    <mergeCell ref="A92:D92"/>
    <mergeCell ref="A93:F93"/>
    <mergeCell ref="A94:A95"/>
    <mergeCell ref="B94:B95"/>
    <mergeCell ref="C94:E94"/>
    <mergeCell ref="F94:G94"/>
    <mergeCell ref="A96:G96"/>
    <mergeCell ref="B98:G98"/>
    <mergeCell ref="A99:G99"/>
    <mergeCell ref="A100:A101"/>
    <mergeCell ref="B100:B101"/>
    <mergeCell ref="C100:E100"/>
    <mergeCell ref="F100:G100"/>
    <mergeCell ref="A102:A103"/>
    <mergeCell ref="B102:B103"/>
    <mergeCell ref="C102:E102"/>
    <mergeCell ref="F102:G102"/>
    <mergeCell ref="A104:A105"/>
    <mergeCell ref="C104:E104"/>
    <mergeCell ref="F104:G104"/>
    <mergeCell ref="B104:B105"/>
    <mergeCell ref="A106:C106"/>
    <mergeCell ref="A107:C107"/>
    <mergeCell ref="A108:D108"/>
    <mergeCell ref="A109:D109"/>
    <mergeCell ref="A110:D110"/>
    <mergeCell ref="A111:D111"/>
    <mergeCell ref="C116:E116"/>
    <mergeCell ref="F116:G116"/>
    <mergeCell ref="A112:A113"/>
    <mergeCell ref="B112:B113"/>
    <mergeCell ref="C112:E112"/>
    <mergeCell ref="F112:G112"/>
    <mergeCell ref="B114:B115"/>
    <mergeCell ref="C114:E114"/>
    <mergeCell ref="F114:G114"/>
    <mergeCell ref="A114:A115"/>
    <mergeCell ref="A116:A117"/>
    <mergeCell ref="B116:B117"/>
    <mergeCell ref="A118:C118"/>
    <mergeCell ref="A119:C119"/>
    <mergeCell ref="A120:D120"/>
    <mergeCell ref="A121:D121"/>
    <mergeCell ref="A122:D122"/>
    <mergeCell ref="A123:D123"/>
    <mergeCell ref="A124:F124"/>
    <mergeCell ref="A125:A126"/>
    <mergeCell ref="B125:B126"/>
    <mergeCell ref="C125:E125"/>
    <mergeCell ref="F125:G125"/>
    <mergeCell ref="A127:G127"/>
    <mergeCell ref="B129:G129"/>
    <mergeCell ref="A130:G130"/>
    <mergeCell ref="A131:A132"/>
    <mergeCell ref="B131:B132"/>
    <mergeCell ref="C131:E131"/>
    <mergeCell ref="F131:G131"/>
    <mergeCell ref="A133:A134"/>
    <mergeCell ref="B133:B134"/>
    <mergeCell ref="C133:E133"/>
    <mergeCell ref="F133:G133"/>
    <mergeCell ref="A135:A136"/>
    <mergeCell ref="C135:E135"/>
    <mergeCell ref="F135:G135"/>
    <mergeCell ref="B135:B136"/>
    <mergeCell ref="A137:C137"/>
    <mergeCell ref="A138:C138"/>
    <mergeCell ref="A139:D139"/>
    <mergeCell ref="A140:D140"/>
    <mergeCell ref="A141:D141"/>
    <mergeCell ref="A142:D142"/>
    <mergeCell ref="C147:E147"/>
    <mergeCell ref="F147:G147"/>
    <mergeCell ref="A143:A144"/>
    <mergeCell ref="B143:B144"/>
    <mergeCell ref="C143:E143"/>
    <mergeCell ref="F143:G143"/>
    <mergeCell ref="B145:B146"/>
    <mergeCell ref="C145:E145"/>
    <mergeCell ref="F145:G145"/>
    <mergeCell ref="A145:A146"/>
    <mergeCell ref="A147:A148"/>
    <mergeCell ref="B147:B148"/>
    <mergeCell ref="A149:C149"/>
    <mergeCell ref="A150:C150"/>
    <mergeCell ref="A151:D151"/>
    <mergeCell ref="A152:D152"/>
    <mergeCell ref="A153:D153"/>
    <mergeCell ref="A154:D154"/>
    <mergeCell ref="A155:F155"/>
    <mergeCell ref="A156:A157"/>
    <mergeCell ref="B156:B157"/>
    <mergeCell ref="C156:E156"/>
    <mergeCell ref="F156:G156"/>
    <mergeCell ref="A158:G158"/>
    <mergeCell ref="B160:G160"/>
    <mergeCell ref="A161:G161"/>
    <mergeCell ref="A162:A163"/>
    <mergeCell ref="B162:B163"/>
    <mergeCell ref="C162:E162"/>
    <mergeCell ref="F162:G162"/>
    <mergeCell ref="A164:A165"/>
    <mergeCell ref="B164:B165"/>
    <mergeCell ref="C164:E164"/>
    <mergeCell ref="F164:G164"/>
    <mergeCell ref="A166:A167"/>
    <mergeCell ref="C166:E166"/>
    <mergeCell ref="F166:G166"/>
    <mergeCell ref="B166:B167"/>
    <mergeCell ref="A168:C168"/>
    <mergeCell ref="A169:C169"/>
    <mergeCell ref="A170:D170"/>
    <mergeCell ref="A171:D171"/>
    <mergeCell ref="A172:D172"/>
    <mergeCell ref="A173:D173"/>
    <mergeCell ref="C178:E178"/>
    <mergeCell ref="F178:G178"/>
    <mergeCell ref="A174:A175"/>
    <mergeCell ref="B174:B175"/>
    <mergeCell ref="C174:E174"/>
    <mergeCell ref="F174:G174"/>
    <mergeCell ref="B176:B177"/>
    <mergeCell ref="C176:E176"/>
    <mergeCell ref="F176:G176"/>
    <mergeCell ref="A277:D277"/>
    <mergeCell ref="A278:D278"/>
    <mergeCell ref="A279:F279"/>
    <mergeCell ref="A269:A270"/>
    <mergeCell ref="A271:A272"/>
    <mergeCell ref="B271:B272"/>
    <mergeCell ref="A273:C273"/>
    <mergeCell ref="A274:C274"/>
    <mergeCell ref="A275:D275"/>
    <mergeCell ref="A276:D276"/>
    <mergeCell ref="A238:A239"/>
    <mergeCell ref="A240:A241"/>
    <mergeCell ref="B240:B241"/>
    <mergeCell ref="A242:C242"/>
    <mergeCell ref="A243:C243"/>
    <mergeCell ref="A244:D244"/>
    <mergeCell ref="A245:D245"/>
    <mergeCell ref="A246:D246"/>
    <mergeCell ref="A247:D247"/>
    <mergeCell ref="A248:F248"/>
    <mergeCell ref="A249:A250"/>
    <mergeCell ref="B249:B250"/>
    <mergeCell ref="C249:E249"/>
    <mergeCell ref="F249:G249"/>
    <mergeCell ref="A251:G251"/>
    <mergeCell ref="B253:G253"/>
    <mergeCell ref="A254:G254"/>
    <mergeCell ref="A255:A256"/>
    <mergeCell ref="B255:B256"/>
    <mergeCell ref="C255:E255"/>
    <mergeCell ref="F255:G255"/>
    <mergeCell ref="A257:A258"/>
    <mergeCell ref="B257:B258"/>
    <mergeCell ref="C257:E257"/>
    <mergeCell ref="F257:G257"/>
    <mergeCell ref="A259:A260"/>
    <mergeCell ref="C259:E259"/>
    <mergeCell ref="F259:G259"/>
    <mergeCell ref="B259:B260"/>
    <mergeCell ref="A261:C261"/>
    <mergeCell ref="A262:C262"/>
    <mergeCell ref="A263:D263"/>
    <mergeCell ref="A264:D264"/>
    <mergeCell ref="A265:D265"/>
    <mergeCell ref="A266:D266"/>
    <mergeCell ref="C271:E271"/>
    <mergeCell ref="F271:G271"/>
    <mergeCell ref="A267:A268"/>
    <mergeCell ref="B267:B268"/>
    <mergeCell ref="C267:E267"/>
    <mergeCell ref="F267:G267"/>
    <mergeCell ref="B269:B270"/>
    <mergeCell ref="C269:E269"/>
    <mergeCell ref="F269:G269"/>
  </mergeCell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1" max="1" width="12.57"/>
    <col customWidth="1" min="2" max="2" width="58.14"/>
  </cols>
  <sheetData>
    <row r="1">
      <c r="A1" s="26" t="s">
        <v>354</v>
      </c>
      <c r="B1" s="26" t="s">
        <v>357</v>
      </c>
      <c r="C1" s="26" t="s">
        <v>358</v>
      </c>
      <c r="D1" s="26" t="s">
        <v>8</v>
      </c>
    </row>
    <row r="2">
      <c r="A2" s="29" t="s">
        <v>1376</v>
      </c>
      <c r="B2" s="29" t="s">
        <v>1377</v>
      </c>
      <c r="C2" s="29">
        <v>462.13</v>
      </c>
      <c r="D2" s="29" t="s">
        <v>43</v>
      </c>
    </row>
    <row r="3">
      <c r="A3" s="29" t="s">
        <v>1379</v>
      </c>
      <c r="B3" s="29" t="s">
        <v>1380</v>
      </c>
      <c r="C3" s="29">
        <v>512.12</v>
      </c>
      <c r="D3" s="29" t="s">
        <v>43</v>
      </c>
    </row>
    <row r="4">
      <c r="A4" s="29" t="s">
        <v>1381</v>
      </c>
      <c r="B4" s="29" t="s">
        <v>1382</v>
      </c>
      <c r="C4" s="29">
        <v>614.04</v>
      </c>
      <c r="D4" s="29" t="s">
        <v>43</v>
      </c>
    </row>
    <row r="5">
      <c r="A5" s="29" t="s">
        <v>1383</v>
      </c>
      <c r="B5" s="29" t="s">
        <v>1384</v>
      </c>
      <c r="C5" s="29">
        <v>762.43</v>
      </c>
      <c r="D5" s="29" t="s">
        <v>43</v>
      </c>
    </row>
    <row r="6">
      <c r="A6" s="29" t="s">
        <v>1385</v>
      </c>
      <c r="B6" s="29" t="s">
        <v>1386</v>
      </c>
      <c r="C6" s="32">
        <v>1294.11</v>
      </c>
      <c r="D6" s="29" t="s">
        <v>43</v>
      </c>
    </row>
    <row r="7">
      <c r="A7" s="29" t="s">
        <v>1388</v>
      </c>
      <c r="B7" s="29" t="s">
        <v>1389</v>
      </c>
      <c r="C7" s="32">
        <v>1933.85</v>
      </c>
      <c r="D7" s="29" t="s">
        <v>43</v>
      </c>
    </row>
    <row r="8">
      <c r="A8" s="29" t="s">
        <v>1390</v>
      </c>
      <c r="B8" s="29" t="s">
        <v>1391</v>
      </c>
      <c r="C8" s="29">
        <v>400.86</v>
      </c>
      <c r="D8" s="29" t="s">
        <v>43</v>
      </c>
    </row>
    <row r="9">
      <c r="A9" s="29" t="s">
        <v>1392</v>
      </c>
      <c r="B9" s="29" t="s">
        <v>1393</v>
      </c>
      <c r="C9" s="29">
        <v>439.81</v>
      </c>
      <c r="D9" s="29" t="s">
        <v>43</v>
      </c>
    </row>
    <row r="10">
      <c r="A10" s="29" t="s">
        <v>1394</v>
      </c>
      <c r="B10" s="29" t="s">
        <v>1395</v>
      </c>
      <c r="C10" s="29">
        <v>497.89</v>
      </c>
      <c r="D10" s="29" t="s">
        <v>43</v>
      </c>
    </row>
    <row r="11">
      <c r="A11" s="29" t="s">
        <v>1396</v>
      </c>
      <c r="B11" s="29" t="s">
        <v>1397</v>
      </c>
      <c r="C11" s="29">
        <v>588.21</v>
      </c>
      <c r="D11" s="29" t="s">
        <v>43</v>
      </c>
    </row>
    <row r="12">
      <c r="A12" s="29" t="s">
        <v>1398</v>
      </c>
      <c r="B12" s="29" t="s">
        <v>1399</v>
      </c>
      <c r="C12" s="29">
        <v>675.32</v>
      </c>
      <c r="D12" s="29" t="s">
        <v>43</v>
      </c>
    </row>
    <row r="13">
      <c r="A13" s="29" t="s">
        <v>1401</v>
      </c>
      <c r="B13" s="29" t="s">
        <v>1402</v>
      </c>
      <c r="C13" s="29">
        <v>707.55</v>
      </c>
      <c r="D13" s="29" t="s">
        <v>43</v>
      </c>
    </row>
    <row r="14">
      <c r="A14" s="29" t="s">
        <v>1403</v>
      </c>
      <c r="B14" s="29" t="s">
        <v>1404</v>
      </c>
      <c r="C14" s="32">
        <v>910.81</v>
      </c>
      <c r="D14" s="29" t="s">
        <v>43</v>
      </c>
    </row>
    <row r="15">
      <c r="A15" s="29" t="s">
        <v>1405</v>
      </c>
      <c r="B15" s="29" t="s">
        <v>1406</v>
      </c>
      <c r="C15" s="32">
        <v>1018.88</v>
      </c>
      <c r="D15" s="29" t="s">
        <v>43</v>
      </c>
    </row>
    <row r="16">
      <c r="A16" s="29" t="s">
        <v>1407</v>
      </c>
      <c r="B16" s="29" t="s">
        <v>1408</v>
      </c>
      <c r="C16" s="32">
        <v>1146.64</v>
      </c>
      <c r="D16" s="29" t="s">
        <v>43</v>
      </c>
    </row>
    <row r="17">
      <c r="A17" s="29" t="s">
        <v>1410</v>
      </c>
      <c r="B17" s="29" t="s">
        <v>1411</v>
      </c>
      <c r="C17" s="32">
        <v>1817.7</v>
      </c>
      <c r="D17" s="29" t="s">
        <v>43</v>
      </c>
    </row>
    <row r="18">
      <c r="A18" s="29" t="s">
        <v>1412</v>
      </c>
      <c r="B18" s="29" t="s">
        <v>1413</v>
      </c>
      <c r="C18" s="32">
        <v>1846.74</v>
      </c>
      <c r="D18" s="29" t="s">
        <v>43</v>
      </c>
    </row>
    <row r="19">
      <c r="A19" s="29" t="s">
        <v>1414</v>
      </c>
      <c r="B19" s="29" t="s">
        <v>1415</v>
      </c>
      <c r="C19" s="32">
        <v>2721.38</v>
      </c>
      <c r="D19" s="29" t="s">
        <v>43</v>
      </c>
    </row>
    <row r="20">
      <c r="A20" s="29" t="s">
        <v>1416</v>
      </c>
      <c r="B20" s="29" t="s">
        <v>1417</v>
      </c>
      <c r="C20" s="32">
        <v>3069.83</v>
      </c>
      <c r="D20" s="29" t="s">
        <v>43</v>
      </c>
    </row>
    <row r="21">
      <c r="A21" s="29" t="s">
        <v>1419</v>
      </c>
      <c r="B21" s="29" t="s">
        <v>1420</v>
      </c>
      <c r="C21" s="29">
        <v>227.71</v>
      </c>
      <c r="D21" s="29" t="s">
        <v>43</v>
      </c>
    </row>
    <row r="22">
      <c r="A22" s="29" t="s">
        <v>1421</v>
      </c>
      <c r="B22" s="29" t="s">
        <v>1422</v>
      </c>
      <c r="C22" s="29">
        <v>250.94</v>
      </c>
      <c r="D22" s="29" t="s">
        <v>43</v>
      </c>
    </row>
    <row r="23">
      <c r="A23" s="29" t="s">
        <v>1423</v>
      </c>
      <c r="B23" s="29" t="s">
        <v>1424</v>
      </c>
      <c r="C23" s="32">
        <v>320.63</v>
      </c>
      <c r="D23" s="29" t="s">
        <v>43</v>
      </c>
    </row>
    <row r="24">
      <c r="A24" s="29" t="s">
        <v>1425</v>
      </c>
      <c r="B24" s="29" t="s">
        <v>1426</v>
      </c>
      <c r="C24" s="32">
        <v>355.48</v>
      </c>
      <c r="D24" s="29" t="s">
        <v>43</v>
      </c>
    </row>
    <row r="25">
      <c r="A25" s="29" t="s">
        <v>1428</v>
      </c>
      <c r="B25" s="29" t="s">
        <v>1429</v>
      </c>
      <c r="C25" s="32">
        <v>454.2</v>
      </c>
      <c r="D25" s="29" t="s">
        <v>43</v>
      </c>
    </row>
    <row r="26">
      <c r="A26" s="29" t="s">
        <v>1430</v>
      </c>
      <c r="B26" s="29" t="s">
        <v>1431</v>
      </c>
      <c r="C26" s="32">
        <v>613.52</v>
      </c>
      <c r="D26" s="29" t="s">
        <v>43</v>
      </c>
    </row>
    <row r="27">
      <c r="A27" s="29" t="s">
        <v>1432</v>
      </c>
      <c r="B27" s="29" t="s">
        <v>1433</v>
      </c>
      <c r="C27" s="32">
        <v>863.24</v>
      </c>
      <c r="D27" s="29" t="s">
        <v>43</v>
      </c>
    </row>
    <row r="28">
      <c r="A28" s="29" t="s">
        <v>1434</v>
      </c>
      <c r="B28" s="29" t="s">
        <v>1435</v>
      </c>
      <c r="C28" s="32">
        <v>921.31</v>
      </c>
      <c r="D28" s="29" t="s">
        <v>43</v>
      </c>
    </row>
    <row r="29">
      <c r="A29" s="29" t="s">
        <v>1437</v>
      </c>
      <c r="B29" s="29" t="s">
        <v>1438</v>
      </c>
      <c r="C29" s="29">
        <v>592.86</v>
      </c>
      <c r="D29" s="29" t="s">
        <v>43</v>
      </c>
    </row>
    <row r="30">
      <c r="A30" s="29" t="s">
        <v>1439</v>
      </c>
      <c r="B30" s="29" t="s">
        <v>1440</v>
      </c>
      <c r="C30" s="29">
        <v>616.09</v>
      </c>
      <c r="D30" s="29" t="s">
        <v>43</v>
      </c>
    </row>
    <row r="31">
      <c r="A31" s="29" t="s">
        <v>1441</v>
      </c>
      <c r="B31" s="29" t="s">
        <v>1442</v>
      </c>
      <c r="C31" s="29">
        <v>685.78</v>
      </c>
      <c r="D31" s="29" t="s">
        <v>43</v>
      </c>
    </row>
    <row r="32">
      <c r="A32" s="29" t="s">
        <v>1443</v>
      </c>
      <c r="B32" s="29" t="s">
        <v>1445</v>
      </c>
      <c r="C32" s="29">
        <v>720.63</v>
      </c>
      <c r="D32" s="29" t="s">
        <v>43</v>
      </c>
    </row>
    <row r="33">
      <c r="A33" s="29" t="s">
        <v>1446</v>
      </c>
      <c r="B33" s="29" t="s">
        <v>1448</v>
      </c>
      <c r="C33" s="29">
        <v>819.36</v>
      </c>
      <c r="D33" s="29" t="s">
        <v>43</v>
      </c>
    </row>
    <row r="34">
      <c r="A34" s="29" t="s">
        <v>1450</v>
      </c>
      <c r="B34" s="29" t="s">
        <v>1451</v>
      </c>
      <c r="C34" s="32">
        <v>1111.45</v>
      </c>
      <c r="D34" s="29" t="s">
        <v>43</v>
      </c>
    </row>
    <row r="35">
      <c r="A35" s="29" t="s">
        <v>1452</v>
      </c>
      <c r="B35" s="29" t="s">
        <v>1453</v>
      </c>
      <c r="C35" s="32">
        <v>1361.17</v>
      </c>
      <c r="D35" s="29" t="s">
        <v>43</v>
      </c>
    </row>
    <row r="36">
      <c r="A36" s="29" t="s">
        <v>1455</v>
      </c>
      <c r="B36" s="29" t="s">
        <v>1456</v>
      </c>
      <c r="C36" s="32">
        <v>1419.25</v>
      </c>
      <c r="D36" s="29" t="s">
        <v>43</v>
      </c>
    </row>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1" max="1" width="14.57"/>
    <col customWidth="1" min="2" max="2" width="18.71"/>
    <col customWidth="1" min="7" max="7" width="16.29"/>
    <col customWidth="1" hidden="1" min="8" max="9" width="8.0"/>
  </cols>
  <sheetData>
    <row r="1">
      <c r="A1" s="386" t="s">
        <v>1464</v>
      </c>
      <c r="B1" s="2"/>
      <c r="C1" s="2"/>
      <c r="D1" s="2"/>
      <c r="E1" s="2"/>
      <c r="F1" s="2"/>
      <c r="G1" s="3"/>
      <c r="H1" s="387"/>
      <c r="I1" s="387"/>
    </row>
    <row r="2">
      <c r="A2" s="388" t="s">
        <v>882</v>
      </c>
      <c r="B2" s="389" t="s">
        <v>1467</v>
      </c>
      <c r="C2" s="2"/>
      <c r="D2" s="2"/>
      <c r="E2" s="2"/>
      <c r="F2" s="2"/>
      <c r="G2" s="3"/>
      <c r="H2" s="387"/>
      <c r="I2" s="387"/>
    </row>
    <row r="3">
      <c r="A3" s="390" t="s">
        <v>1469</v>
      </c>
      <c r="B3" s="391" t="s">
        <v>1471</v>
      </c>
      <c r="C3" s="392">
        <v>1.0</v>
      </c>
      <c r="D3" s="392" t="s">
        <v>43</v>
      </c>
      <c r="E3" s="393">
        <v>1620.0</v>
      </c>
      <c r="F3" s="392" t="s">
        <v>1473</v>
      </c>
      <c r="G3" s="394">
        <f t="shared" ref="G3:G10" si="1">C3*E3</f>
        <v>1620</v>
      </c>
      <c r="H3" s="387"/>
      <c r="I3" s="387"/>
    </row>
    <row r="4">
      <c r="A4" s="390" t="s">
        <v>1476</v>
      </c>
      <c r="B4" s="391" t="s">
        <v>1477</v>
      </c>
      <c r="C4" s="392">
        <v>1.0</v>
      </c>
      <c r="D4" s="392" t="s">
        <v>43</v>
      </c>
      <c r="E4" s="393">
        <v>1355.0</v>
      </c>
      <c r="F4" s="392" t="s">
        <v>1473</v>
      </c>
      <c r="G4" s="394">
        <f t="shared" si="1"/>
        <v>1355</v>
      </c>
      <c r="H4" s="387"/>
      <c r="I4" s="387"/>
    </row>
    <row r="5">
      <c r="A5" s="390" t="s">
        <v>1479</v>
      </c>
      <c r="B5" s="391" t="s">
        <v>1480</v>
      </c>
      <c r="C5" s="392">
        <v>1.0</v>
      </c>
      <c r="D5" s="392" t="s">
        <v>43</v>
      </c>
      <c r="E5" s="393">
        <v>2196.0</v>
      </c>
      <c r="F5" s="392" t="s">
        <v>1473</v>
      </c>
      <c r="G5" s="394">
        <f t="shared" si="1"/>
        <v>2196</v>
      </c>
      <c r="H5" s="387"/>
      <c r="I5" s="387"/>
    </row>
    <row r="6">
      <c r="A6" s="390" t="s">
        <v>1481</v>
      </c>
      <c r="B6" s="391" t="s">
        <v>1482</v>
      </c>
      <c r="C6" s="392">
        <v>1.0</v>
      </c>
      <c r="D6" s="392" t="s">
        <v>43</v>
      </c>
      <c r="E6" s="392">
        <v>105.0</v>
      </c>
      <c r="F6" s="392" t="s">
        <v>1473</v>
      </c>
      <c r="G6" s="394">
        <f t="shared" si="1"/>
        <v>105</v>
      </c>
      <c r="H6" s="387"/>
      <c r="I6" s="387"/>
    </row>
    <row r="7">
      <c r="A7" s="390" t="s">
        <v>1484</v>
      </c>
      <c r="B7" s="391" t="s">
        <v>1485</v>
      </c>
      <c r="C7" s="392">
        <v>1.0</v>
      </c>
      <c r="D7" s="392" t="s">
        <v>43</v>
      </c>
      <c r="E7" s="392">
        <v>84.0</v>
      </c>
      <c r="F7" s="392" t="s">
        <v>1473</v>
      </c>
      <c r="G7" s="394">
        <f t="shared" si="1"/>
        <v>84</v>
      </c>
      <c r="H7" s="387"/>
      <c r="I7" s="387"/>
    </row>
    <row r="8">
      <c r="A8" s="390" t="s">
        <v>1486</v>
      </c>
      <c r="B8" s="391" t="s">
        <v>1487</v>
      </c>
      <c r="C8" s="392">
        <v>1.0</v>
      </c>
      <c r="D8" s="392" t="s">
        <v>43</v>
      </c>
      <c r="E8" s="392">
        <v>1016.0</v>
      </c>
      <c r="F8" s="392" t="s">
        <v>1473</v>
      </c>
      <c r="G8" s="394">
        <f t="shared" si="1"/>
        <v>1016</v>
      </c>
      <c r="H8" s="387"/>
      <c r="I8" s="387"/>
    </row>
    <row r="9">
      <c r="A9" s="390" t="s">
        <v>864</v>
      </c>
      <c r="B9" s="391" t="s">
        <v>1489</v>
      </c>
      <c r="C9" s="392">
        <v>1.0</v>
      </c>
      <c r="D9" s="392" t="s">
        <v>904</v>
      </c>
      <c r="E9" s="392">
        <v>100.0</v>
      </c>
      <c r="F9" s="392" t="s">
        <v>904</v>
      </c>
      <c r="G9" s="394">
        <f t="shared" si="1"/>
        <v>100</v>
      </c>
      <c r="H9" s="387"/>
      <c r="I9" s="387"/>
    </row>
    <row r="10">
      <c r="A10" s="390" t="s">
        <v>864</v>
      </c>
      <c r="B10" s="391" t="s">
        <v>1490</v>
      </c>
      <c r="C10" s="392">
        <v>1.0</v>
      </c>
      <c r="D10" s="392" t="s">
        <v>43</v>
      </c>
      <c r="E10" s="392">
        <v>540.0</v>
      </c>
      <c r="F10" s="392" t="s">
        <v>1473</v>
      </c>
      <c r="G10" s="394">
        <f t="shared" si="1"/>
        <v>540</v>
      </c>
      <c r="H10" s="387"/>
      <c r="I10" s="387"/>
    </row>
    <row r="11">
      <c r="A11" s="403"/>
      <c r="B11" s="391" t="s">
        <v>990</v>
      </c>
      <c r="C11" s="404"/>
      <c r="D11" s="404"/>
      <c r="E11" s="404"/>
      <c r="F11" s="404"/>
      <c r="G11" s="394">
        <f>SUM(G3:G10)</f>
        <v>7016</v>
      </c>
      <c r="H11" s="387"/>
      <c r="I11" s="387"/>
    </row>
    <row r="12">
      <c r="A12" s="403"/>
      <c r="B12" s="391" t="s">
        <v>1493</v>
      </c>
      <c r="C12" s="404"/>
      <c r="D12" s="404"/>
      <c r="E12" s="404"/>
      <c r="F12" s="404"/>
      <c r="G12" s="394">
        <f>G11*1%</f>
        <v>70.16</v>
      </c>
      <c r="H12" s="387"/>
      <c r="I12" s="387"/>
    </row>
    <row r="13">
      <c r="A13" s="403"/>
      <c r="B13" s="408" t="s">
        <v>37</v>
      </c>
      <c r="C13" s="404"/>
      <c r="D13" s="404"/>
      <c r="E13" s="404"/>
      <c r="F13" s="404"/>
      <c r="G13" s="394">
        <f>SUM(G11:G12)</f>
        <v>7086.16</v>
      </c>
      <c r="H13" s="387"/>
      <c r="I13" s="387"/>
    </row>
    <row r="14">
      <c r="A14" s="403"/>
      <c r="B14" s="408" t="s">
        <v>912</v>
      </c>
      <c r="C14" s="404"/>
      <c r="D14" s="404"/>
      <c r="E14" s="404"/>
      <c r="F14" s="404"/>
      <c r="G14" s="394">
        <f>G13*15%</f>
        <v>1062.924</v>
      </c>
      <c r="H14" s="387"/>
      <c r="I14" s="387"/>
    </row>
    <row r="15">
      <c r="A15" s="403"/>
      <c r="B15" s="411" t="s">
        <v>906</v>
      </c>
      <c r="C15" s="404"/>
      <c r="D15" s="404"/>
      <c r="E15" s="404"/>
      <c r="F15" s="404"/>
      <c r="G15" s="412">
        <f>round(SUM(G13:G14),2)</f>
        <v>8149.08</v>
      </c>
      <c r="H15" s="387"/>
      <c r="I15" s="387"/>
    </row>
    <row r="16">
      <c r="A16" s="390" t="s">
        <v>1500</v>
      </c>
      <c r="B16" s="413" t="s">
        <v>1501</v>
      </c>
      <c r="C16" s="392">
        <v>1.0</v>
      </c>
      <c r="D16" s="392" t="s">
        <v>488</v>
      </c>
      <c r="E16" s="414">
        <v>383.0</v>
      </c>
      <c r="F16" s="392" t="s">
        <v>1506</v>
      </c>
      <c r="G16" s="394">
        <f t="shared" ref="G16:G21" si="2">C16*E16</f>
        <v>383</v>
      </c>
      <c r="H16" s="387"/>
      <c r="I16" s="387"/>
    </row>
    <row r="17">
      <c r="A17" s="390" t="s">
        <v>1507</v>
      </c>
      <c r="B17" s="413" t="s">
        <v>1510</v>
      </c>
      <c r="C17" s="392">
        <v>1.0</v>
      </c>
      <c r="D17" s="392" t="s">
        <v>43</v>
      </c>
      <c r="E17" s="414">
        <v>61.0</v>
      </c>
      <c r="F17" s="392" t="s">
        <v>1473</v>
      </c>
      <c r="G17" s="394">
        <f t="shared" si="2"/>
        <v>61</v>
      </c>
      <c r="H17" s="387"/>
      <c r="I17" s="387"/>
    </row>
    <row r="18">
      <c r="A18" s="390" t="s">
        <v>1513</v>
      </c>
      <c r="B18" s="391" t="s">
        <v>1514</v>
      </c>
      <c r="C18" s="392">
        <v>1.15</v>
      </c>
      <c r="D18" s="392" t="s">
        <v>759</v>
      </c>
      <c r="E18" s="414">
        <v>612.0</v>
      </c>
      <c r="F18" s="392" t="s">
        <v>811</v>
      </c>
      <c r="G18" s="394">
        <f t="shared" si="2"/>
        <v>703.8</v>
      </c>
      <c r="H18" s="387"/>
      <c r="I18" s="387"/>
    </row>
    <row r="19">
      <c r="A19" s="390" t="s">
        <v>1516</v>
      </c>
      <c r="B19" s="391" t="s">
        <v>1517</v>
      </c>
      <c r="C19" s="392">
        <v>10.0</v>
      </c>
      <c r="D19" s="392" t="s">
        <v>488</v>
      </c>
      <c r="E19" s="414">
        <v>28.0</v>
      </c>
      <c r="F19" s="392" t="s">
        <v>1506</v>
      </c>
      <c r="G19" s="394">
        <f t="shared" si="2"/>
        <v>280</v>
      </c>
      <c r="H19" s="387"/>
      <c r="I19" s="387"/>
    </row>
    <row r="20">
      <c r="A20" s="390" t="s">
        <v>879</v>
      </c>
      <c r="B20" s="408" t="s">
        <v>888</v>
      </c>
      <c r="C20" s="392">
        <v>1.0</v>
      </c>
      <c r="D20" s="392" t="s">
        <v>868</v>
      </c>
      <c r="E20" s="404">
        <v>784.0</v>
      </c>
      <c r="F20" s="392" t="s">
        <v>890</v>
      </c>
      <c r="G20" s="394">
        <f t="shared" si="2"/>
        <v>784</v>
      </c>
      <c r="H20" s="387"/>
      <c r="I20" s="387"/>
    </row>
    <row r="21">
      <c r="A21" s="390" t="s">
        <v>881</v>
      </c>
      <c r="B21" s="408" t="s">
        <v>97</v>
      </c>
      <c r="C21" s="392">
        <v>1.0</v>
      </c>
      <c r="D21" s="392" t="s">
        <v>868</v>
      </c>
      <c r="E21" s="404">
        <v>645.0</v>
      </c>
      <c r="F21" s="392" t="s">
        <v>890</v>
      </c>
      <c r="G21" s="394">
        <f t="shared" si="2"/>
        <v>645</v>
      </c>
      <c r="H21" s="387"/>
      <c r="I21" s="387"/>
    </row>
    <row r="22">
      <c r="A22" s="416"/>
      <c r="B22" s="408" t="s">
        <v>990</v>
      </c>
      <c r="C22" s="404"/>
      <c r="D22" s="404"/>
      <c r="E22" s="404"/>
      <c r="F22" s="404"/>
      <c r="G22" s="394">
        <f>SUM(G16:G21)</f>
        <v>2856.8</v>
      </c>
      <c r="H22" s="387"/>
      <c r="I22" s="387"/>
    </row>
    <row r="23">
      <c r="A23" s="416"/>
      <c r="B23" s="391" t="s">
        <v>1493</v>
      </c>
      <c r="C23" s="404"/>
      <c r="D23" s="404"/>
      <c r="E23" s="404"/>
      <c r="F23" s="404"/>
      <c r="G23" s="394">
        <f>G22*0.01</f>
        <v>28.568</v>
      </c>
      <c r="H23" s="387"/>
      <c r="I23" s="387"/>
    </row>
    <row r="24">
      <c r="A24" s="416"/>
      <c r="B24" s="408" t="s">
        <v>37</v>
      </c>
      <c r="C24" s="404"/>
      <c r="D24" s="404"/>
      <c r="E24" s="404"/>
      <c r="F24" s="404"/>
      <c r="G24" s="394">
        <f>SUM(G22:G23)</f>
        <v>2885.368</v>
      </c>
      <c r="H24" s="387"/>
      <c r="I24" s="387"/>
    </row>
    <row r="25">
      <c r="A25" s="390" t="s">
        <v>1528</v>
      </c>
      <c r="B25" s="391" t="s">
        <v>1529</v>
      </c>
      <c r="C25" s="392">
        <v>1.0</v>
      </c>
      <c r="D25" s="392" t="s">
        <v>868</v>
      </c>
      <c r="E25" s="392">
        <v>806.0</v>
      </c>
      <c r="F25" s="392" t="s">
        <v>890</v>
      </c>
      <c r="G25" s="394">
        <f>C25*E25</f>
        <v>806</v>
      </c>
      <c r="H25" s="387"/>
      <c r="I25" s="387"/>
    </row>
    <row r="26">
      <c r="A26" s="416"/>
      <c r="B26" s="408" t="s">
        <v>37</v>
      </c>
      <c r="C26" s="404"/>
      <c r="D26" s="404"/>
      <c r="E26" s="404"/>
      <c r="F26" s="404"/>
      <c r="G26" s="394">
        <f>SUM(G24:G25)</f>
        <v>3691.368</v>
      </c>
      <c r="H26" s="387"/>
      <c r="I26" s="387"/>
    </row>
    <row r="27">
      <c r="A27" s="416"/>
      <c r="B27" s="408" t="s">
        <v>912</v>
      </c>
      <c r="C27" s="404"/>
      <c r="D27" s="404"/>
      <c r="E27" s="404"/>
      <c r="F27" s="404"/>
      <c r="G27" s="394">
        <f>G26*15%</f>
        <v>553.7052</v>
      </c>
      <c r="H27" s="387"/>
      <c r="I27" s="387"/>
    </row>
    <row r="28">
      <c r="A28" s="416"/>
      <c r="B28" s="411" t="s">
        <v>906</v>
      </c>
      <c r="C28" s="404"/>
      <c r="D28" s="404"/>
      <c r="E28" s="404"/>
      <c r="F28" s="404"/>
      <c r="G28" s="412">
        <f>round(SUM(G26:G27),2)</f>
        <v>4245.07</v>
      </c>
      <c r="H28" s="387"/>
      <c r="I28" s="387"/>
    </row>
    <row r="29">
      <c r="A29" s="418" t="str">
        <f>CONCATENATE("Say ₹ ",G15," + ",G28," x Cost Index")</f>
        <v>Say ₹ 8149.08 + 4245.07 x Cost Index</v>
      </c>
      <c r="B29" s="2"/>
      <c r="C29" s="2"/>
      <c r="D29" s="2"/>
      <c r="E29" s="2"/>
      <c r="F29" s="2"/>
      <c r="G29" s="3"/>
      <c r="H29" s="387">
        <f>SUM(G3:G10)*1.01*1.15</f>
        <v>8149.084</v>
      </c>
      <c r="I29" s="387">
        <f>SUM(G16:G21)*1.01*1.15+(G25*1.15)</f>
        <v>4245.0732</v>
      </c>
    </row>
    <row r="30">
      <c r="A30" s="388" t="s">
        <v>896</v>
      </c>
      <c r="B30" s="389" t="s">
        <v>1539</v>
      </c>
      <c r="C30" s="2"/>
      <c r="D30" s="2"/>
      <c r="E30" s="2"/>
      <c r="F30" s="2"/>
      <c r="G30" s="3"/>
      <c r="H30" s="387"/>
      <c r="I30" s="387"/>
    </row>
    <row r="31">
      <c r="A31" s="390" t="s">
        <v>864</v>
      </c>
      <c r="B31" s="391" t="s">
        <v>1471</v>
      </c>
      <c r="C31" s="392">
        <v>1.0</v>
      </c>
      <c r="D31" s="392" t="s">
        <v>43</v>
      </c>
      <c r="E31" s="393">
        <v>1620.0</v>
      </c>
      <c r="F31" s="392" t="s">
        <v>1473</v>
      </c>
      <c r="G31" s="394">
        <f t="shared" ref="G31:G38" si="3">C31*E31</f>
        <v>1620</v>
      </c>
      <c r="H31" s="387"/>
      <c r="I31" s="387"/>
    </row>
    <row r="32">
      <c r="A32" s="390" t="s">
        <v>1476</v>
      </c>
      <c r="B32" s="391" t="s">
        <v>1477</v>
      </c>
      <c r="C32" s="392">
        <v>1.0</v>
      </c>
      <c r="D32" s="392" t="s">
        <v>43</v>
      </c>
      <c r="E32" s="393">
        <v>1355.0</v>
      </c>
      <c r="F32" s="392" t="s">
        <v>1473</v>
      </c>
      <c r="G32" s="394">
        <f t="shared" si="3"/>
        <v>1355</v>
      </c>
      <c r="H32" s="387"/>
      <c r="I32" s="387"/>
    </row>
    <row r="33">
      <c r="A33" s="390" t="s">
        <v>1479</v>
      </c>
      <c r="B33" s="391" t="s">
        <v>1480</v>
      </c>
      <c r="C33" s="392">
        <v>1.0</v>
      </c>
      <c r="D33" s="392" t="s">
        <v>43</v>
      </c>
      <c r="E33" s="393">
        <v>2196.0</v>
      </c>
      <c r="F33" s="392" t="s">
        <v>1473</v>
      </c>
      <c r="G33" s="394">
        <f t="shared" si="3"/>
        <v>2196</v>
      </c>
      <c r="H33" s="387"/>
      <c r="I33" s="387"/>
    </row>
    <row r="34">
      <c r="A34" s="390" t="s">
        <v>1481</v>
      </c>
      <c r="B34" s="391" t="s">
        <v>1482</v>
      </c>
      <c r="C34" s="392">
        <v>3.0</v>
      </c>
      <c r="D34" s="392" t="s">
        <v>43</v>
      </c>
      <c r="E34" s="392">
        <v>105.0</v>
      </c>
      <c r="F34" s="392" t="s">
        <v>1473</v>
      </c>
      <c r="G34" s="394">
        <f t="shared" si="3"/>
        <v>315</v>
      </c>
      <c r="H34" s="387"/>
      <c r="I34" s="387"/>
    </row>
    <row r="35">
      <c r="A35" s="390" t="s">
        <v>1484</v>
      </c>
      <c r="B35" s="391" t="s">
        <v>1485</v>
      </c>
      <c r="C35" s="392">
        <v>1.0</v>
      </c>
      <c r="D35" s="392" t="s">
        <v>43</v>
      </c>
      <c r="E35" s="392">
        <v>84.0</v>
      </c>
      <c r="F35" s="392" t="s">
        <v>1473</v>
      </c>
      <c r="G35" s="394">
        <f t="shared" si="3"/>
        <v>84</v>
      </c>
      <c r="H35" s="387"/>
      <c r="I35" s="387"/>
    </row>
    <row r="36">
      <c r="A36" s="390" t="s">
        <v>1486</v>
      </c>
      <c r="B36" s="391" t="s">
        <v>1487</v>
      </c>
      <c r="C36" s="392">
        <v>1.0</v>
      </c>
      <c r="D36" s="392" t="s">
        <v>43</v>
      </c>
      <c r="E36" s="392">
        <v>1016.0</v>
      </c>
      <c r="F36" s="392" t="s">
        <v>1473</v>
      </c>
      <c r="G36" s="394">
        <f t="shared" si="3"/>
        <v>1016</v>
      </c>
      <c r="H36" s="387"/>
      <c r="I36" s="387"/>
    </row>
    <row r="37">
      <c r="A37" s="390" t="s">
        <v>864</v>
      </c>
      <c r="B37" s="391" t="s">
        <v>1489</v>
      </c>
      <c r="C37" s="392">
        <v>1.0</v>
      </c>
      <c r="D37" s="392" t="s">
        <v>904</v>
      </c>
      <c r="E37" s="392">
        <v>100.0</v>
      </c>
      <c r="F37" s="392" t="s">
        <v>904</v>
      </c>
      <c r="G37" s="394">
        <f t="shared" si="3"/>
        <v>100</v>
      </c>
      <c r="H37" s="387"/>
      <c r="I37" s="387"/>
    </row>
    <row r="38">
      <c r="A38" s="390" t="s">
        <v>864</v>
      </c>
      <c r="B38" s="391" t="s">
        <v>1490</v>
      </c>
      <c r="C38" s="392">
        <v>1.0</v>
      </c>
      <c r="D38" s="392" t="s">
        <v>43</v>
      </c>
      <c r="E38" s="392">
        <v>540.0</v>
      </c>
      <c r="F38" s="392" t="s">
        <v>1473</v>
      </c>
      <c r="G38" s="394">
        <f t="shared" si="3"/>
        <v>540</v>
      </c>
      <c r="H38" s="387"/>
      <c r="I38" s="387"/>
    </row>
    <row r="39">
      <c r="A39" s="403"/>
      <c r="B39" s="391" t="s">
        <v>990</v>
      </c>
      <c r="C39" s="404"/>
      <c r="D39" s="404"/>
      <c r="E39" s="404"/>
      <c r="F39" s="404"/>
      <c r="G39" s="394">
        <f>SUM(G31:G38)</f>
        <v>7226</v>
      </c>
      <c r="H39" s="387"/>
      <c r="I39" s="387"/>
    </row>
    <row r="40">
      <c r="A40" s="403"/>
      <c r="B40" s="391" t="s">
        <v>1493</v>
      </c>
      <c r="C40" s="404"/>
      <c r="D40" s="404"/>
      <c r="E40" s="404"/>
      <c r="F40" s="404"/>
      <c r="G40" s="394">
        <f>G39*1%</f>
        <v>72.26</v>
      </c>
      <c r="H40" s="387"/>
      <c r="I40" s="387"/>
    </row>
    <row r="41">
      <c r="A41" s="403"/>
      <c r="B41" s="408" t="s">
        <v>37</v>
      </c>
      <c r="C41" s="404"/>
      <c r="D41" s="404"/>
      <c r="E41" s="404"/>
      <c r="F41" s="404"/>
      <c r="G41" s="394">
        <f>SUM(G39:G40)</f>
        <v>7298.26</v>
      </c>
      <c r="H41" s="387"/>
      <c r="I41" s="387"/>
    </row>
    <row r="42">
      <c r="A42" s="403"/>
      <c r="B42" s="408" t="s">
        <v>912</v>
      </c>
      <c r="C42" s="404"/>
      <c r="D42" s="404"/>
      <c r="E42" s="404"/>
      <c r="F42" s="404"/>
      <c r="G42" s="394">
        <f>G41*15%</f>
        <v>1094.739</v>
      </c>
      <c r="H42" s="387"/>
      <c r="I42" s="387"/>
    </row>
    <row r="43">
      <c r="A43" s="403"/>
      <c r="B43" s="411" t="s">
        <v>906</v>
      </c>
      <c r="C43" s="404"/>
      <c r="D43" s="404"/>
      <c r="E43" s="404"/>
      <c r="F43" s="404"/>
      <c r="G43" s="412">
        <f>round(SUM(G41:G42),2)</f>
        <v>8393</v>
      </c>
      <c r="H43" s="387"/>
      <c r="I43" s="387"/>
    </row>
    <row r="44">
      <c r="A44" s="390" t="s">
        <v>1500</v>
      </c>
      <c r="B44" s="413" t="s">
        <v>1501</v>
      </c>
      <c r="C44" s="392">
        <v>1.0</v>
      </c>
      <c r="D44" s="392" t="s">
        <v>488</v>
      </c>
      <c r="E44" s="414">
        <v>383.0</v>
      </c>
      <c r="F44" s="392" t="s">
        <v>1506</v>
      </c>
      <c r="G44" s="394">
        <f t="shared" ref="G44:G49" si="4">C44*E44</f>
        <v>383</v>
      </c>
      <c r="H44" s="387"/>
      <c r="I44" s="387"/>
    </row>
    <row r="45">
      <c r="A45" s="390" t="s">
        <v>1507</v>
      </c>
      <c r="B45" s="413" t="s">
        <v>1510</v>
      </c>
      <c r="C45" s="392">
        <v>1.0</v>
      </c>
      <c r="D45" s="392" t="s">
        <v>43</v>
      </c>
      <c r="E45" s="414">
        <v>61.0</v>
      </c>
      <c r="F45" s="392" t="s">
        <v>1473</v>
      </c>
      <c r="G45" s="394">
        <f t="shared" si="4"/>
        <v>61</v>
      </c>
      <c r="H45" s="387"/>
      <c r="I45" s="387"/>
    </row>
    <row r="46">
      <c r="A46" s="390" t="s">
        <v>1513</v>
      </c>
      <c r="B46" s="391" t="s">
        <v>1514</v>
      </c>
      <c r="C46" s="392">
        <v>1.15</v>
      </c>
      <c r="D46" s="392" t="s">
        <v>759</v>
      </c>
      <c r="E46" s="414">
        <v>612.0</v>
      </c>
      <c r="F46" s="392" t="s">
        <v>811</v>
      </c>
      <c r="G46" s="394">
        <f t="shared" si="4"/>
        <v>703.8</v>
      </c>
      <c r="H46" s="387"/>
      <c r="I46" s="387"/>
    </row>
    <row r="47">
      <c r="A47" s="390" t="s">
        <v>1516</v>
      </c>
      <c r="B47" s="391" t="s">
        <v>1517</v>
      </c>
      <c r="C47" s="392">
        <v>15.0</v>
      </c>
      <c r="D47" s="392" t="s">
        <v>488</v>
      </c>
      <c r="E47" s="414">
        <v>28.0</v>
      </c>
      <c r="F47" s="392" t="s">
        <v>1506</v>
      </c>
      <c r="G47" s="394">
        <f t="shared" si="4"/>
        <v>420</v>
      </c>
      <c r="H47" s="387"/>
      <c r="I47" s="387"/>
    </row>
    <row r="48">
      <c r="A48" s="390" t="s">
        <v>879</v>
      </c>
      <c r="B48" s="408" t="s">
        <v>888</v>
      </c>
      <c r="C48" s="392">
        <v>2.0</v>
      </c>
      <c r="D48" s="392" t="s">
        <v>868</v>
      </c>
      <c r="E48" s="404">
        <v>784.0</v>
      </c>
      <c r="F48" s="392" t="s">
        <v>890</v>
      </c>
      <c r="G48" s="394">
        <f t="shared" si="4"/>
        <v>1568</v>
      </c>
      <c r="H48" s="387"/>
      <c r="I48" s="387"/>
    </row>
    <row r="49">
      <c r="A49" s="390" t="s">
        <v>881</v>
      </c>
      <c r="B49" s="408" t="s">
        <v>97</v>
      </c>
      <c r="C49" s="392">
        <v>2.0</v>
      </c>
      <c r="D49" s="392" t="s">
        <v>868</v>
      </c>
      <c r="E49" s="404">
        <v>645.0</v>
      </c>
      <c r="F49" s="392" t="s">
        <v>890</v>
      </c>
      <c r="G49" s="394">
        <f t="shared" si="4"/>
        <v>1290</v>
      </c>
      <c r="H49" s="387"/>
      <c r="I49" s="387"/>
    </row>
    <row r="50">
      <c r="A50" s="416"/>
      <c r="B50" s="408" t="s">
        <v>990</v>
      </c>
      <c r="C50" s="404"/>
      <c r="D50" s="404"/>
      <c r="E50" s="404"/>
      <c r="F50" s="404"/>
      <c r="G50" s="394">
        <f>SUM(G44:G49)</f>
        <v>4425.8</v>
      </c>
      <c r="H50" s="387"/>
      <c r="I50" s="387"/>
    </row>
    <row r="51">
      <c r="A51" s="416"/>
      <c r="B51" s="391" t="s">
        <v>1493</v>
      </c>
      <c r="C51" s="404"/>
      <c r="D51" s="404"/>
      <c r="E51" s="404"/>
      <c r="F51" s="404"/>
      <c r="G51" s="394">
        <f>G50*0.01</f>
        <v>44.258</v>
      </c>
      <c r="H51" s="387"/>
      <c r="I51" s="387"/>
    </row>
    <row r="52">
      <c r="A52" s="416"/>
      <c r="B52" s="408" t="s">
        <v>37</v>
      </c>
      <c r="C52" s="404"/>
      <c r="D52" s="404"/>
      <c r="E52" s="404"/>
      <c r="F52" s="404"/>
      <c r="G52" s="394">
        <f>SUM(G50:G51)</f>
        <v>4470.058</v>
      </c>
      <c r="H52" s="387"/>
      <c r="I52" s="387"/>
    </row>
    <row r="53">
      <c r="A53" s="390" t="s">
        <v>1528</v>
      </c>
      <c r="B53" s="391" t="s">
        <v>1529</v>
      </c>
      <c r="C53" s="392">
        <v>2.0</v>
      </c>
      <c r="D53" s="392" t="s">
        <v>868</v>
      </c>
      <c r="E53" s="392">
        <v>806.0</v>
      </c>
      <c r="F53" s="392" t="s">
        <v>890</v>
      </c>
      <c r="G53" s="394">
        <f>C53*E53</f>
        <v>1612</v>
      </c>
      <c r="H53" s="387"/>
      <c r="I53" s="387"/>
    </row>
    <row r="54">
      <c r="A54" s="416"/>
      <c r="B54" s="408" t="s">
        <v>37</v>
      </c>
      <c r="C54" s="404"/>
      <c r="D54" s="404"/>
      <c r="E54" s="404"/>
      <c r="F54" s="404"/>
      <c r="G54" s="394">
        <f>SUM(G52:G53)</f>
        <v>6082.058</v>
      </c>
      <c r="H54" s="387"/>
      <c r="I54" s="387"/>
    </row>
    <row r="55">
      <c r="A55" s="416"/>
      <c r="B55" s="408" t="s">
        <v>912</v>
      </c>
      <c r="C55" s="404"/>
      <c r="D55" s="404"/>
      <c r="E55" s="404"/>
      <c r="F55" s="404"/>
      <c r="G55" s="394">
        <f>G54*15%</f>
        <v>912.3087</v>
      </c>
      <c r="H55" s="387"/>
      <c r="I55" s="387"/>
    </row>
    <row r="56">
      <c r="A56" s="416"/>
      <c r="B56" s="411" t="s">
        <v>906</v>
      </c>
      <c r="C56" s="404"/>
      <c r="D56" s="404"/>
      <c r="E56" s="404"/>
      <c r="F56" s="404"/>
      <c r="G56" s="412">
        <f>round(SUM(G54:G55),2)</f>
        <v>6994.37</v>
      </c>
      <c r="H56" s="387"/>
      <c r="I56" s="387"/>
    </row>
    <row r="57">
      <c r="A57" s="418" t="str">
        <f>CONCATENATE("Say ₹ ",G43," + ",G56," x Cost Index")</f>
        <v>Say ₹ 8393 + 6994.37 x Cost Index</v>
      </c>
      <c r="B57" s="2"/>
      <c r="C57" s="2"/>
      <c r="D57" s="2"/>
      <c r="E57" s="2"/>
      <c r="F57" s="2"/>
      <c r="G57" s="3"/>
      <c r="H57" s="387">
        <f>SUM(G31:G38)*1.01*1.15</f>
        <v>8392.999</v>
      </c>
      <c r="I57" s="387">
        <f>SUM(G44:G49)*1.01*1.15+(G53*1.15)</f>
        <v>6994.3667</v>
      </c>
    </row>
  </sheetData>
  <mergeCells count="5">
    <mergeCell ref="A1:G1"/>
    <mergeCell ref="B2:G2"/>
    <mergeCell ref="A29:G29"/>
    <mergeCell ref="B30:G30"/>
    <mergeCell ref="A57:G57"/>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6.71"/>
    <col customWidth="1" min="2" max="2" width="35.0"/>
    <col customWidth="1" min="3" max="3" width="4.14"/>
    <col customWidth="1" min="4" max="4" width="4.0"/>
    <col customWidth="1" min="5" max="5" width="5.43"/>
    <col customWidth="1" min="6" max="6" width="7.43"/>
    <col customWidth="1" min="7" max="7" width="5.71"/>
    <col customWidth="1" min="8" max="8" width="10.0"/>
    <col customWidth="1" min="9" max="9" width="9.14"/>
    <col customWidth="1" min="10" max="10" width="14.0"/>
    <col customWidth="1" hidden="1" min="11" max="12" width="14.0"/>
  </cols>
  <sheetData>
    <row r="1" ht="15.75" customHeight="1">
      <c r="A1" s="395" t="s">
        <v>1475</v>
      </c>
      <c r="B1" s="2"/>
      <c r="C1" s="2"/>
      <c r="D1" s="2"/>
      <c r="E1" s="2"/>
      <c r="F1" s="2"/>
      <c r="G1" s="2"/>
      <c r="H1" s="2"/>
      <c r="I1" s="2"/>
      <c r="J1" s="3"/>
      <c r="K1" s="396"/>
      <c r="L1" s="396"/>
    </row>
    <row r="2">
      <c r="A2" s="397" t="s">
        <v>1105</v>
      </c>
      <c r="B2" s="398" t="s">
        <v>1001</v>
      </c>
      <c r="C2" s="397" t="s">
        <v>1003</v>
      </c>
      <c r="D2" s="397" t="s">
        <v>778</v>
      </c>
      <c r="E2" s="397" t="s">
        <v>1109</v>
      </c>
      <c r="F2" s="397" t="s">
        <v>1111</v>
      </c>
      <c r="G2" s="399" t="s">
        <v>37</v>
      </c>
      <c r="H2" s="397" t="s">
        <v>1115</v>
      </c>
      <c r="I2" s="397" t="s">
        <v>10</v>
      </c>
      <c r="J2" s="400" t="s">
        <v>11</v>
      </c>
      <c r="K2" s="401"/>
      <c r="L2" s="401"/>
    </row>
    <row r="3" ht="49.5" customHeight="1">
      <c r="A3" s="402">
        <v>1.0</v>
      </c>
      <c r="B3" s="405" t="s">
        <v>1492</v>
      </c>
      <c r="C3" s="2"/>
      <c r="D3" s="2"/>
      <c r="E3" s="2"/>
      <c r="F3" s="2"/>
      <c r="G3" s="2"/>
      <c r="H3" s="2"/>
      <c r="I3" s="3"/>
      <c r="J3" s="397"/>
      <c r="K3" s="406"/>
      <c r="L3" s="406"/>
    </row>
    <row r="4">
      <c r="A4" s="66"/>
      <c r="B4" s="398" t="s">
        <v>1122</v>
      </c>
      <c r="C4" s="397">
        <v>1.0</v>
      </c>
      <c r="D4" s="397">
        <v>1.0</v>
      </c>
      <c r="E4" s="397">
        <v>1.0</v>
      </c>
      <c r="F4" s="397">
        <v>1.0</v>
      </c>
      <c r="G4" s="399">
        <f>PRODUCT(C4:F4)</f>
        <v>1</v>
      </c>
      <c r="H4" s="397"/>
      <c r="I4" s="397"/>
      <c r="J4" s="397"/>
      <c r="K4" s="406"/>
      <c r="L4" s="406"/>
    </row>
    <row r="5" ht="17.25" customHeight="1">
      <c r="A5" s="20"/>
      <c r="B5" s="398" t="s">
        <v>37</v>
      </c>
      <c r="C5" s="397"/>
      <c r="D5" s="397"/>
      <c r="E5" s="397"/>
      <c r="F5" s="397"/>
      <c r="G5" s="399">
        <f>SUM(G4)</f>
        <v>1</v>
      </c>
      <c r="H5" s="397" t="s">
        <v>1495</v>
      </c>
      <c r="I5" s="410">
        <v>24.43</v>
      </c>
      <c r="J5" s="397">
        <f>G5*I5</f>
        <v>24.43</v>
      </c>
      <c r="K5" s="406"/>
      <c r="L5" s="406"/>
    </row>
    <row r="6" ht="79.5" customHeight="1">
      <c r="A6" s="402">
        <v>2.0</v>
      </c>
      <c r="B6" s="405" t="s">
        <v>1497</v>
      </c>
      <c r="C6" s="2"/>
      <c r="D6" s="2"/>
      <c r="E6" s="2"/>
      <c r="F6" s="2"/>
      <c r="G6" s="2"/>
      <c r="H6" s="2"/>
      <c r="I6" s="3"/>
      <c r="J6" s="397"/>
      <c r="K6" s="406"/>
      <c r="L6" s="406"/>
    </row>
    <row r="7">
      <c r="A7" s="66"/>
      <c r="B7" s="398" t="s">
        <v>1140</v>
      </c>
      <c r="C7" s="397">
        <v>1.0</v>
      </c>
      <c r="D7" s="397">
        <v>1.0</v>
      </c>
      <c r="E7" s="397">
        <v>1.0</v>
      </c>
      <c r="F7" s="397">
        <v>0.2</v>
      </c>
      <c r="G7" s="399">
        <f>PRODUCT(C7:F7)</f>
        <v>0.2</v>
      </c>
      <c r="H7" s="397"/>
      <c r="I7" s="397"/>
      <c r="J7" s="397"/>
      <c r="K7" s="406"/>
      <c r="L7" s="406"/>
    </row>
    <row r="8" ht="17.25" customHeight="1">
      <c r="A8" s="20"/>
      <c r="B8" s="398" t="s">
        <v>37</v>
      </c>
      <c r="C8" s="397"/>
      <c r="D8" s="397"/>
      <c r="E8" s="397"/>
      <c r="F8" s="397"/>
      <c r="G8" s="399">
        <f>SUM(G7)</f>
        <v>0.2</v>
      </c>
      <c r="H8" s="397" t="s">
        <v>1499</v>
      </c>
      <c r="I8" s="410">
        <v>249.04</v>
      </c>
      <c r="J8" s="397">
        <f>G8*I8</f>
        <v>49.808</v>
      </c>
      <c r="K8" s="406"/>
      <c r="L8" s="406"/>
    </row>
    <row r="9">
      <c r="A9" s="402">
        <v>3.0</v>
      </c>
      <c r="B9" s="405" t="s">
        <v>1502</v>
      </c>
      <c r="C9" s="2"/>
      <c r="D9" s="2"/>
      <c r="E9" s="2"/>
      <c r="F9" s="2"/>
      <c r="G9" s="2"/>
      <c r="H9" s="2"/>
      <c r="I9" s="3"/>
      <c r="J9" s="397"/>
      <c r="K9" s="406"/>
      <c r="L9" s="406"/>
    </row>
    <row r="10">
      <c r="A10" s="66"/>
      <c r="B10" s="398" t="s">
        <v>1140</v>
      </c>
      <c r="C10" s="397">
        <v>1.0</v>
      </c>
      <c r="D10" s="410">
        <v>1.0</v>
      </c>
      <c r="E10" s="397">
        <v>1.0</v>
      </c>
      <c r="F10" s="397">
        <v>0.3</v>
      </c>
      <c r="G10" s="399">
        <f>PRODUCT(C10:F10)</f>
        <v>0.3</v>
      </c>
      <c r="H10" s="397"/>
      <c r="I10" s="397"/>
      <c r="J10" s="397"/>
      <c r="K10" s="406"/>
      <c r="L10" s="406"/>
    </row>
    <row r="11" ht="17.25" customHeight="1">
      <c r="A11" s="20"/>
      <c r="B11" s="398" t="s">
        <v>37</v>
      </c>
      <c r="C11" s="397"/>
      <c r="D11" s="397"/>
      <c r="E11" s="397"/>
      <c r="F11" s="397"/>
      <c r="G11" s="399">
        <f>SUM(G10)</f>
        <v>0.3</v>
      </c>
      <c r="H11" s="397" t="s">
        <v>1511</v>
      </c>
      <c r="I11" s="410">
        <v>5491.79</v>
      </c>
      <c r="J11" s="397">
        <f>G11*I11</f>
        <v>1647.537</v>
      </c>
      <c r="K11" s="406"/>
      <c r="L11" s="406"/>
    </row>
    <row r="12">
      <c r="A12" s="402">
        <v>4.0</v>
      </c>
      <c r="B12" s="405" t="s">
        <v>1515</v>
      </c>
      <c r="C12" s="2"/>
      <c r="D12" s="2"/>
      <c r="E12" s="2"/>
      <c r="F12" s="2"/>
      <c r="G12" s="2"/>
      <c r="H12" s="2"/>
      <c r="I12" s="3"/>
      <c r="J12" s="397"/>
      <c r="K12" s="406"/>
      <c r="L12" s="406"/>
    </row>
    <row r="13">
      <c r="A13" s="66"/>
      <c r="B13" s="415" t="s">
        <v>1519</v>
      </c>
      <c r="C13" s="410">
        <v>4.0</v>
      </c>
      <c r="D13" s="410">
        <v>1.0</v>
      </c>
      <c r="E13" s="397"/>
      <c r="F13" s="410">
        <v>0.1</v>
      </c>
      <c r="G13" s="399">
        <f t="shared" ref="G13:G14" si="1">PRODUCT(C13:F13)</f>
        <v>0.4</v>
      </c>
      <c r="H13" s="397"/>
      <c r="I13" s="397"/>
      <c r="J13" s="397"/>
      <c r="K13" s="406"/>
      <c r="L13" s="406"/>
    </row>
    <row r="14">
      <c r="A14" s="66"/>
      <c r="B14" s="415" t="s">
        <v>1521</v>
      </c>
      <c r="C14" s="397">
        <v>1.0</v>
      </c>
      <c r="D14" s="410">
        <v>1.0</v>
      </c>
      <c r="E14" s="410">
        <v>1.0</v>
      </c>
      <c r="F14" s="397"/>
      <c r="G14" s="399">
        <f t="shared" si="1"/>
        <v>1</v>
      </c>
      <c r="H14" s="397"/>
      <c r="I14" s="397"/>
      <c r="J14" s="397"/>
      <c r="K14" s="406"/>
      <c r="L14" s="406"/>
    </row>
    <row r="15">
      <c r="A15" s="20"/>
      <c r="B15" s="398" t="s">
        <v>37</v>
      </c>
      <c r="C15" s="397"/>
      <c r="D15" s="397"/>
      <c r="E15" s="397"/>
      <c r="F15" s="397"/>
      <c r="G15" s="399">
        <f>SUM(G13:G14)</f>
        <v>1.4</v>
      </c>
      <c r="H15" s="397" t="s">
        <v>21</v>
      </c>
      <c r="I15" s="410">
        <v>255.98</v>
      </c>
      <c r="J15" s="400">
        <f>G15*I15</f>
        <v>358.372</v>
      </c>
      <c r="K15" s="401"/>
      <c r="L15" s="401"/>
    </row>
    <row r="16">
      <c r="A16" s="402">
        <v>5.0</v>
      </c>
      <c r="B16" s="405" t="s">
        <v>1523</v>
      </c>
      <c r="C16" s="2"/>
      <c r="D16" s="2"/>
      <c r="E16" s="2"/>
      <c r="F16" s="2"/>
      <c r="G16" s="2"/>
      <c r="H16" s="2"/>
      <c r="I16" s="3"/>
      <c r="J16" s="397"/>
      <c r="K16" s="406"/>
      <c r="L16" s="406"/>
    </row>
    <row r="17" ht="30.0" customHeight="1">
      <c r="A17" s="66"/>
      <c r="B17" s="398" t="s">
        <v>1525</v>
      </c>
      <c r="C17" s="397" t="s">
        <v>1003</v>
      </c>
      <c r="D17" s="397" t="s">
        <v>778</v>
      </c>
      <c r="E17" s="397" t="s">
        <v>37</v>
      </c>
      <c r="F17" s="397" t="s">
        <v>1090</v>
      </c>
      <c r="G17" s="397" t="s">
        <v>8</v>
      </c>
      <c r="H17" s="397" t="s">
        <v>1236</v>
      </c>
      <c r="I17" s="397" t="s">
        <v>10</v>
      </c>
      <c r="J17" s="397"/>
      <c r="K17" s="406"/>
      <c r="L17" s="406"/>
    </row>
    <row r="18">
      <c r="A18" s="66"/>
      <c r="B18" s="415" t="s">
        <v>1526</v>
      </c>
      <c r="C18" s="410">
        <v>4.0</v>
      </c>
      <c r="D18" s="397">
        <v>1.0</v>
      </c>
      <c r="E18" s="397">
        <f t="shared" ref="E18:E22" si="2">C18*D18</f>
        <v>4</v>
      </c>
      <c r="F18" s="397"/>
      <c r="G18" s="399"/>
      <c r="H18" s="397"/>
      <c r="I18" s="397"/>
      <c r="J18" s="397"/>
      <c r="K18" s="406"/>
      <c r="L18" s="406"/>
    </row>
    <row r="19">
      <c r="A19" s="66"/>
      <c r="B19" s="415" t="s">
        <v>1527</v>
      </c>
      <c r="C19" s="397">
        <v>4.0</v>
      </c>
      <c r="D19" s="410">
        <v>1.0</v>
      </c>
      <c r="E19" s="397">
        <f t="shared" si="2"/>
        <v>4</v>
      </c>
      <c r="F19" s="397"/>
      <c r="G19" s="399"/>
      <c r="H19" s="397"/>
      <c r="I19" s="397"/>
      <c r="J19" s="397"/>
      <c r="K19" s="406"/>
      <c r="L19" s="406"/>
    </row>
    <row r="20" ht="15.75" customHeight="1">
      <c r="A20" s="66"/>
      <c r="B20" s="415" t="s">
        <v>1530</v>
      </c>
      <c r="C20" s="397">
        <v>4.0</v>
      </c>
      <c r="D20" s="410">
        <v>0.7</v>
      </c>
      <c r="E20" s="397">
        <f t="shared" si="2"/>
        <v>2.8</v>
      </c>
      <c r="F20" s="397"/>
      <c r="G20" s="399"/>
      <c r="H20" s="397"/>
      <c r="I20" s="397"/>
      <c r="J20" s="397"/>
      <c r="K20" s="406"/>
      <c r="L20" s="406"/>
    </row>
    <row r="21" ht="15.75" customHeight="1">
      <c r="A21" s="66"/>
      <c r="B21" s="398" t="s">
        <v>1248</v>
      </c>
      <c r="C21" s="397">
        <v>2.0</v>
      </c>
      <c r="D21" s="410">
        <v>1.0</v>
      </c>
      <c r="E21" s="397">
        <f t="shared" si="2"/>
        <v>2</v>
      </c>
      <c r="F21" s="397"/>
      <c r="G21" s="399"/>
      <c r="H21" s="397"/>
      <c r="I21" s="397"/>
      <c r="J21" s="397"/>
      <c r="K21" s="406"/>
      <c r="L21" s="406"/>
    </row>
    <row r="22" ht="15.75" customHeight="1">
      <c r="A22" s="66"/>
      <c r="B22" s="398" t="s">
        <v>1246</v>
      </c>
      <c r="C22" s="397">
        <v>2.0</v>
      </c>
      <c r="D22" s="410">
        <v>0.7</v>
      </c>
      <c r="E22" s="397">
        <f t="shared" si="2"/>
        <v>1.4</v>
      </c>
      <c r="F22" s="397"/>
      <c r="G22" s="399"/>
      <c r="H22" s="397"/>
      <c r="I22" s="397"/>
      <c r="J22" s="397"/>
      <c r="K22" s="406"/>
      <c r="L22" s="406"/>
    </row>
    <row r="23">
      <c r="A23" s="20"/>
      <c r="B23" s="398" t="s">
        <v>1250</v>
      </c>
      <c r="C23" s="397"/>
      <c r="D23" s="397"/>
      <c r="E23" s="397">
        <f>SUM(E18:E22)</f>
        <v>14.2</v>
      </c>
      <c r="F23" s="397">
        <v>1.43</v>
      </c>
      <c r="G23" s="410" t="s">
        <v>1533</v>
      </c>
      <c r="H23" s="397">
        <f>E23*F23</f>
        <v>20.306</v>
      </c>
      <c r="I23" s="417">
        <v>80.77</v>
      </c>
      <c r="J23" s="400">
        <f>H23*I23</f>
        <v>1640.11562</v>
      </c>
      <c r="K23" s="401"/>
      <c r="L23" s="401"/>
    </row>
    <row r="24">
      <c r="A24" s="402">
        <v>6.0</v>
      </c>
      <c r="B24" s="405" t="s">
        <v>1535</v>
      </c>
      <c r="C24" s="2"/>
      <c r="D24" s="2"/>
      <c r="E24" s="2"/>
      <c r="F24" s="2"/>
      <c r="G24" s="2"/>
      <c r="H24" s="2"/>
      <c r="I24" s="3"/>
      <c r="J24" s="397"/>
      <c r="K24" s="406"/>
      <c r="L24" s="406"/>
    </row>
    <row r="25" ht="15.75" customHeight="1">
      <c r="A25" s="66"/>
      <c r="B25" s="398" t="s">
        <v>1537</v>
      </c>
      <c r="C25" s="410" t="s">
        <v>945</v>
      </c>
      <c r="D25" s="410" t="s">
        <v>778</v>
      </c>
      <c r="E25" s="410" t="s">
        <v>1109</v>
      </c>
      <c r="F25" s="410" t="s">
        <v>1121</v>
      </c>
      <c r="G25" s="410" t="s">
        <v>37</v>
      </c>
      <c r="H25" s="397"/>
      <c r="I25" s="399"/>
      <c r="J25" s="397"/>
      <c r="K25" s="406"/>
      <c r="L25" s="406"/>
    </row>
    <row r="26" ht="15.75" customHeight="1">
      <c r="A26" s="66"/>
      <c r="B26" s="398"/>
      <c r="C26" s="410">
        <v>4.0</v>
      </c>
      <c r="D26" s="410">
        <v>1.0</v>
      </c>
      <c r="E26" s="397"/>
      <c r="F26" s="410">
        <v>0.7</v>
      </c>
      <c r="G26" s="399">
        <f>PRODUCT(C26:F26)</f>
        <v>2.8</v>
      </c>
      <c r="H26" s="397"/>
      <c r="I26" s="399"/>
      <c r="J26" s="397"/>
      <c r="K26" s="406"/>
      <c r="L26" s="406"/>
    </row>
    <row r="27" ht="15.75" customHeight="1">
      <c r="A27" s="20"/>
      <c r="B27" s="398" t="s">
        <v>1282</v>
      </c>
      <c r="C27" s="397"/>
      <c r="D27" s="397"/>
      <c r="E27" s="419"/>
      <c r="F27" s="397"/>
      <c r="G27" s="399">
        <f>SUM(G26)</f>
        <v>2.8</v>
      </c>
      <c r="H27" s="420" t="s">
        <v>1159</v>
      </c>
      <c r="I27" s="410">
        <v>48.78</v>
      </c>
      <c r="J27" s="397">
        <f>G27*I27</f>
        <v>136.584</v>
      </c>
      <c r="K27" s="406"/>
      <c r="L27" s="406"/>
    </row>
    <row r="28" ht="15.75" customHeight="1">
      <c r="A28" s="421">
        <v>7.0</v>
      </c>
      <c r="B28" s="405" t="s">
        <v>1541</v>
      </c>
      <c r="C28" s="2"/>
      <c r="D28" s="2"/>
      <c r="E28" s="2"/>
      <c r="F28" s="2"/>
      <c r="G28" s="2"/>
      <c r="H28" s="2"/>
      <c r="I28" s="2"/>
      <c r="J28" s="3"/>
      <c r="K28" s="422"/>
      <c r="L28" s="422"/>
    </row>
    <row r="29" ht="15.75" customHeight="1">
      <c r="A29" s="20"/>
      <c r="B29" s="415"/>
      <c r="C29" s="410">
        <v>1.0</v>
      </c>
      <c r="D29" s="410">
        <v>1.5</v>
      </c>
      <c r="E29" s="423">
        <v>1.5</v>
      </c>
      <c r="F29" s="397"/>
      <c r="G29" s="399">
        <f>PRODUCT(C29:F29)</f>
        <v>2.25</v>
      </c>
      <c r="H29" s="420" t="s">
        <v>1159</v>
      </c>
      <c r="I29" s="410">
        <v>849.04</v>
      </c>
      <c r="J29" s="397">
        <f>G29*I29</f>
        <v>1910.34</v>
      </c>
      <c r="K29" s="406"/>
      <c r="L29" s="406"/>
    </row>
    <row r="30" ht="15.75" customHeight="1">
      <c r="A30" s="421">
        <v>8.0</v>
      </c>
      <c r="B30" s="405" t="s">
        <v>1543</v>
      </c>
      <c r="C30" s="2"/>
      <c r="D30" s="2"/>
      <c r="E30" s="2"/>
      <c r="F30" s="2"/>
      <c r="G30" s="2"/>
      <c r="H30" s="2"/>
      <c r="I30" s="2"/>
      <c r="J30" s="3"/>
      <c r="K30" s="422"/>
      <c r="L30" s="422"/>
    </row>
    <row r="31" ht="15.75" customHeight="1">
      <c r="A31" s="20"/>
      <c r="B31" s="415"/>
      <c r="C31" s="410">
        <v>3.0</v>
      </c>
      <c r="D31" s="397"/>
      <c r="E31" s="397"/>
      <c r="F31" s="397"/>
      <c r="G31" s="399">
        <f>PRODUCT(C31:F31)</f>
        <v>3</v>
      </c>
      <c r="H31" s="410" t="s">
        <v>1003</v>
      </c>
      <c r="I31" s="410">
        <v>30.15</v>
      </c>
      <c r="J31" s="400">
        <f>G31*I31</f>
        <v>90.45</v>
      </c>
      <c r="K31" s="401"/>
      <c r="L31" s="401"/>
    </row>
    <row r="32" ht="15.75" customHeight="1">
      <c r="A32" s="421">
        <v>9.0</v>
      </c>
      <c r="B32" s="405" t="s">
        <v>1548</v>
      </c>
      <c r="C32" s="2"/>
      <c r="D32" s="2"/>
      <c r="E32" s="2"/>
      <c r="F32" s="2"/>
      <c r="G32" s="2"/>
      <c r="H32" s="2"/>
      <c r="I32" s="2"/>
      <c r="J32" s="3"/>
      <c r="K32" s="422"/>
      <c r="L32" s="422"/>
    </row>
    <row r="33" ht="15.75" customHeight="1">
      <c r="A33" s="20"/>
      <c r="B33" s="415"/>
      <c r="C33" s="397"/>
      <c r="D33" s="397"/>
      <c r="E33" s="397"/>
      <c r="F33" s="397"/>
      <c r="G33" s="410">
        <v>0.25</v>
      </c>
      <c r="H33" s="410" t="s">
        <v>27</v>
      </c>
      <c r="I33" s="410">
        <v>910.62</v>
      </c>
      <c r="J33" s="400">
        <f>G33*I33</f>
        <v>227.655</v>
      </c>
      <c r="K33" s="401"/>
      <c r="L33" s="401"/>
    </row>
    <row r="34" ht="15.75" customHeight="1">
      <c r="A34" s="421">
        <v>10.0</v>
      </c>
      <c r="B34" s="405" t="s">
        <v>1550</v>
      </c>
      <c r="C34" s="2"/>
      <c r="D34" s="2"/>
      <c r="E34" s="2"/>
      <c r="F34" s="2"/>
      <c r="G34" s="2"/>
      <c r="H34" s="2"/>
      <c r="I34" s="2"/>
      <c r="J34" s="3"/>
      <c r="K34" s="422"/>
      <c r="L34" s="422"/>
    </row>
    <row r="35" ht="15.75" customHeight="1">
      <c r="A35" s="66"/>
      <c r="B35" s="415" t="s">
        <v>1551</v>
      </c>
      <c r="C35" s="421">
        <v>1.0</v>
      </c>
      <c r="D35" s="402"/>
      <c r="E35" s="421"/>
      <c r="F35" s="421"/>
      <c r="G35" s="421">
        <f>PRODUCT(C35:F35)</f>
        <v>1</v>
      </c>
      <c r="H35" s="421" t="s">
        <v>1003</v>
      </c>
      <c r="I35" s="410">
        <f>Lock!F16</f>
        <v>641.15</v>
      </c>
      <c r="J35" s="400">
        <f>G35*I35</f>
        <v>641.15</v>
      </c>
      <c r="K35" s="401"/>
      <c r="L35" s="401"/>
    </row>
    <row r="36" ht="15.75" customHeight="1">
      <c r="A36" s="20"/>
      <c r="B36" s="415" t="s">
        <v>13</v>
      </c>
      <c r="C36" s="20"/>
      <c r="D36" s="20"/>
      <c r="E36" s="20"/>
      <c r="F36" s="20"/>
      <c r="G36" s="20"/>
      <c r="H36" s="20"/>
      <c r="I36" s="410">
        <f>Lock!F24</f>
        <v>27.04275</v>
      </c>
      <c r="J36" s="400">
        <f>I36*G35</f>
        <v>27.04275</v>
      </c>
      <c r="K36" s="401"/>
      <c r="L36" s="401"/>
    </row>
    <row r="37" ht="15.75" customHeight="1">
      <c r="A37" s="424" t="s">
        <v>1556</v>
      </c>
      <c r="B37" s="2"/>
      <c r="C37" s="2"/>
      <c r="D37" s="2"/>
      <c r="E37" s="2"/>
      <c r="F37" s="2"/>
      <c r="G37" s="2"/>
      <c r="H37" s="2"/>
      <c r="I37" s="3"/>
      <c r="J37" s="425">
        <f>SUM(J3:J34,J36)</f>
        <v>6112.33437</v>
      </c>
      <c r="K37" s="426"/>
      <c r="L37" s="426"/>
    </row>
    <row r="38" ht="15.75" customHeight="1">
      <c r="A38" s="424" t="s">
        <v>1557</v>
      </c>
      <c r="B38" s="2"/>
      <c r="C38" s="2"/>
      <c r="D38" s="2"/>
      <c r="E38" s="2"/>
      <c r="F38" s="2"/>
      <c r="G38" s="2"/>
      <c r="H38" s="2"/>
      <c r="I38" s="3"/>
      <c r="J38" s="425">
        <f>SUM(J35)</f>
        <v>641.15</v>
      </c>
      <c r="K38" s="426"/>
      <c r="L38" s="426"/>
    </row>
    <row r="39" ht="15.75" customHeight="1">
      <c r="A39" s="424" t="str">
        <f>CONCATENATE("Say ₹ ",J38," + ",J37," x Cost Index")                                           </f>
        <v>Say ₹ 641.15 + 6112.33437 x Cost Index</v>
      </c>
      <c r="B39" s="2"/>
      <c r="C39" s="2"/>
      <c r="D39" s="2"/>
      <c r="E39" s="2"/>
      <c r="F39" s="2"/>
      <c r="G39" s="2"/>
      <c r="H39" s="2"/>
      <c r="I39" s="2"/>
      <c r="J39" s="3"/>
      <c r="K39" s="427">
        <f>J38</f>
        <v>641.15</v>
      </c>
      <c r="L39" s="427">
        <f>J37</f>
        <v>6112.33437</v>
      </c>
    </row>
  </sheetData>
  <mergeCells count="30">
    <mergeCell ref="B9:I9"/>
    <mergeCell ref="B12:I12"/>
    <mergeCell ref="A12:A15"/>
    <mergeCell ref="B16:I16"/>
    <mergeCell ref="A1:J1"/>
    <mergeCell ref="A3:A5"/>
    <mergeCell ref="B3:I3"/>
    <mergeCell ref="A6:A8"/>
    <mergeCell ref="B6:I6"/>
    <mergeCell ref="A9:A11"/>
    <mergeCell ref="A16:A23"/>
    <mergeCell ref="A24:A27"/>
    <mergeCell ref="B24:I24"/>
    <mergeCell ref="A28:A29"/>
    <mergeCell ref="B28:J28"/>
    <mergeCell ref="A30:A31"/>
    <mergeCell ref="B30:J30"/>
    <mergeCell ref="B32:J32"/>
    <mergeCell ref="B34:J34"/>
    <mergeCell ref="H35:H36"/>
    <mergeCell ref="A37:I37"/>
    <mergeCell ref="A38:I38"/>
    <mergeCell ref="A39:J39"/>
    <mergeCell ref="A32:A33"/>
    <mergeCell ref="A34:A36"/>
    <mergeCell ref="C35:C36"/>
    <mergeCell ref="D35:D36"/>
    <mergeCell ref="E35:E36"/>
    <mergeCell ref="F35:F36"/>
    <mergeCell ref="G35:G36"/>
  </mergeCells>
  <printOptions/>
  <pageMargins bottom="0.75" footer="0.0" header="0.0" left="0.7" right="0.7" top="0.75"/>
  <pageSetup orientation="landscape"/>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8.0"/>
    <col customWidth="1" min="2" max="2" width="33.57"/>
    <col customWidth="1" min="3" max="5" width="8.0"/>
    <col customWidth="1" min="6" max="6" width="13.14"/>
  </cols>
  <sheetData>
    <row r="1">
      <c r="A1" s="1" t="s">
        <v>1565</v>
      </c>
      <c r="B1" s="2"/>
      <c r="C1" s="2"/>
      <c r="D1" s="2"/>
      <c r="E1" s="2"/>
      <c r="F1" s="3"/>
    </row>
    <row r="2">
      <c r="A2" s="173" t="s">
        <v>864</v>
      </c>
      <c r="B2" s="428" t="s">
        <v>1567</v>
      </c>
      <c r="C2" s="136"/>
      <c r="D2" s="136"/>
      <c r="E2" s="136"/>
      <c r="F2" s="137"/>
    </row>
    <row r="3">
      <c r="A3" s="173" t="s">
        <v>4</v>
      </c>
      <c r="B3" s="176" t="s">
        <v>6</v>
      </c>
      <c r="C3" s="176" t="s">
        <v>8</v>
      </c>
      <c r="D3" s="176" t="s">
        <v>9</v>
      </c>
      <c r="E3" s="176" t="s">
        <v>10</v>
      </c>
      <c r="F3" s="176" t="s">
        <v>11</v>
      </c>
    </row>
    <row r="4">
      <c r="A4" s="429"/>
      <c r="B4" s="180" t="s">
        <v>838</v>
      </c>
      <c r="C4" s="180"/>
      <c r="D4" s="180"/>
      <c r="E4" s="180"/>
      <c r="F4" s="180"/>
    </row>
    <row r="5">
      <c r="A5" s="179" t="s">
        <v>864</v>
      </c>
      <c r="B5" s="430" t="s">
        <v>1569</v>
      </c>
      <c r="C5" s="181" t="s">
        <v>1570</v>
      </c>
      <c r="D5" s="182">
        <v>1.0</v>
      </c>
      <c r="E5" s="181">
        <v>935.0</v>
      </c>
      <c r="F5" s="431">
        <f>D5*E5</f>
        <v>935</v>
      </c>
    </row>
    <row r="6">
      <c r="A6" s="207"/>
      <c r="B6" s="188" t="s">
        <v>40</v>
      </c>
      <c r="C6" s="136"/>
      <c r="D6" s="136"/>
      <c r="E6" s="137"/>
      <c r="F6" s="431">
        <f>F5*0.01</f>
        <v>9.35</v>
      </c>
    </row>
    <row r="7">
      <c r="A7" s="207"/>
      <c r="B7" s="188" t="s">
        <v>42</v>
      </c>
      <c r="C7" s="136"/>
      <c r="D7" s="136"/>
      <c r="E7" s="137"/>
      <c r="F7" s="431">
        <f>SUM(F5:F6)</f>
        <v>944.35</v>
      </c>
    </row>
    <row r="8">
      <c r="A8" s="207"/>
      <c r="B8" s="188" t="s">
        <v>47</v>
      </c>
      <c r="C8" s="136"/>
      <c r="D8" s="136"/>
      <c r="E8" s="137"/>
      <c r="F8" s="431">
        <f>F7*0.15</f>
        <v>141.6525</v>
      </c>
    </row>
    <row r="9">
      <c r="A9" s="207"/>
      <c r="B9" s="188" t="s">
        <v>42</v>
      </c>
      <c r="C9" s="136"/>
      <c r="D9" s="136"/>
      <c r="E9" s="137"/>
      <c r="F9" s="431">
        <f>SUM(F7:F8)</f>
        <v>1086.0025</v>
      </c>
    </row>
    <row r="10">
      <c r="A10" s="179" t="s">
        <v>877</v>
      </c>
      <c r="B10" s="180" t="s">
        <v>867</v>
      </c>
      <c r="C10" s="181" t="s">
        <v>868</v>
      </c>
      <c r="D10" s="181">
        <v>0.5</v>
      </c>
      <c r="E10" s="182">
        <v>3000.0</v>
      </c>
      <c r="F10" s="431">
        <f t="shared" ref="F10:F12" si="1">D10*E10</f>
        <v>1500</v>
      </c>
    </row>
    <row r="11">
      <c r="A11" s="179" t="s">
        <v>879</v>
      </c>
      <c r="B11" s="180" t="s">
        <v>871</v>
      </c>
      <c r="C11" s="181" t="s">
        <v>27</v>
      </c>
      <c r="D11" s="181">
        <v>3.0</v>
      </c>
      <c r="E11" s="182">
        <v>784.0</v>
      </c>
      <c r="F11" s="431">
        <f t="shared" si="1"/>
        <v>2352</v>
      </c>
    </row>
    <row r="12">
      <c r="A12" s="179" t="s">
        <v>881</v>
      </c>
      <c r="B12" s="180" t="s">
        <v>97</v>
      </c>
      <c r="C12" s="181" t="s">
        <v>27</v>
      </c>
      <c r="D12" s="181">
        <v>2.0</v>
      </c>
      <c r="E12" s="182">
        <v>645.0</v>
      </c>
      <c r="F12" s="431">
        <f t="shared" si="1"/>
        <v>1290</v>
      </c>
    </row>
    <row r="13">
      <c r="A13" s="186"/>
      <c r="B13" s="188" t="s">
        <v>31</v>
      </c>
      <c r="C13" s="136"/>
      <c r="D13" s="136"/>
      <c r="E13" s="137"/>
      <c r="F13" s="431">
        <f>SUM(F10:F12)</f>
        <v>5142</v>
      </c>
    </row>
    <row r="14">
      <c r="A14" s="186"/>
      <c r="B14" s="188" t="s">
        <v>40</v>
      </c>
      <c r="C14" s="136"/>
      <c r="D14" s="136"/>
      <c r="E14" s="137"/>
      <c r="F14" s="431">
        <f>F13*0.01</f>
        <v>51.42</v>
      </c>
    </row>
    <row r="15">
      <c r="A15" s="186"/>
      <c r="B15" s="188" t="s">
        <v>42</v>
      </c>
      <c r="C15" s="136"/>
      <c r="D15" s="136"/>
      <c r="E15" s="137"/>
      <c r="F15" s="431">
        <f>SUM(F13:F14)</f>
        <v>5193.42</v>
      </c>
    </row>
    <row r="16">
      <c r="A16" s="186"/>
      <c r="B16" s="188" t="s">
        <v>47</v>
      </c>
      <c r="C16" s="136"/>
      <c r="D16" s="136"/>
      <c r="E16" s="137"/>
      <c r="F16" s="431">
        <f>F15*0.15</f>
        <v>779.013</v>
      </c>
    </row>
    <row r="17">
      <c r="A17" s="186"/>
      <c r="B17" s="188" t="s">
        <v>42</v>
      </c>
      <c r="C17" s="136"/>
      <c r="D17" s="136"/>
      <c r="E17" s="137"/>
      <c r="F17" s="431">
        <f>SUM(F15:F16)</f>
        <v>5972.433</v>
      </c>
    </row>
    <row r="18">
      <c r="A18" s="195" t="str">
        <f>CONCATENATE("Say Rs ",F9," + (",F17," x Cost Index)")</f>
        <v>Say Rs 1086.0025 + (5972.433 x Cost Index)</v>
      </c>
      <c r="B18" s="136"/>
      <c r="C18" s="136"/>
      <c r="D18" s="136"/>
      <c r="E18" s="136"/>
      <c r="F18" s="137"/>
    </row>
    <row r="19">
      <c r="A19" s="159" t="s">
        <v>864</v>
      </c>
      <c r="B19" s="135" t="s">
        <v>1577</v>
      </c>
      <c r="C19" s="136"/>
      <c r="D19" s="136"/>
      <c r="E19" s="136"/>
      <c r="F19" s="137"/>
    </row>
    <row r="20">
      <c r="A20" s="159" t="s">
        <v>4</v>
      </c>
      <c r="B20" s="134" t="s">
        <v>6</v>
      </c>
      <c r="C20" s="134" t="s">
        <v>8</v>
      </c>
      <c r="D20" s="134" t="s">
        <v>9</v>
      </c>
      <c r="E20" s="134" t="s">
        <v>10</v>
      </c>
      <c r="F20" s="134" t="s">
        <v>11</v>
      </c>
    </row>
    <row r="21">
      <c r="A21" s="433"/>
      <c r="B21" s="139" t="s">
        <v>838</v>
      </c>
      <c r="C21" s="139"/>
      <c r="D21" s="139"/>
      <c r="E21" s="139"/>
      <c r="F21" s="139"/>
    </row>
    <row r="22">
      <c r="A22" s="434" t="s">
        <v>864</v>
      </c>
      <c r="B22" s="139" t="s">
        <v>1579</v>
      </c>
      <c r="C22" s="145" t="s">
        <v>1570</v>
      </c>
      <c r="D22" s="149">
        <v>1.0</v>
      </c>
      <c r="E22" s="145">
        <v>935.0</v>
      </c>
      <c r="F22" s="150">
        <f>D22*E22</f>
        <v>935</v>
      </c>
    </row>
    <row r="23">
      <c r="A23" s="165"/>
      <c r="B23" s="146" t="s">
        <v>40</v>
      </c>
      <c r="C23" s="136"/>
      <c r="D23" s="136"/>
      <c r="E23" s="137"/>
      <c r="F23" s="150">
        <f>F22*0.01</f>
        <v>9.35</v>
      </c>
    </row>
    <row r="24">
      <c r="A24" s="165"/>
      <c r="B24" s="146" t="s">
        <v>42</v>
      </c>
      <c r="C24" s="136"/>
      <c r="D24" s="136"/>
      <c r="E24" s="137"/>
      <c r="F24" s="150">
        <f>SUM(F22:F23)</f>
        <v>944.35</v>
      </c>
    </row>
    <row r="25">
      <c r="A25" s="165"/>
      <c r="B25" s="146" t="s">
        <v>47</v>
      </c>
      <c r="C25" s="136"/>
      <c r="D25" s="136"/>
      <c r="E25" s="137"/>
      <c r="F25" s="150">
        <f>F24*0.15</f>
        <v>141.6525</v>
      </c>
    </row>
    <row r="26">
      <c r="A26" s="165"/>
      <c r="B26" s="146" t="s">
        <v>42</v>
      </c>
      <c r="C26" s="136"/>
      <c r="D26" s="136"/>
      <c r="E26" s="137"/>
      <c r="F26" s="150">
        <f>SUM(F24:F25)</f>
        <v>1086.0025</v>
      </c>
    </row>
    <row r="27">
      <c r="A27" s="434" t="s">
        <v>877</v>
      </c>
      <c r="B27" s="139" t="s">
        <v>867</v>
      </c>
      <c r="C27" s="145" t="s">
        <v>868</v>
      </c>
      <c r="D27" s="145">
        <v>0.75</v>
      </c>
      <c r="E27" s="149">
        <v>3000.0</v>
      </c>
      <c r="F27" s="150">
        <f t="shared" ref="F27:F29" si="2">D27*E27</f>
        <v>2250</v>
      </c>
    </row>
    <row r="28">
      <c r="A28" s="434" t="s">
        <v>879</v>
      </c>
      <c r="B28" s="139" t="s">
        <v>871</v>
      </c>
      <c r="C28" s="145" t="s">
        <v>27</v>
      </c>
      <c r="D28" s="145">
        <v>3.0</v>
      </c>
      <c r="E28" s="149">
        <v>784.0</v>
      </c>
      <c r="F28" s="150">
        <f t="shared" si="2"/>
        <v>2352</v>
      </c>
    </row>
    <row r="29">
      <c r="A29" s="434" t="s">
        <v>881</v>
      </c>
      <c r="B29" s="139" t="s">
        <v>97</v>
      </c>
      <c r="C29" s="145" t="s">
        <v>27</v>
      </c>
      <c r="D29" s="145">
        <v>3.0</v>
      </c>
      <c r="E29" s="149">
        <v>645.0</v>
      </c>
      <c r="F29" s="150">
        <f t="shared" si="2"/>
        <v>1935</v>
      </c>
    </row>
    <row r="30">
      <c r="A30" s="169"/>
      <c r="B30" s="146" t="s">
        <v>31</v>
      </c>
      <c r="C30" s="136"/>
      <c r="D30" s="136"/>
      <c r="E30" s="137"/>
      <c r="F30" s="150">
        <f>SUM(F27:F29)</f>
        <v>6537</v>
      </c>
    </row>
    <row r="31">
      <c r="A31" s="169"/>
      <c r="B31" s="146" t="s">
        <v>40</v>
      </c>
      <c r="C31" s="136"/>
      <c r="D31" s="136"/>
      <c r="E31" s="137"/>
      <c r="F31" s="150">
        <f>F30*0.01</f>
        <v>65.37</v>
      </c>
    </row>
    <row r="32">
      <c r="A32" s="169"/>
      <c r="B32" s="146" t="s">
        <v>42</v>
      </c>
      <c r="C32" s="136"/>
      <c r="D32" s="136"/>
      <c r="E32" s="137"/>
      <c r="F32" s="150">
        <f>SUM(F30:F31)</f>
        <v>6602.37</v>
      </c>
    </row>
    <row r="33">
      <c r="A33" s="169"/>
      <c r="B33" s="146" t="s">
        <v>47</v>
      </c>
      <c r="C33" s="136"/>
      <c r="D33" s="136"/>
      <c r="E33" s="137"/>
      <c r="F33" s="150">
        <f>F32*0.15</f>
        <v>990.3555</v>
      </c>
    </row>
    <row r="34">
      <c r="A34" s="169"/>
      <c r="B34" s="146" t="s">
        <v>42</v>
      </c>
      <c r="C34" s="136"/>
      <c r="D34" s="136"/>
      <c r="E34" s="137"/>
      <c r="F34" s="150">
        <f>SUM(F32:F33)</f>
        <v>7592.7255</v>
      </c>
    </row>
    <row r="35">
      <c r="A35" s="195" t="str">
        <f>CONCATENATE("Say Rs ",F26," + (",F34," x Cost Index)")</f>
        <v>Say Rs 1086.0025 + (7592.7255 x Cost Index)</v>
      </c>
      <c r="B35" s="136"/>
      <c r="C35" s="136"/>
      <c r="D35" s="136"/>
      <c r="E35" s="136"/>
      <c r="F35" s="137"/>
    </row>
    <row r="36">
      <c r="A36" s="173" t="s">
        <v>864</v>
      </c>
      <c r="B36" s="175" t="s">
        <v>1590</v>
      </c>
      <c r="C36" s="136"/>
      <c r="D36" s="136"/>
      <c r="E36" s="136"/>
      <c r="F36" s="137"/>
    </row>
    <row r="37">
      <c r="A37" s="173" t="s">
        <v>4</v>
      </c>
      <c r="B37" s="176" t="s">
        <v>6</v>
      </c>
      <c r="C37" s="176" t="s">
        <v>8</v>
      </c>
      <c r="D37" s="176" t="s">
        <v>9</v>
      </c>
      <c r="E37" s="176" t="s">
        <v>10</v>
      </c>
      <c r="F37" s="176" t="s">
        <v>11</v>
      </c>
    </row>
    <row r="38">
      <c r="A38" s="429"/>
      <c r="B38" s="180" t="s">
        <v>838</v>
      </c>
      <c r="C38" s="180"/>
      <c r="D38" s="180"/>
      <c r="E38" s="180"/>
      <c r="F38" s="180"/>
    </row>
    <row r="39">
      <c r="A39" s="179" t="s">
        <v>864</v>
      </c>
      <c r="B39" s="180" t="s">
        <v>1579</v>
      </c>
      <c r="C39" s="181" t="s">
        <v>1570</v>
      </c>
      <c r="D39" s="182">
        <v>1.0</v>
      </c>
      <c r="E39" s="181">
        <v>935.0</v>
      </c>
      <c r="F39" s="431">
        <f>D39*E39</f>
        <v>935</v>
      </c>
    </row>
    <row r="40">
      <c r="A40" s="207"/>
      <c r="B40" s="188" t="s">
        <v>40</v>
      </c>
      <c r="C40" s="136"/>
      <c r="D40" s="136"/>
      <c r="E40" s="137"/>
      <c r="F40" s="431">
        <f>F39*0.01</f>
        <v>9.35</v>
      </c>
    </row>
    <row r="41">
      <c r="A41" s="207"/>
      <c r="B41" s="188" t="s">
        <v>42</v>
      </c>
      <c r="C41" s="136"/>
      <c r="D41" s="136"/>
      <c r="E41" s="137"/>
      <c r="F41" s="431">
        <f>SUM(F39:F40)</f>
        <v>944.35</v>
      </c>
    </row>
    <row r="42">
      <c r="A42" s="207"/>
      <c r="B42" s="188" t="s">
        <v>47</v>
      </c>
      <c r="C42" s="136"/>
      <c r="D42" s="136"/>
      <c r="E42" s="137"/>
      <c r="F42" s="431">
        <f>F41*0.15</f>
        <v>141.6525</v>
      </c>
    </row>
    <row r="43">
      <c r="A43" s="207"/>
      <c r="B43" s="188" t="s">
        <v>42</v>
      </c>
      <c r="C43" s="136"/>
      <c r="D43" s="136"/>
      <c r="E43" s="137"/>
      <c r="F43" s="431">
        <f>SUM(F41:F42)</f>
        <v>1086.0025</v>
      </c>
    </row>
    <row r="44">
      <c r="A44" s="179" t="s">
        <v>877</v>
      </c>
      <c r="B44" s="180" t="s">
        <v>867</v>
      </c>
      <c r="C44" s="181" t="s">
        <v>868</v>
      </c>
      <c r="D44" s="181">
        <v>1.0</v>
      </c>
      <c r="E44" s="182">
        <v>3000.0</v>
      </c>
      <c r="F44" s="431">
        <f t="shared" ref="F44:F46" si="3">D44*E44</f>
        <v>3000</v>
      </c>
    </row>
    <row r="45">
      <c r="A45" s="179" t="s">
        <v>879</v>
      </c>
      <c r="B45" s="180" t="s">
        <v>871</v>
      </c>
      <c r="C45" s="181" t="s">
        <v>27</v>
      </c>
      <c r="D45" s="181">
        <v>3.0</v>
      </c>
      <c r="E45" s="182">
        <v>784.0</v>
      </c>
      <c r="F45" s="431">
        <f t="shared" si="3"/>
        <v>2352</v>
      </c>
    </row>
    <row r="46">
      <c r="A46" s="179" t="s">
        <v>881</v>
      </c>
      <c r="B46" s="180" t="s">
        <v>97</v>
      </c>
      <c r="C46" s="181" t="s">
        <v>27</v>
      </c>
      <c r="D46" s="181">
        <v>4.0</v>
      </c>
      <c r="E46" s="182">
        <v>645.0</v>
      </c>
      <c r="F46" s="431">
        <f t="shared" si="3"/>
        <v>2580</v>
      </c>
    </row>
    <row r="47">
      <c r="A47" s="186"/>
      <c r="B47" s="188" t="s">
        <v>31</v>
      </c>
      <c r="C47" s="136"/>
      <c r="D47" s="136"/>
      <c r="E47" s="137"/>
      <c r="F47" s="431">
        <f>SUM(F44:F46)</f>
        <v>7932</v>
      </c>
    </row>
    <row r="48">
      <c r="A48" s="186"/>
      <c r="B48" s="188" t="s">
        <v>40</v>
      </c>
      <c r="C48" s="136"/>
      <c r="D48" s="136"/>
      <c r="E48" s="137"/>
      <c r="F48" s="431">
        <f>F47*0.01</f>
        <v>79.32</v>
      </c>
    </row>
    <row r="49">
      <c r="A49" s="186"/>
      <c r="B49" s="188" t="s">
        <v>42</v>
      </c>
      <c r="C49" s="136"/>
      <c r="D49" s="136"/>
      <c r="E49" s="137"/>
      <c r="F49" s="431">
        <f>SUM(F47:F48)</f>
        <v>8011.32</v>
      </c>
    </row>
    <row r="50">
      <c r="A50" s="186"/>
      <c r="B50" s="188" t="s">
        <v>47</v>
      </c>
      <c r="C50" s="136"/>
      <c r="D50" s="136"/>
      <c r="E50" s="137"/>
      <c r="F50" s="431">
        <f>F49*0.15</f>
        <v>1201.698</v>
      </c>
    </row>
    <row r="51">
      <c r="A51" s="186"/>
      <c r="B51" s="188" t="s">
        <v>42</v>
      </c>
      <c r="C51" s="136"/>
      <c r="D51" s="136"/>
      <c r="E51" s="137"/>
      <c r="F51" s="431">
        <f>SUM(F49:F50)</f>
        <v>9213.018</v>
      </c>
    </row>
    <row r="52">
      <c r="A52" s="195" t="str">
        <f>CONCATENATE("Say Rs ",F43," + (",F51," x Cost Index)")</f>
        <v>Say Rs 1086.0025 + (9213.018 x Cost Index)</v>
      </c>
      <c r="B52" s="136"/>
      <c r="C52" s="136"/>
      <c r="D52" s="136"/>
      <c r="E52" s="136"/>
      <c r="F52" s="137"/>
    </row>
    <row r="53">
      <c r="A53" s="159" t="s">
        <v>864</v>
      </c>
      <c r="B53" s="135" t="s">
        <v>1597</v>
      </c>
      <c r="C53" s="136"/>
      <c r="D53" s="136"/>
      <c r="E53" s="136"/>
      <c r="F53" s="137"/>
    </row>
    <row r="54">
      <c r="A54" s="159" t="s">
        <v>4</v>
      </c>
      <c r="B54" s="134" t="s">
        <v>6</v>
      </c>
      <c r="C54" s="134" t="s">
        <v>8</v>
      </c>
      <c r="D54" s="134" t="s">
        <v>9</v>
      </c>
      <c r="E54" s="134" t="s">
        <v>10</v>
      </c>
      <c r="F54" s="134" t="s">
        <v>11</v>
      </c>
    </row>
    <row r="55">
      <c r="A55" s="434" t="s">
        <v>877</v>
      </c>
      <c r="B55" s="139" t="s">
        <v>867</v>
      </c>
      <c r="C55" s="145" t="s">
        <v>868</v>
      </c>
      <c r="D55" s="145">
        <v>0.3</v>
      </c>
      <c r="E55" s="149">
        <v>3000.0</v>
      </c>
      <c r="F55" s="150">
        <f t="shared" ref="F55:F57" si="4">D55*E55</f>
        <v>900</v>
      </c>
    </row>
    <row r="56">
      <c r="A56" s="434" t="s">
        <v>879</v>
      </c>
      <c r="B56" s="139" t="s">
        <v>871</v>
      </c>
      <c r="C56" s="145" t="s">
        <v>27</v>
      </c>
      <c r="D56" s="145">
        <v>2.0</v>
      </c>
      <c r="E56" s="149">
        <v>784.0</v>
      </c>
      <c r="F56" s="150">
        <f t="shared" si="4"/>
        <v>1568</v>
      </c>
    </row>
    <row r="57">
      <c r="A57" s="434" t="s">
        <v>881</v>
      </c>
      <c r="B57" s="139" t="s">
        <v>97</v>
      </c>
      <c r="C57" s="145" t="s">
        <v>27</v>
      </c>
      <c r="D57" s="145">
        <v>1.0</v>
      </c>
      <c r="E57" s="149">
        <v>645.0</v>
      </c>
      <c r="F57" s="150">
        <f t="shared" si="4"/>
        <v>645</v>
      </c>
    </row>
    <row r="58">
      <c r="A58" s="169"/>
      <c r="B58" s="146" t="s">
        <v>31</v>
      </c>
      <c r="C58" s="136"/>
      <c r="D58" s="136"/>
      <c r="E58" s="137"/>
      <c r="F58" s="150">
        <f>SUM(F55:F57)</f>
        <v>3113</v>
      </c>
    </row>
    <row r="59">
      <c r="A59" s="169"/>
      <c r="B59" s="146" t="s">
        <v>40</v>
      </c>
      <c r="C59" s="136"/>
      <c r="D59" s="136"/>
      <c r="E59" s="137"/>
      <c r="F59" s="150">
        <f>F58*0.01</f>
        <v>31.13</v>
      </c>
    </row>
    <row r="60">
      <c r="A60" s="169"/>
      <c r="B60" s="146" t="s">
        <v>42</v>
      </c>
      <c r="C60" s="136"/>
      <c r="D60" s="136"/>
      <c r="E60" s="137"/>
      <c r="F60" s="150">
        <f>SUM(F58:F59)</f>
        <v>3144.13</v>
      </c>
    </row>
    <row r="61">
      <c r="A61" s="169"/>
      <c r="B61" s="146" t="s">
        <v>47</v>
      </c>
      <c r="C61" s="136"/>
      <c r="D61" s="136"/>
      <c r="E61" s="137"/>
      <c r="F61" s="150">
        <f>F60*0.15</f>
        <v>471.6195</v>
      </c>
    </row>
    <row r="62">
      <c r="A62" s="169"/>
      <c r="B62" s="146" t="s">
        <v>42</v>
      </c>
      <c r="C62" s="136"/>
      <c r="D62" s="136"/>
      <c r="E62" s="137"/>
      <c r="F62" s="147">
        <f>SUM(F60:F61)</f>
        <v>3615.7495</v>
      </c>
    </row>
    <row r="63">
      <c r="A63" s="204" t="str">
        <f>CONCATENATE("Say Rs (",F62," x Cost Index)")</f>
        <v>Say Rs (3615.7495 x Cost Index)</v>
      </c>
      <c r="B63" s="136"/>
      <c r="C63" s="136"/>
      <c r="D63" s="136"/>
      <c r="E63" s="136"/>
      <c r="F63" s="137"/>
    </row>
  </sheetData>
  <mergeCells count="41">
    <mergeCell ref="A1:F1"/>
    <mergeCell ref="B2:F2"/>
    <mergeCell ref="B6:E6"/>
    <mergeCell ref="B7:E7"/>
    <mergeCell ref="B8:E8"/>
    <mergeCell ref="B9:E9"/>
    <mergeCell ref="B13:E13"/>
    <mergeCell ref="B14:E14"/>
    <mergeCell ref="B15:E15"/>
    <mergeCell ref="B16:E16"/>
    <mergeCell ref="B17:E17"/>
    <mergeCell ref="A18:F18"/>
    <mergeCell ref="B19:F19"/>
    <mergeCell ref="B23:E23"/>
    <mergeCell ref="B24:E24"/>
    <mergeCell ref="B25:E25"/>
    <mergeCell ref="B26:E26"/>
    <mergeCell ref="B30:E30"/>
    <mergeCell ref="B31:E31"/>
    <mergeCell ref="B32:E32"/>
    <mergeCell ref="B33:E33"/>
    <mergeCell ref="B34:E34"/>
    <mergeCell ref="A35:F35"/>
    <mergeCell ref="B36:F36"/>
    <mergeCell ref="B40:E40"/>
    <mergeCell ref="B41:E41"/>
    <mergeCell ref="B42:E42"/>
    <mergeCell ref="B43:E43"/>
    <mergeCell ref="B58:E58"/>
    <mergeCell ref="B59:E59"/>
    <mergeCell ref="B60:E60"/>
    <mergeCell ref="B61:E61"/>
    <mergeCell ref="B62:E62"/>
    <mergeCell ref="A63:F63"/>
    <mergeCell ref="B47:E47"/>
    <mergeCell ref="B48:E48"/>
    <mergeCell ref="B49:E49"/>
    <mergeCell ref="B50:E50"/>
    <mergeCell ref="B51:E51"/>
    <mergeCell ref="A52:F52"/>
    <mergeCell ref="B53:F53"/>
  </mergeCells>
  <printOptions/>
  <pageMargins bottom="0.75" footer="0.0" header="0.0" left="0.7" right="0.7" top="0.75"/>
  <pageSetup orientation="landscape"/>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8.0"/>
    <col customWidth="1" min="2" max="2" width="33.57"/>
    <col customWidth="1" min="3" max="3" width="8.0"/>
    <col customWidth="1" min="4" max="4" width="11.14"/>
    <col customWidth="1" min="5" max="5" width="8.0"/>
    <col customWidth="1" min="6" max="6" width="13.14"/>
  </cols>
  <sheetData>
    <row r="1">
      <c r="A1" s="1" t="s">
        <v>821</v>
      </c>
      <c r="B1" s="2"/>
      <c r="C1" s="2"/>
      <c r="D1" s="2"/>
      <c r="E1" s="2"/>
      <c r="F1" s="3"/>
    </row>
    <row r="2">
      <c r="A2" s="173" t="s">
        <v>864</v>
      </c>
      <c r="B2" s="428" t="s">
        <v>1575</v>
      </c>
      <c r="C2" s="136"/>
      <c r="D2" s="136"/>
      <c r="E2" s="136"/>
      <c r="F2" s="137"/>
    </row>
    <row r="3">
      <c r="A3" s="173" t="s">
        <v>4</v>
      </c>
      <c r="B3" s="176" t="s">
        <v>6</v>
      </c>
      <c r="C3" s="176" t="s">
        <v>8</v>
      </c>
      <c r="D3" s="176" t="s">
        <v>9</v>
      </c>
      <c r="E3" s="176" t="s">
        <v>10</v>
      </c>
      <c r="F3" s="178" t="s">
        <v>11</v>
      </c>
    </row>
    <row r="4">
      <c r="A4" s="429"/>
      <c r="B4" s="180" t="s">
        <v>838</v>
      </c>
      <c r="C4" s="180"/>
      <c r="D4" s="180"/>
      <c r="E4" s="180"/>
      <c r="F4" s="432"/>
    </row>
    <row r="5">
      <c r="A5" s="179" t="s">
        <v>864</v>
      </c>
      <c r="B5" s="430" t="s">
        <v>1569</v>
      </c>
      <c r="C5" s="181" t="s">
        <v>1570</v>
      </c>
      <c r="D5" s="182">
        <v>0.0</v>
      </c>
      <c r="E5" s="181">
        <v>935.0</v>
      </c>
      <c r="F5" s="183">
        <f>D5*E5</f>
        <v>0</v>
      </c>
    </row>
    <row r="6">
      <c r="A6" s="207"/>
      <c r="B6" s="188" t="s">
        <v>40</v>
      </c>
      <c r="C6" s="136"/>
      <c r="D6" s="136"/>
      <c r="E6" s="137"/>
      <c r="F6" s="183">
        <f>F5*0.01</f>
        <v>0</v>
      </c>
    </row>
    <row r="7">
      <c r="A7" s="207"/>
      <c r="B7" s="188" t="s">
        <v>42</v>
      </c>
      <c r="C7" s="136"/>
      <c r="D7" s="136"/>
      <c r="E7" s="137"/>
      <c r="F7" s="183">
        <f>SUM(F5:F6)</f>
        <v>0</v>
      </c>
    </row>
    <row r="8">
      <c r="A8" s="207"/>
      <c r="B8" s="188" t="s">
        <v>47</v>
      </c>
      <c r="C8" s="136"/>
      <c r="D8" s="136"/>
      <c r="E8" s="137"/>
      <c r="F8" s="183">
        <f>F7*0.15</f>
        <v>0</v>
      </c>
    </row>
    <row r="9">
      <c r="A9" s="207"/>
      <c r="B9" s="188" t="s">
        <v>42</v>
      </c>
      <c r="C9" s="136"/>
      <c r="D9" s="136"/>
      <c r="E9" s="137"/>
      <c r="F9" s="183">
        <f>SUM(F7:F8)</f>
        <v>0</v>
      </c>
    </row>
    <row r="10">
      <c r="A10" s="179" t="s">
        <v>877</v>
      </c>
      <c r="B10" s="180" t="s">
        <v>867</v>
      </c>
      <c r="C10" s="181" t="s">
        <v>868</v>
      </c>
      <c r="D10" s="181">
        <v>0.5</v>
      </c>
      <c r="E10" s="182">
        <v>3000.0</v>
      </c>
      <c r="F10" s="183">
        <f t="shared" ref="F10:F12" si="1">D10*E10</f>
        <v>1500</v>
      </c>
    </row>
    <row r="11">
      <c r="A11" s="179" t="s">
        <v>879</v>
      </c>
      <c r="B11" s="180" t="s">
        <v>871</v>
      </c>
      <c r="C11" s="181" t="s">
        <v>27</v>
      </c>
      <c r="D11" s="182">
        <v>1.0</v>
      </c>
      <c r="E11" s="182">
        <v>784.0</v>
      </c>
      <c r="F11" s="183">
        <f t="shared" si="1"/>
        <v>784</v>
      </c>
    </row>
    <row r="12">
      <c r="A12" s="179" t="s">
        <v>881</v>
      </c>
      <c r="B12" s="180" t="s">
        <v>97</v>
      </c>
      <c r="C12" s="181" t="s">
        <v>27</v>
      </c>
      <c r="D12" s="182">
        <v>1.0</v>
      </c>
      <c r="E12" s="182">
        <v>645.0</v>
      </c>
      <c r="F12" s="183">
        <f t="shared" si="1"/>
        <v>645</v>
      </c>
    </row>
    <row r="13">
      <c r="A13" s="186"/>
      <c r="B13" s="188" t="s">
        <v>31</v>
      </c>
      <c r="C13" s="136"/>
      <c r="D13" s="136"/>
      <c r="E13" s="137"/>
      <c r="F13" s="183">
        <f>SUM(F10:F12)</f>
        <v>2929</v>
      </c>
    </row>
    <row r="14">
      <c r="A14" s="186"/>
      <c r="B14" s="188" t="s">
        <v>40</v>
      </c>
      <c r="C14" s="136"/>
      <c r="D14" s="136"/>
      <c r="E14" s="137"/>
      <c r="F14" s="183">
        <f>F13*0.01</f>
        <v>29.29</v>
      </c>
    </row>
    <row r="15">
      <c r="A15" s="186"/>
      <c r="B15" s="188" t="s">
        <v>42</v>
      </c>
      <c r="C15" s="136"/>
      <c r="D15" s="136"/>
      <c r="E15" s="137"/>
      <c r="F15" s="183">
        <f>SUM(F13:F14)</f>
        <v>2958.29</v>
      </c>
    </row>
    <row r="16">
      <c r="A16" s="186"/>
      <c r="B16" s="188" t="s">
        <v>47</v>
      </c>
      <c r="C16" s="136"/>
      <c r="D16" s="136"/>
      <c r="E16" s="137"/>
      <c r="F16" s="183">
        <f>F15*0.15</f>
        <v>443.7435</v>
      </c>
    </row>
    <row r="17">
      <c r="A17" s="186"/>
      <c r="B17" s="188" t="s">
        <v>42</v>
      </c>
      <c r="C17" s="136"/>
      <c r="D17" s="136"/>
      <c r="E17" s="137"/>
      <c r="F17" s="183">
        <f>mround(SUM(F15:F16),1)</f>
        <v>3402</v>
      </c>
    </row>
    <row r="18">
      <c r="A18" s="195" t="str">
        <f>CONCATENATE("Say Rs (",F17," x Cost Index)")</f>
        <v>Say Rs (3402 x Cost Index)</v>
      </c>
      <c r="B18" s="136"/>
      <c r="C18" s="136"/>
      <c r="D18" s="136"/>
      <c r="E18" s="136"/>
      <c r="F18" s="137"/>
    </row>
    <row r="19">
      <c r="A19" s="159" t="s">
        <v>864</v>
      </c>
      <c r="B19" s="135" t="s">
        <v>1596</v>
      </c>
      <c r="C19" s="136"/>
      <c r="D19" s="136"/>
      <c r="E19" s="136"/>
      <c r="F19" s="137"/>
    </row>
    <row r="20">
      <c r="A20" s="159" t="s">
        <v>4</v>
      </c>
      <c r="B20" s="134" t="s">
        <v>6</v>
      </c>
      <c r="C20" s="134" t="s">
        <v>8</v>
      </c>
      <c r="D20" s="134" t="s">
        <v>9</v>
      </c>
      <c r="E20" s="134" t="s">
        <v>10</v>
      </c>
      <c r="F20" s="164" t="s">
        <v>11</v>
      </c>
    </row>
    <row r="21">
      <c r="A21" s="433"/>
      <c r="B21" s="139" t="s">
        <v>838</v>
      </c>
      <c r="C21" s="139"/>
      <c r="D21" s="139"/>
      <c r="E21" s="139"/>
      <c r="F21" s="435"/>
    </row>
    <row r="22">
      <c r="A22" s="434" t="s">
        <v>864</v>
      </c>
      <c r="B22" s="139" t="s">
        <v>1579</v>
      </c>
      <c r="C22" s="145" t="s">
        <v>1570</v>
      </c>
      <c r="D22" s="149">
        <v>0.0</v>
      </c>
      <c r="E22" s="145">
        <v>935.0</v>
      </c>
      <c r="F22" s="148">
        <f>D22*E22</f>
        <v>0</v>
      </c>
    </row>
    <row r="23">
      <c r="A23" s="165"/>
      <c r="B23" s="146" t="s">
        <v>40</v>
      </c>
      <c r="C23" s="136"/>
      <c r="D23" s="136"/>
      <c r="E23" s="137"/>
      <c r="F23" s="148">
        <f>F22*0.01</f>
        <v>0</v>
      </c>
    </row>
    <row r="24">
      <c r="A24" s="165"/>
      <c r="B24" s="146" t="s">
        <v>42</v>
      </c>
      <c r="C24" s="136"/>
      <c r="D24" s="136"/>
      <c r="E24" s="137"/>
      <c r="F24" s="148">
        <f>SUM(F22:F23)</f>
        <v>0</v>
      </c>
    </row>
    <row r="25">
      <c r="A25" s="165"/>
      <c r="B25" s="146" t="s">
        <v>47</v>
      </c>
      <c r="C25" s="136"/>
      <c r="D25" s="136"/>
      <c r="E25" s="137"/>
      <c r="F25" s="148">
        <f>F24*0.15</f>
        <v>0</v>
      </c>
    </row>
    <row r="26">
      <c r="A26" s="165"/>
      <c r="B26" s="146" t="s">
        <v>42</v>
      </c>
      <c r="C26" s="136"/>
      <c r="D26" s="136"/>
      <c r="E26" s="137"/>
      <c r="F26" s="148">
        <f>SUM(F24:F25)</f>
        <v>0</v>
      </c>
    </row>
    <row r="27">
      <c r="A27" s="434" t="s">
        <v>877</v>
      </c>
      <c r="B27" s="139" t="s">
        <v>867</v>
      </c>
      <c r="C27" s="145" t="s">
        <v>868</v>
      </c>
      <c r="D27" s="145">
        <v>0.75</v>
      </c>
      <c r="E27" s="149">
        <v>3000.0</v>
      </c>
      <c r="F27" s="148">
        <f t="shared" ref="F27:F29" si="2">D27*E27</f>
        <v>2250</v>
      </c>
    </row>
    <row r="28">
      <c r="A28" s="434" t="s">
        <v>879</v>
      </c>
      <c r="B28" s="139" t="s">
        <v>871</v>
      </c>
      <c r="C28" s="145" t="s">
        <v>27</v>
      </c>
      <c r="D28" s="149">
        <v>1.0</v>
      </c>
      <c r="E28" s="149">
        <v>784.0</v>
      </c>
      <c r="F28" s="148">
        <f t="shared" si="2"/>
        <v>784</v>
      </c>
    </row>
    <row r="29">
      <c r="A29" s="434" t="s">
        <v>881</v>
      </c>
      <c r="B29" s="139" t="s">
        <v>97</v>
      </c>
      <c r="C29" s="145" t="s">
        <v>27</v>
      </c>
      <c r="D29" s="149">
        <v>1.0</v>
      </c>
      <c r="E29" s="149">
        <v>645.0</v>
      </c>
      <c r="F29" s="148">
        <f t="shared" si="2"/>
        <v>645</v>
      </c>
    </row>
    <row r="30">
      <c r="A30" s="169"/>
      <c r="B30" s="146" t="s">
        <v>31</v>
      </c>
      <c r="C30" s="136"/>
      <c r="D30" s="136"/>
      <c r="E30" s="137"/>
      <c r="F30" s="148">
        <f>SUM(F27:F29)</f>
        <v>3679</v>
      </c>
    </row>
    <row r="31">
      <c r="A31" s="169"/>
      <c r="B31" s="146" t="s">
        <v>40</v>
      </c>
      <c r="C31" s="136"/>
      <c r="D31" s="136"/>
      <c r="E31" s="137"/>
      <c r="F31" s="148">
        <f>F30*0.01</f>
        <v>36.79</v>
      </c>
    </row>
    <row r="32">
      <c r="A32" s="169"/>
      <c r="B32" s="146" t="s">
        <v>42</v>
      </c>
      <c r="C32" s="136"/>
      <c r="D32" s="136"/>
      <c r="E32" s="137"/>
      <c r="F32" s="148">
        <f>SUM(F30:F31)</f>
        <v>3715.79</v>
      </c>
    </row>
    <row r="33">
      <c r="A33" s="169"/>
      <c r="B33" s="146" t="s">
        <v>47</v>
      </c>
      <c r="C33" s="136"/>
      <c r="D33" s="136"/>
      <c r="E33" s="137"/>
      <c r="F33" s="148">
        <f>F32*0.15</f>
        <v>557.3685</v>
      </c>
    </row>
    <row r="34">
      <c r="A34" s="169"/>
      <c r="B34" s="146" t="s">
        <v>42</v>
      </c>
      <c r="C34" s="136"/>
      <c r="D34" s="136"/>
      <c r="E34" s="137"/>
      <c r="F34" s="148">
        <f>mround(SUM(F32:F33),1)</f>
        <v>4273</v>
      </c>
    </row>
    <row r="35">
      <c r="A35" s="195" t="str">
        <f>CONCATENATE("Say Rs (",F34," x Cost Index)")</f>
        <v>Say Rs (4273 x Cost Index)</v>
      </c>
      <c r="B35" s="136"/>
      <c r="C35" s="136"/>
      <c r="D35" s="136"/>
      <c r="E35" s="136"/>
      <c r="F35" s="137"/>
    </row>
    <row r="36">
      <c r="A36" s="173" t="s">
        <v>864</v>
      </c>
      <c r="B36" s="175" t="s">
        <v>1613</v>
      </c>
      <c r="C36" s="136"/>
      <c r="D36" s="136"/>
      <c r="E36" s="136"/>
      <c r="F36" s="137"/>
    </row>
    <row r="37">
      <c r="A37" s="173" t="s">
        <v>4</v>
      </c>
      <c r="B37" s="176" t="s">
        <v>6</v>
      </c>
      <c r="C37" s="176" t="s">
        <v>8</v>
      </c>
      <c r="D37" s="176" t="s">
        <v>9</v>
      </c>
      <c r="E37" s="176" t="s">
        <v>10</v>
      </c>
      <c r="F37" s="178" t="s">
        <v>11</v>
      </c>
    </row>
    <row r="38">
      <c r="A38" s="429"/>
      <c r="B38" s="180" t="s">
        <v>838</v>
      </c>
      <c r="C38" s="180"/>
      <c r="D38" s="180"/>
      <c r="E38" s="180"/>
      <c r="F38" s="432"/>
    </row>
    <row r="39">
      <c r="A39" s="179" t="s">
        <v>864</v>
      </c>
      <c r="B39" s="180" t="s">
        <v>1579</v>
      </c>
      <c r="C39" s="181" t="s">
        <v>1570</v>
      </c>
      <c r="D39" s="182">
        <v>0.0</v>
      </c>
      <c r="E39" s="181">
        <v>935.0</v>
      </c>
      <c r="F39" s="183">
        <f>D39*E39</f>
        <v>0</v>
      </c>
    </row>
    <row r="40">
      <c r="A40" s="207"/>
      <c r="B40" s="188" t="s">
        <v>40</v>
      </c>
      <c r="C40" s="136"/>
      <c r="D40" s="136"/>
      <c r="E40" s="137"/>
      <c r="F40" s="183">
        <f>F39*0.01</f>
        <v>0</v>
      </c>
    </row>
    <row r="41">
      <c r="A41" s="207"/>
      <c r="B41" s="188" t="s">
        <v>42</v>
      </c>
      <c r="C41" s="136"/>
      <c r="D41" s="136"/>
      <c r="E41" s="137"/>
      <c r="F41" s="183">
        <f>SUM(F39:F40)</f>
        <v>0</v>
      </c>
    </row>
    <row r="42">
      <c r="A42" s="207"/>
      <c r="B42" s="188" t="s">
        <v>47</v>
      </c>
      <c r="C42" s="136"/>
      <c r="D42" s="136"/>
      <c r="E42" s="137"/>
      <c r="F42" s="183">
        <f>F41*0.15</f>
        <v>0</v>
      </c>
    </row>
    <row r="43">
      <c r="A43" s="207"/>
      <c r="B43" s="188" t="s">
        <v>42</v>
      </c>
      <c r="C43" s="136"/>
      <c r="D43" s="136"/>
      <c r="E43" s="137"/>
      <c r="F43" s="183">
        <f>SUM(F41:F42)</f>
        <v>0</v>
      </c>
    </row>
    <row r="44">
      <c r="A44" s="179" t="s">
        <v>877</v>
      </c>
      <c r="B44" s="180" t="s">
        <v>867</v>
      </c>
      <c r="C44" s="181" t="s">
        <v>868</v>
      </c>
      <c r="D44" s="181">
        <v>1.0</v>
      </c>
      <c r="E44" s="182">
        <v>3000.0</v>
      </c>
      <c r="F44" s="183">
        <f t="shared" ref="F44:F46" si="3">D44*E44</f>
        <v>3000</v>
      </c>
    </row>
    <row r="45">
      <c r="A45" s="179" t="s">
        <v>879</v>
      </c>
      <c r="B45" s="180" t="s">
        <v>871</v>
      </c>
      <c r="C45" s="181" t="s">
        <v>27</v>
      </c>
      <c r="D45" s="182">
        <v>1.0</v>
      </c>
      <c r="E45" s="182">
        <v>784.0</v>
      </c>
      <c r="F45" s="183">
        <f t="shared" si="3"/>
        <v>784</v>
      </c>
    </row>
    <row r="46">
      <c r="A46" s="179" t="s">
        <v>881</v>
      </c>
      <c r="B46" s="180" t="s">
        <v>97</v>
      </c>
      <c r="C46" s="181" t="s">
        <v>27</v>
      </c>
      <c r="D46" s="182">
        <v>1.0</v>
      </c>
      <c r="E46" s="182">
        <v>645.0</v>
      </c>
      <c r="F46" s="183">
        <f t="shared" si="3"/>
        <v>645</v>
      </c>
    </row>
    <row r="47">
      <c r="A47" s="186"/>
      <c r="B47" s="188" t="s">
        <v>31</v>
      </c>
      <c r="C47" s="136"/>
      <c r="D47" s="136"/>
      <c r="E47" s="137"/>
      <c r="F47" s="183">
        <f>SUM(F44:F46)</f>
        <v>4429</v>
      </c>
    </row>
    <row r="48">
      <c r="A48" s="186"/>
      <c r="B48" s="188" t="s">
        <v>40</v>
      </c>
      <c r="C48" s="136"/>
      <c r="D48" s="136"/>
      <c r="E48" s="137"/>
      <c r="F48" s="183">
        <f>F47*0.01</f>
        <v>44.29</v>
      </c>
    </row>
    <row r="49">
      <c r="A49" s="186"/>
      <c r="B49" s="188" t="s">
        <v>42</v>
      </c>
      <c r="C49" s="136"/>
      <c r="D49" s="136"/>
      <c r="E49" s="137"/>
      <c r="F49" s="183">
        <f>SUM(F47:F48)</f>
        <v>4473.29</v>
      </c>
    </row>
    <row r="50">
      <c r="A50" s="186"/>
      <c r="B50" s="188" t="s">
        <v>47</v>
      </c>
      <c r="C50" s="136"/>
      <c r="D50" s="136"/>
      <c r="E50" s="137"/>
      <c r="F50" s="183">
        <f>F49*0.15</f>
        <v>670.9935</v>
      </c>
    </row>
    <row r="51">
      <c r="A51" s="186"/>
      <c r="B51" s="188" t="s">
        <v>42</v>
      </c>
      <c r="C51" s="136"/>
      <c r="D51" s="136"/>
      <c r="E51" s="137"/>
      <c r="F51" s="183">
        <f>mround(SUM(F49:F50),1)</f>
        <v>5144</v>
      </c>
    </row>
    <row r="52">
      <c r="A52" s="195" t="str">
        <f>CONCATENATE("Say Rs (",F51," x Cost Index)")</f>
        <v>Say Rs (5144 x Cost Index)</v>
      </c>
      <c r="B52" s="136"/>
      <c r="C52" s="136"/>
      <c r="D52" s="136"/>
      <c r="E52" s="136"/>
      <c r="F52" s="137"/>
    </row>
    <row r="53">
      <c r="A53" s="159" t="s">
        <v>864</v>
      </c>
      <c r="B53" s="135" t="s">
        <v>1630</v>
      </c>
      <c r="C53" s="136"/>
      <c r="D53" s="136"/>
      <c r="E53" s="136"/>
      <c r="F53" s="137"/>
    </row>
    <row r="54">
      <c r="A54" s="159" t="s">
        <v>4</v>
      </c>
      <c r="B54" s="134" t="s">
        <v>6</v>
      </c>
      <c r="C54" s="134" t="s">
        <v>8</v>
      </c>
      <c r="D54" s="134" t="s">
        <v>9</v>
      </c>
      <c r="E54" s="134" t="s">
        <v>10</v>
      </c>
      <c r="F54" s="164" t="s">
        <v>11</v>
      </c>
    </row>
    <row r="55">
      <c r="A55" s="434" t="s">
        <v>877</v>
      </c>
      <c r="B55" s="139" t="s">
        <v>867</v>
      </c>
      <c r="C55" s="145" t="s">
        <v>868</v>
      </c>
      <c r="D55" s="145">
        <v>0.3</v>
      </c>
      <c r="E55" s="149">
        <v>3000.0</v>
      </c>
      <c r="F55" s="148">
        <f t="shared" ref="F55:F57" si="4">D55*E55</f>
        <v>900</v>
      </c>
    </row>
    <row r="56">
      <c r="A56" s="434" t="s">
        <v>879</v>
      </c>
      <c r="B56" s="139" t="s">
        <v>871</v>
      </c>
      <c r="C56" s="145" t="s">
        <v>27</v>
      </c>
      <c r="D56" s="149">
        <v>0.5</v>
      </c>
      <c r="E56" s="149">
        <v>784.0</v>
      </c>
      <c r="F56" s="148">
        <f t="shared" si="4"/>
        <v>392</v>
      </c>
    </row>
    <row r="57">
      <c r="A57" s="434" t="s">
        <v>881</v>
      </c>
      <c r="B57" s="139" t="s">
        <v>97</v>
      </c>
      <c r="C57" s="145" t="s">
        <v>27</v>
      </c>
      <c r="D57" s="149">
        <v>0.5</v>
      </c>
      <c r="E57" s="149">
        <v>645.0</v>
      </c>
      <c r="F57" s="148">
        <f t="shared" si="4"/>
        <v>322.5</v>
      </c>
    </row>
    <row r="58">
      <c r="A58" s="169"/>
      <c r="B58" s="146" t="s">
        <v>31</v>
      </c>
      <c r="C58" s="136"/>
      <c r="D58" s="136"/>
      <c r="E58" s="137"/>
      <c r="F58" s="148">
        <f>SUM(F55:F57)</f>
        <v>1614.5</v>
      </c>
    </row>
    <row r="59">
      <c r="A59" s="169"/>
      <c r="B59" s="146" t="s">
        <v>40</v>
      </c>
      <c r="C59" s="136"/>
      <c r="D59" s="136"/>
      <c r="E59" s="137"/>
      <c r="F59" s="148">
        <f>F58*0.01</f>
        <v>16.145</v>
      </c>
    </row>
    <row r="60">
      <c r="A60" s="169"/>
      <c r="B60" s="146" t="s">
        <v>42</v>
      </c>
      <c r="C60" s="136"/>
      <c r="D60" s="136"/>
      <c r="E60" s="137"/>
      <c r="F60" s="148">
        <f>SUM(F58:F59)</f>
        <v>1630.645</v>
      </c>
    </row>
    <row r="61">
      <c r="A61" s="169"/>
      <c r="B61" s="146" t="s">
        <v>47</v>
      </c>
      <c r="C61" s="136"/>
      <c r="D61" s="136"/>
      <c r="E61" s="137"/>
      <c r="F61" s="148">
        <f>F60*0.15</f>
        <v>244.59675</v>
      </c>
    </row>
    <row r="62">
      <c r="A62" s="169"/>
      <c r="B62" s="146" t="s">
        <v>42</v>
      </c>
      <c r="C62" s="136"/>
      <c r="D62" s="136"/>
      <c r="E62" s="137"/>
      <c r="F62" s="148">
        <f>mround(SUM(F60:F61),1)</f>
        <v>1875</v>
      </c>
    </row>
    <row r="63">
      <c r="A63" s="195" t="str">
        <f>CONCATENATE("Say Rs (",F62," x Cost Index)")</f>
        <v>Say Rs (1875 x Cost Index)</v>
      </c>
      <c r="B63" s="136"/>
      <c r="C63" s="136"/>
      <c r="D63" s="136"/>
      <c r="E63" s="136"/>
      <c r="F63" s="137"/>
    </row>
  </sheetData>
  <mergeCells count="41">
    <mergeCell ref="A1:F1"/>
    <mergeCell ref="B2:F2"/>
    <mergeCell ref="B6:E6"/>
    <mergeCell ref="B7:E7"/>
    <mergeCell ref="B8:E8"/>
    <mergeCell ref="B9:E9"/>
    <mergeCell ref="B13:E13"/>
    <mergeCell ref="B14:E14"/>
    <mergeCell ref="B15:E15"/>
    <mergeCell ref="B16:E16"/>
    <mergeCell ref="B17:E17"/>
    <mergeCell ref="A18:F18"/>
    <mergeCell ref="B19:F19"/>
    <mergeCell ref="B23:E23"/>
    <mergeCell ref="B24:E24"/>
    <mergeCell ref="B25:E25"/>
    <mergeCell ref="B26:E26"/>
    <mergeCell ref="B30:E30"/>
    <mergeCell ref="B31:E31"/>
    <mergeCell ref="B32:E32"/>
    <mergeCell ref="B33:E33"/>
    <mergeCell ref="B34:E34"/>
    <mergeCell ref="A35:F35"/>
    <mergeCell ref="B36:F36"/>
    <mergeCell ref="B40:E40"/>
    <mergeCell ref="B41:E41"/>
    <mergeCell ref="B42:E42"/>
    <mergeCell ref="B43:E43"/>
    <mergeCell ref="B58:E58"/>
    <mergeCell ref="B59:E59"/>
    <mergeCell ref="B60:E60"/>
    <mergeCell ref="B61:E61"/>
    <mergeCell ref="B62:E62"/>
    <mergeCell ref="A63:F63"/>
    <mergeCell ref="B47:E47"/>
    <mergeCell ref="B48:E48"/>
    <mergeCell ref="B49:E49"/>
    <mergeCell ref="B50:E50"/>
    <mergeCell ref="B51:E51"/>
    <mergeCell ref="A52:F52"/>
    <mergeCell ref="B53:F53"/>
  </mergeCells>
  <printOptions/>
  <pageMargins bottom="0.75" footer="0.0" header="0.0" left="0.7" right="0.7" top="0.75"/>
  <pageSetup orientation="landscape"/>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7" max="7" width="7.29"/>
    <col customWidth="1" hidden="1" min="8" max="8" width="11.14"/>
    <col customWidth="1" hidden="1" min="9" max="9" width="12.86"/>
  </cols>
  <sheetData>
    <row r="1">
      <c r="A1" s="111" t="s">
        <v>742</v>
      </c>
      <c r="B1" s="111" t="s">
        <v>745</v>
      </c>
      <c r="C1" s="112" t="s">
        <v>6</v>
      </c>
      <c r="D1" s="2"/>
      <c r="E1" s="3"/>
      <c r="F1" s="113" t="s">
        <v>746</v>
      </c>
      <c r="G1" s="3"/>
      <c r="H1" s="436"/>
      <c r="I1" s="436"/>
    </row>
    <row r="2">
      <c r="A2" s="20"/>
      <c r="B2" s="20"/>
      <c r="C2" s="115" t="s">
        <v>8</v>
      </c>
      <c r="D2" s="115" t="s">
        <v>9</v>
      </c>
      <c r="E2" s="115" t="s">
        <v>358</v>
      </c>
      <c r="F2" s="117" t="s">
        <v>11</v>
      </c>
      <c r="G2" s="115" t="s">
        <v>751</v>
      </c>
      <c r="H2" s="436"/>
      <c r="I2" s="436"/>
    </row>
    <row r="3">
      <c r="A3" s="437" t="s">
        <v>1615</v>
      </c>
      <c r="B3" s="2"/>
      <c r="C3" s="2"/>
      <c r="D3" s="2"/>
      <c r="E3" s="2"/>
      <c r="F3" s="2"/>
      <c r="G3" s="3"/>
      <c r="H3" s="438"/>
      <c r="I3" s="438"/>
    </row>
    <row r="4">
      <c r="A4" s="119"/>
      <c r="B4" s="120" t="s">
        <v>754</v>
      </c>
      <c r="C4" s="120" t="s">
        <v>1117</v>
      </c>
      <c r="D4" s="120" t="s">
        <v>757</v>
      </c>
      <c r="E4" s="121">
        <v>1.0</v>
      </c>
      <c r="F4" s="122"/>
      <c r="G4" s="3"/>
      <c r="H4" s="439"/>
      <c r="I4" s="439"/>
    </row>
    <row r="5">
      <c r="A5" s="120" t="s">
        <v>761</v>
      </c>
      <c r="B5" s="123" t="s">
        <v>1617</v>
      </c>
      <c r="C5" s="2"/>
      <c r="D5" s="2"/>
      <c r="E5" s="2"/>
      <c r="F5" s="2"/>
      <c r="G5" s="3"/>
      <c r="H5" s="440"/>
      <c r="I5" s="440"/>
    </row>
    <row r="6">
      <c r="A6" s="124" t="s">
        <v>764</v>
      </c>
      <c r="B6" s="2"/>
      <c r="C6" s="2"/>
      <c r="D6" s="2"/>
      <c r="E6" s="2"/>
      <c r="F6" s="3"/>
      <c r="G6" s="125" t="s">
        <v>766</v>
      </c>
      <c r="H6" s="441"/>
      <c r="I6" s="441"/>
    </row>
    <row r="7">
      <c r="A7" s="126"/>
      <c r="B7" s="442" t="s">
        <v>1619</v>
      </c>
      <c r="C7" s="443" t="s">
        <v>1620</v>
      </c>
      <c r="D7" s="2"/>
      <c r="E7" s="3"/>
      <c r="F7" s="444"/>
      <c r="G7" s="3"/>
      <c r="H7" s="445"/>
      <c r="I7" s="445"/>
    </row>
    <row r="8">
      <c r="A8" s="20"/>
      <c r="B8" s="20"/>
      <c r="C8" s="446" t="s">
        <v>43</v>
      </c>
      <c r="D8" s="447">
        <v>1.0</v>
      </c>
      <c r="E8" s="447">
        <v>550.0</v>
      </c>
      <c r="F8" s="448">
        <f>D8*E8</f>
        <v>550</v>
      </c>
      <c r="G8" s="446" t="s">
        <v>772</v>
      </c>
      <c r="H8" s="449"/>
      <c r="I8" s="449"/>
    </row>
    <row r="9">
      <c r="A9" s="129" t="s">
        <v>1116</v>
      </c>
      <c r="B9" s="2"/>
      <c r="C9" s="3"/>
      <c r="D9" s="121">
        <v>1.0</v>
      </c>
      <c r="E9" s="130" t="s">
        <v>1117</v>
      </c>
      <c r="F9" s="450">
        <f>F8</f>
        <v>550</v>
      </c>
      <c r="G9" s="131"/>
      <c r="H9" s="439"/>
      <c r="I9" s="439"/>
    </row>
    <row r="10">
      <c r="A10" s="129" t="s">
        <v>800</v>
      </c>
      <c r="B10" s="2"/>
      <c r="C10" s="3"/>
      <c r="D10" s="121">
        <v>1.0</v>
      </c>
      <c r="E10" s="130" t="s">
        <v>1117</v>
      </c>
      <c r="F10" s="450">
        <f>F9/D9</f>
        <v>550</v>
      </c>
      <c r="G10" s="131"/>
      <c r="H10" s="439"/>
      <c r="I10" s="439"/>
    </row>
    <row r="11">
      <c r="A11" s="133" t="s">
        <v>802</v>
      </c>
      <c r="B11" s="2"/>
      <c r="C11" s="2"/>
      <c r="D11" s="3"/>
      <c r="E11" s="121"/>
      <c r="F11" s="450">
        <f>F10*1%</f>
        <v>5.5</v>
      </c>
      <c r="G11" s="131"/>
      <c r="H11" s="439"/>
      <c r="I11" s="439"/>
    </row>
    <row r="12">
      <c r="A12" s="133" t="s">
        <v>42</v>
      </c>
      <c r="B12" s="2"/>
      <c r="C12" s="2"/>
      <c r="D12" s="3"/>
      <c r="E12" s="131"/>
      <c r="F12" s="450">
        <f>F10+F11</f>
        <v>555.5</v>
      </c>
      <c r="G12" s="131"/>
      <c r="H12" s="439"/>
      <c r="I12" s="439"/>
    </row>
    <row r="13">
      <c r="A13" s="133" t="s">
        <v>806</v>
      </c>
      <c r="B13" s="2"/>
      <c r="C13" s="2"/>
      <c r="D13" s="3"/>
      <c r="E13" s="121"/>
      <c r="F13" s="450">
        <f>F12*15%</f>
        <v>83.325</v>
      </c>
      <c r="G13" s="131"/>
      <c r="H13" s="439"/>
      <c r="I13" s="439"/>
    </row>
    <row r="14">
      <c r="A14" s="133" t="s">
        <v>42</v>
      </c>
      <c r="B14" s="2"/>
      <c r="C14" s="2"/>
      <c r="D14" s="3"/>
      <c r="E14" s="131"/>
      <c r="F14" s="132">
        <f>round(F12+F13,2)</f>
        <v>638.83</v>
      </c>
      <c r="G14" s="131"/>
      <c r="H14" s="439"/>
      <c r="I14" s="439"/>
    </row>
    <row r="15">
      <c r="A15" s="124" t="s">
        <v>843</v>
      </c>
      <c r="B15" s="2"/>
      <c r="C15" s="2"/>
      <c r="D15" s="2"/>
      <c r="E15" s="2"/>
      <c r="F15" s="3"/>
      <c r="G15" s="125" t="s">
        <v>778</v>
      </c>
      <c r="H15" s="441"/>
      <c r="I15" s="441"/>
    </row>
    <row r="16">
      <c r="A16" s="127">
        <v>9999.0</v>
      </c>
      <c r="B16" s="126"/>
      <c r="C16" s="123" t="s">
        <v>1626</v>
      </c>
      <c r="D16" s="2"/>
      <c r="E16" s="3"/>
      <c r="F16" s="122"/>
      <c r="G16" s="3"/>
      <c r="H16" s="439"/>
      <c r="I16" s="439"/>
    </row>
    <row r="17">
      <c r="A17" s="20"/>
      <c r="B17" s="20"/>
      <c r="C17" s="120" t="s">
        <v>107</v>
      </c>
      <c r="D17" s="121">
        <v>2.73</v>
      </c>
      <c r="E17" s="121">
        <v>2.12</v>
      </c>
      <c r="F17" s="450">
        <f>D17*E17</f>
        <v>5.7876</v>
      </c>
      <c r="G17" s="451" t="s">
        <v>846</v>
      </c>
      <c r="H17" s="452"/>
      <c r="I17" s="452"/>
    </row>
    <row r="18">
      <c r="A18" s="127">
        <v>9999.0</v>
      </c>
      <c r="B18" s="126"/>
      <c r="C18" s="123" t="s">
        <v>1629</v>
      </c>
      <c r="D18" s="2"/>
      <c r="E18" s="3"/>
      <c r="F18" s="453"/>
      <c r="G18" s="3"/>
      <c r="H18" s="439"/>
      <c r="I18" s="439"/>
    </row>
    <row r="19">
      <c r="A19" s="20"/>
      <c r="B19" s="20"/>
      <c r="C19" s="120" t="s">
        <v>107</v>
      </c>
      <c r="D19" s="121">
        <v>9.36</v>
      </c>
      <c r="E19" s="121">
        <v>2.12</v>
      </c>
      <c r="F19" s="450">
        <f>D19*E19</f>
        <v>19.8432</v>
      </c>
      <c r="G19" s="451" t="s">
        <v>850</v>
      </c>
      <c r="H19" s="452"/>
      <c r="I19" s="452"/>
    </row>
    <row r="20">
      <c r="A20" s="129" t="s">
        <v>1633</v>
      </c>
      <c r="B20" s="2"/>
      <c r="C20" s="3"/>
      <c r="D20" s="121">
        <v>1.0</v>
      </c>
      <c r="E20" s="130" t="s">
        <v>1117</v>
      </c>
      <c r="F20" s="450">
        <f>F17+F19</f>
        <v>25.6308</v>
      </c>
      <c r="G20" s="454"/>
      <c r="H20" s="439"/>
      <c r="I20" s="439"/>
    </row>
    <row r="21">
      <c r="A21" s="129" t="s">
        <v>800</v>
      </c>
      <c r="B21" s="2"/>
      <c r="C21" s="3"/>
      <c r="D21" s="121">
        <v>1.0</v>
      </c>
      <c r="E21" s="130" t="s">
        <v>1117</v>
      </c>
      <c r="F21" s="450">
        <f>F20/D20</f>
        <v>25.6308</v>
      </c>
      <c r="G21" s="454"/>
      <c r="H21" s="439"/>
      <c r="I21" s="439"/>
    </row>
    <row r="22">
      <c r="A22" s="133" t="s">
        <v>802</v>
      </c>
      <c r="B22" s="2"/>
      <c r="C22" s="2"/>
      <c r="D22" s="3"/>
      <c r="E22" s="121"/>
      <c r="F22" s="450">
        <f>F21*1%</f>
        <v>0.256308</v>
      </c>
      <c r="G22" s="454"/>
      <c r="H22" s="439"/>
      <c r="I22" s="439"/>
    </row>
    <row r="23">
      <c r="A23" s="133" t="s">
        <v>42</v>
      </c>
      <c r="B23" s="2"/>
      <c r="C23" s="2"/>
      <c r="D23" s="3"/>
      <c r="E23" s="131"/>
      <c r="F23" s="450">
        <f>F21+F22</f>
        <v>25.887108</v>
      </c>
      <c r="G23" s="454"/>
      <c r="H23" s="439"/>
      <c r="I23" s="439"/>
    </row>
    <row r="24">
      <c r="A24" s="133" t="s">
        <v>806</v>
      </c>
      <c r="B24" s="2"/>
      <c r="C24" s="2"/>
      <c r="D24" s="3"/>
      <c r="E24" s="121"/>
      <c r="F24" s="450">
        <f>F23*15%</f>
        <v>3.8830662</v>
      </c>
      <c r="G24" s="454"/>
      <c r="H24" s="439"/>
      <c r="I24" s="439"/>
    </row>
    <row r="25">
      <c r="A25" s="133" t="s">
        <v>42</v>
      </c>
      <c r="B25" s="2"/>
      <c r="C25" s="2"/>
      <c r="D25" s="3"/>
      <c r="E25" s="131"/>
      <c r="F25" s="132">
        <f>round(F23+F24,2)</f>
        <v>29.77</v>
      </c>
      <c r="G25" s="131"/>
      <c r="H25" s="439"/>
      <c r="I25" s="439"/>
    </row>
    <row r="26">
      <c r="A26" s="455" t="str">
        <f>CONCATENATE("Say ₹ ",F14," + ",F25," x Cost Index")</f>
        <v>Say ₹ 638.83 + 29.77 x Cost Index</v>
      </c>
      <c r="B26" s="2"/>
      <c r="C26" s="2"/>
      <c r="D26" s="2"/>
      <c r="E26" s="2"/>
      <c r="F26" s="2"/>
      <c r="G26" s="3"/>
      <c r="H26" s="374">
        <f>((F8*1.01*1.15))</f>
        <v>638.825</v>
      </c>
      <c r="I26" s="374">
        <f>((SUM(F17,F19)*1.01*1.15))</f>
        <v>29.7701742</v>
      </c>
    </row>
    <row r="27">
      <c r="A27" s="111" t="s">
        <v>742</v>
      </c>
      <c r="B27" s="111" t="s">
        <v>745</v>
      </c>
      <c r="C27" s="112" t="s">
        <v>6</v>
      </c>
      <c r="D27" s="2"/>
      <c r="E27" s="3"/>
      <c r="F27" s="113" t="s">
        <v>746</v>
      </c>
      <c r="G27" s="3"/>
      <c r="H27" s="436"/>
      <c r="I27" s="436"/>
    </row>
    <row r="28">
      <c r="A28" s="20"/>
      <c r="B28" s="20"/>
      <c r="C28" s="115" t="s">
        <v>8</v>
      </c>
      <c r="D28" s="115" t="s">
        <v>9</v>
      </c>
      <c r="E28" s="115" t="s">
        <v>358</v>
      </c>
      <c r="F28" s="117" t="s">
        <v>11</v>
      </c>
      <c r="G28" s="115" t="s">
        <v>751</v>
      </c>
      <c r="H28" s="436"/>
      <c r="I28" s="436"/>
    </row>
    <row r="29">
      <c r="A29" s="456" t="s">
        <v>1640</v>
      </c>
      <c r="B29" s="2"/>
      <c r="C29" s="2"/>
      <c r="D29" s="2"/>
      <c r="E29" s="2"/>
      <c r="F29" s="2"/>
      <c r="G29" s="3"/>
      <c r="H29" s="438"/>
      <c r="I29" s="438"/>
    </row>
    <row r="30">
      <c r="A30" s="457"/>
      <c r="B30" s="446" t="s">
        <v>754</v>
      </c>
      <c r="C30" s="446" t="s">
        <v>1117</v>
      </c>
      <c r="D30" s="446" t="s">
        <v>757</v>
      </c>
      <c r="E30" s="447">
        <v>1.0</v>
      </c>
      <c r="F30" s="444"/>
      <c r="G30" s="3"/>
      <c r="H30" s="445"/>
      <c r="I30" s="445"/>
    </row>
    <row r="31">
      <c r="A31" s="446" t="s">
        <v>761</v>
      </c>
      <c r="B31" s="443" t="s">
        <v>1641</v>
      </c>
      <c r="C31" s="2"/>
      <c r="D31" s="2"/>
      <c r="E31" s="2"/>
      <c r="F31" s="2"/>
      <c r="G31" s="3"/>
      <c r="H31" s="458"/>
      <c r="I31" s="458"/>
    </row>
    <row r="32">
      <c r="A32" s="459" t="s">
        <v>764</v>
      </c>
      <c r="B32" s="2"/>
      <c r="C32" s="2"/>
      <c r="D32" s="2"/>
      <c r="E32" s="2"/>
      <c r="F32" s="3"/>
      <c r="G32" s="460" t="s">
        <v>766</v>
      </c>
      <c r="H32" s="461"/>
      <c r="I32" s="461"/>
    </row>
    <row r="33">
      <c r="A33" s="462"/>
      <c r="B33" s="442" t="s">
        <v>1643</v>
      </c>
      <c r="C33" s="443" t="s">
        <v>1645</v>
      </c>
      <c r="D33" s="2"/>
      <c r="E33" s="3"/>
      <c r="F33" s="444"/>
      <c r="G33" s="3"/>
      <c r="H33" s="445"/>
      <c r="I33" s="445"/>
    </row>
    <row r="34">
      <c r="A34" s="20"/>
      <c r="B34" s="20"/>
      <c r="C34" s="446" t="s">
        <v>43</v>
      </c>
      <c r="D34" s="447">
        <v>1.0</v>
      </c>
      <c r="E34" s="447">
        <f t="array" ref="E34">IFERROR(INDEX(LMRRates,MATCH(B33,LMRCodes,0), ), )</f>
        <v>52</v>
      </c>
      <c r="F34" s="463">
        <f>D34*E34</f>
        <v>52</v>
      </c>
      <c r="G34" s="446" t="s">
        <v>772</v>
      </c>
      <c r="H34" s="449"/>
      <c r="I34" s="449"/>
    </row>
    <row r="35">
      <c r="A35" s="129" t="s">
        <v>1116</v>
      </c>
      <c r="B35" s="2"/>
      <c r="C35" s="3"/>
      <c r="D35" s="121">
        <v>1.0</v>
      </c>
      <c r="E35" s="130" t="s">
        <v>1117</v>
      </c>
      <c r="F35" s="450">
        <f>F34</f>
        <v>52</v>
      </c>
      <c r="G35" s="131"/>
      <c r="H35" s="439"/>
      <c r="I35" s="439"/>
    </row>
    <row r="36">
      <c r="A36" s="129" t="s">
        <v>800</v>
      </c>
      <c r="B36" s="2"/>
      <c r="C36" s="3"/>
      <c r="D36" s="121">
        <v>1.0</v>
      </c>
      <c r="E36" s="130" t="s">
        <v>1117</v>
      </c>
      <c r="F36" s="450">
        <f>F35/D35</f>
        <v>52</v>
      </c>
      <c r="G36" s="131"/>
      <c r="H36" s="439"/>
      <c r="I36" s="439"/>
    </row>
    <row r="37">
      <c r="A37" s="133" t="s">
        <v>802</v>
      </c>
      <c r="B37" s="2"/>
      <c r="C37" s="2"/>
      <c r="D37" s="3"/>
      <c r="E37" s="121"/>
      <c r="F37" s="450">
        <f>F36*1%</f>
        <v>0.52</v>
      </c>
      <c r="G37" s="131"/>
      <c r="H37" s="439"/>
      <c r="I37" s="439"/>
    </row>
    <row r="38">
      <c r="A38" s="133" t="s">
        <v>42</v>
      </c>
      <c r="B38" s="2"/>
      <c r="C38" s="2"/>
      <c r="D38" s="3"/>
      <c r="E38" s="131"/>
      <c r="F38" s="450">
        <f>F36+F37</f>
        <v>52.52</v>
      </c>
      <c r="G38" s="131"/>
      <c r="H38" s="439"/>
      <c r="I38" s="439"/>
    </row>
    <row r="39">
      <c r="A39" s="133" t="s">
        <v>806</v>
      </c>
      <c r="B39" s="2"/>
      <c r="C39" s="2"/>
      <c r="D39" s="3"/>
      <c r="E39" s="121"/>
      <c r="F39" s="450">
        <f>F38*15%</f>
        <v>7.878</v>
      </c>
      <c r="G39" s="131"/>
      <c r="H39" s="439"/>
      <c r="I39" s="439"/>
    </row>
    <row r="40">
      <c r="A40" s="133" t="s">
        <v>42</v>
      </c>
      <c r="B40" s="2"/>
      <c r="C40" s="2"/>
      <c r="D40" s="3"/>
      <c r="E40" s="131"/>
      <c r="F40" s="132">
        <f>round(F38+F39,2)</f>
        <v>60.4</v>
      </c>
      <c r="G40" s="131"/>
      <c r="H40" s="439"/>
      <c r="I40" s="439"/>
    </row>
    <row r="41">
      <c r="A41" s="124" t="s">
        <v>843</v>
      </c>
      <c r="B41" s="2"/>
      <c r="C41" s="2"/>
      <c r="D41" s="2"/>
      <c r="E41" s="2"/>
      <c r="F41" s="3"/>
      <c r="G41" s="125" t="s">
        <v>778</v>
      </c>
      <c r="H41" s="441"/>
      <c r="I41" s="441"/>
    </row>
    <row r="42">
      <c r="A42" s="127">
        <v>9999.0</v>
      </c>
      <c r="B42" s="126"/>
      <c r="C42" s="123" t="s">
        <v>1651</v>
      </c>
      <c r="D42" s="2"/>
      <c r="E42" s="3"/>
      <c r="F42" s="122"/>
      <c r="G42" s="3"/>
      <c r="H42" s="439"/>
      <c r="I42" s="439"/>
    </row>
    <row r="43">
      <c r="A43" s="20"/>
      <c r="B43" s="20"/>
      <c r="C43" s="120" t="s">
        <v>107</v>
      </c>
      <c r="D43" s="121">
        <v>2.73</v>
      </c>
      <c r="E43" s="121">
        <v>2.12</v>
      </c>
      <c r="F43" s="128">
        <f>D43*E43</f>
        <v>5.7876</v>
      </c>
      <c r="G43" s="120" t="s">
        <v>846</v>
      </c>
      <c r="H43" s="452"/>
      <c r="I43" s="452"/>
    </row>
    <row r="44">
      <c r="A44" s="127">
        <v>9999.0</v>
      </c>
      <c r="B44" s="126"/>
      <c r="C44" s="123" t="s">
        <v>1629</v>
      </c>
      <c r="D44" s="2"/>
      <c r="E44" s="3"/>
      <c r="F44" s="122"/>
      <c r="G44" s="3"/>
      <c r="H44" s="439"/>
      <c r="I44" s="439"/>
    </row>
    <row r="45">
      <c r="A45" s="20"/>
      <c r="B45" s="20"/>
      <c r="C45" s="120" t="s">
        <v>107</v>
      </c>
      <c r="D45" s="121">
        <v>10.79</v>
      </c>
      <c r="E45" s="121">
        <v>2.12</v>
      </c>
      <c r="F45" s="128">
        <f>D45*E45</f>
        <v>22.8748</v>
      </c>
      <c r="G45" s="120" t="s">
        <v>850</v>
      </c>
      <c r="H45" s="452"/>
      <c r="I45" s="452"/>
    </row>
    <row r="46">
      <c r="A46" s="129" t="s">
        <v>1633</v>
      </c>
      <c r="B46" s="2"/>
      <c r="C46" s="3"/>
      <c r="D46" s="121">
        <v>1.0</v>
      </c>
      <c r="E46" s="130" t="s">
        <v>1117</v>
      </c>
      <c r="F46" s="450">
        <f>F43+F45</f>
        <v>28.6624</v>
      </c>
      <c r="G46" s="454"/>
      <c r="H46" s="439"/>
      <c r="I46" s="439"/>
    </row>
    <row r="47">
      <c r="A47" s="129" t="s">
        <v>800</v>
      </c>
      <c r="B47" s="2"/>
      <c r="C47" s="3"/>
      <c r="D47" s="121">
        <v>1.0</v>
      </c>
      <c r="E47" s="130" t="s">
        <v>1117</v>
      </c>
      <c r="F47" s="450">
        <f>F46/D46</f>
        <v>28.6624</v>
      </c>
      <c r="G47" s="454"/>
      <c r="H47" s="439"/>
      <c r="I47" s="439"/>
    </row>
    <row r="48">
      <c r="A48" s="133" t="s">
        <v>802</v>
      </c>
      <c r="B48" s="2"/>
      <c r="C48" s="2"/>
      <c r="D48" s="3"/>
      <c r="E48" s="121"/>
      <c r="F48" s="450">
        <f>F47*1%</f>
        <v>0.286624</v>
      </c>
      <c r="G48" s="454"/>
      <c r="H48" s="439"/>
      <c r="I48" s="439"/>
    </row>
    <row r="49">
      <c r="A49" s="133" t="s">
        <v>42</v>
      </c>
      <c r="B49" s="2"/>
      <c r="C49" s="2"/>
      <c r="D49" s="3"/>
      <c r="E49" s="131"/>
      <c r="F49" s="450">
        <f>F47+F48</f>
        <v>28.949024</v>
      </c>
      <c r="G49" s="454"/>
      <c r="H49" s="439"/>
      <c r="I49" s="439"/>
    </row>
    <row r="50">
      <c r="A50" s="133" t="s">
        <v>806</v>
      </c>
      <c r="B50" s="2"/>
      <c r="C50" s="2"/>
      <c r="D50" s="3"/>
      <c r="E50" s="121"/>
      <c r="F50" s="450">
        <f>F49*15%</f>
        <v>4.3423536</v>
      </c>
      <c r="G50" s="454"/>
      <c r="H50" s="439"/>
      <c r="I50" s="439"/>
    </row>
    <row r="51">
      <c r="A51" s="133" t="s">
        <v>42</v>
      </c>
      <c r="B51" s="2"/>
      <c r="C51" s="2"/>
      <c r="D51" s="3"/>
      <c r="E51" s="131"/>
      <c r="F51" s="132">
        <f>round(F49+F50,2)</f>
        <v>33.29</v>
      </c>
      <c r="G51" s="131"/>
      <c r="H51" s="439"/>
      <c r="I51" s="439"/>
    </row>
    <row r="52">
      <c r="A52" s="455" t="str">
        <f>CONCATENATE("Say ₹ ",F40," + ",F51," x Cost Index")</f>
        <v>Say ₹ 60.4 + 33.29 x Cost Index</v>
      </c>
      <c r="B52" s="2"/>
      <c r="C52" s="2"/>
      <c r="D52" s="2"/>
      <c r="E52" s="2"/>
      <c r="F52" s="2"/>
      <c r="G52" s="3"/>
      <c r="H52" s="374">
        <f>((F34*1.01*1.15))</f>
        <v>60.398</v>
      </c>
      <c r="I52" s="374">
        <f>((SUM(F43,F45)*1.01*1.15))</f>
        <v>33.2913776</v>
      </c>
    </row>
    <row r="53">
      <c r="A53" s="111" t="s">
        <v>742</v>
      </c>
      <c r="B53" s="111" t="s">
        <v>745</v>
      </c>
      <c r="C53" s="112" t="s">
        <v>6</v>
      </c>
      <c r="D53" s="2"/>
      <c r="E53" s="3"/>
      <c r="F53" s="113" t="s">
        <v>746</v>
      </c>
      <c r="G53" s="3"/>
      <c r="H53" s="436"/>
      <c r="I53" s="436"/>
    </row>
    <row r="54">
      <c r="A54" s="20"/>
      <c r="B54" s="20"/>
      <c r="C54" s="115" t="s">
        <v>8</v>
      </c>
      <c r="D54" s="115" t="s">
        <v>9</v>
      </c>
      <c r="E54" s="115" t="s">
        <v>358</v>
      </c>
      <c r="F54" s="117" t="s">
        <v>11</v>
      </c>
      <c r="G54" s="115" t="s">
        <v>751</v>
      </c>
      <c r="H54" s="436"/>
      <c r="I54" s="436"/>
    </row>
    <row r="55">
      <c r="A55" s="456" t="s">
        <v>1659</v>
      </c>
      <c r="B55" s="2"/>
      <c r="C55" s="2"/>
      <c r="D55" s="2"/>
      <c r="E55" s="2"/>
      <c r="F55" s="2"/>
      <c r="G55" s="3"/>
      <c r="H55" s="438"/>
      <c r="I55" s="438"/>
    </row>
    <row r="56">
      <c r="A56" s="457"/>
      <c r="B56" s="446" t="s">
        <v>754</v>
      </c>
      <c r="C56" s="446" t="s">
        <v>1117</v>
      </c>
      <c r="D56" s="446" t="s">
        <v>757</v>
      </c>
      <c r="E56" s="447">
        <v>1.0</v>
      </c>
      <c r="F56" s="444"/>
      <c r="G56" s="3"/>
      <c r="H56" s="445"/>
      <c r="I56" s="445"/>
    </row>
    <row r="57">
      <c r="A57" s="446" t="s">
        <v>761</v>
      </c>
      <c r="B57" s="443" t="s">
        <v>1641</v>
      </c>
      <c r="C57" s="2"/>
      <c r="D57" s="2"/>
      <c r="E57" s="2"/>
      <c r="F57" s="2"/>
      <c r="G57" s="3"/>
      <c r="H57" s="458"/>
      <c r="I57" s="458"/>
    </row>
    <row r="58">
      <c r="A58" s="459" t="s">
        <v>764</v>
      </c>
      <c r="B58" s="2"/>
      <c r="C58" s="2"/>
      <c r="D58" s="2"/>
      <c r="E58" s="2"/>
      <c r="F58" s="3"/>
      <c r="G58" s="460" t="s">
        <v>766</v>
      </c>
      <c r="H58" s="461"/>
      <c r="I58" s="461"/>
    </row>
    <row r="59">
      <c r="A59" s="462"/>
      <c r="B59" s="442" t="s">
        <v>1661</v>
      </c>
      <c r="C59" s="443" t="s">
        <v>1662</v>
      </c>
      <c r="D59" s="2"/>
      <c r="E59" s="3"/>
      <c r="F59" s="444"/>
      <c r="G59" s="3"/>
      <c r="H59" s="445"/>
      <c r="I59" s="445"/>
    </row>
    <row r="60">
      <c r="A60" s="20"/>
      <c r="B60" s="20"/>
      <c r="C60" s="446" t="s">
        <v>43</v>
      </c>
      <c r="D60" s="447">
        <v>1.0</v>
      </c>
      <c r="E60" s="447">
        <f t="array" ref="E60">IFERROR(INDEX(LMRRates,MATCH(B59,LMRCodes,0), ), )</f>
        <v>160</v>
      </c>
      <c r="F60" s="463">
        <f>D60*E60</f>
        <v>160</v>
      </c>
      <c r="G60" s="446" t="s">
        <v>772</v>
      </c>
      <c r="H60" s="449"/>
      <c r="I60" s="449"/>
    </row>
    <row r="61">
      <c r="A61" s="129" t="s">
        <v>1116</v>
      </c>
      <c r="B61" s="2"/>
      <c r="C61" s="3"/>
      <c r="D61" s="121">
        <v>1.0</v>
      </c>
      <c r="E61" s="130" t="s">
        <v>1117</v>
      </c>
      <c r="F61" s="450">
        <f>F60</f>
        <v>160</v>
      </c>
      <c r="G61" s="131"/>
      <c r="H61" s="439"/>
      <c r="I61" s="439"/>
    </row>
    <row r="62">
      <c r="A62" s="129" t="s">
        <v>800</v>
      </c>
      <c r="B62" s="2"/>
      <c r="C62" s="3"/>
      <c r="D62" s="121">
        <v>1.0</v>
      </c>
      <c r="E62" s="130" t="s">
        <v>1117</v>
      </c>
      <c r="F62" s="450">
        <f>F61/D61</f>
        <v>160</v>
      </c>
      <c r="G62" s="131"/>
      <c r="H62" s="439"/>
      <c r="I62" s="439"/>
    </row>
    <row r="63">
      <c r="A63" s="133" t="s">
        <v>802</v>
      </c>
      <c r="B63" s="2"/>
      <c r="C63" s="2"/>
      <c r="D63" s="3"/>
      <c r="E63" s="121"/>
      <c r="F63" s="450">
        <f>F62*1%</f>
        <v>1.6</v>
      </c>
      <c r="G63" s="131"/>
      <c r="H63" s="439"/>
      <c r="I63" s="439"/>
    </row>
    <row r="64">
      <c r="A64" s="133" t="s">
        <v>42</v>
      </c>
      <c r="B64" s="2"/>
      <c r="C64" s="2"/>
      <c r="D64" s="3"/>
      <c r="E64" s="131"/>
      <c r="F64" s="450">
        <f>F62+F63</f>
        <v>161.6</v>
      </c>
      <c r="G64" s="131"/>
      <c r="H64" s="439"/>
      <c r="I64" s="439"/>
    </row>
    <row r="65">
      <c r="A65" s="133" t="s">
        <v>806</v>
      </c>
      <c r="B65" s="2"/>
      <c r="C65" s="2"/>
      <c r="D65" s="3"/>
      <c r="E65" s="121"/>
      <c r="F65" s="450">
        <f>F64*15%</f>
        <v>24.24</v>
      </c>
      <c r="G65" s="131"/>
      <c r="H65" s="439"/>
      <c r="I65" s="439"/>
    </row>
    <row r="66">
      <c r="A66" s="133" t="s">
        <v>42</v>
      </c>
      <c r="B66" s="2"/>
      <c r="C66" s="2"/>
      <c r="D66" s="3"/>
      <c r="E66" s="131"/>
      <c r="F66" s="132">
        <f>round(F64+F65,2)</f>
        <v>185.84</v>
      </c>
      <c r="G66" s="131"/>
      <c r="H66" s="439"/>
      <c r="I66" s="439"/>
    </row>
    <row r="67">
      <c r="A67" s="124" t="s">
        <v>843</v>
      </c>
      <c r="B67" s="2"/>
      <c r="C67" s="2"/>
      <c r="D67" s="2"/>
      <c r="E67" s="2"/>
      <c r="F67" s="3"/>
      <c r="G67" s="125" t="s">
        <v>778</v>
      </c>
      <c r="H67" s="441"/>
      <c r="I67" s="441"/>
    </row>
    <row r="68">
      <c r="A68" s="127">
        <v>9999.0</v>
      </c>
      <c r="B68" s="126"/>
      <c r="C68" s="123" t="s">
        <v>1651</v>
      </c>
      <c r="D68" s="2"/>
      <c r="E68" s="3"/>
      <c r="F68" s="122"/>
      <c r="G68" s="3"/>
      <c r="H68" s="439"/>
      <c r="I68" s="439"/>
    </row>
    <row r="69">
      <c r="A69" s="20"/>
      <c r="B69" s="20"/>
      <c r="C69" s="120" t="s">
        <v>107</v>
      </c>
      <c r="D69" s="121">
        <v>2.73</v>
      </c>
      <c r="E69" s="121">
        <v>2.12</v>
      </c>
      <c r="F69" s="128">
        <f>D69*E69</f>
        <v>5.7876</v>
      </c>
      <c r="G69" s="120" t="s">
        <v>846</v>
      </c>
      <c r="H69" s="452"/>
      <c r="I69" s="452"/>
    </row>
    <row r="70">
      <c r="A70" s="127">
        <v>9999.0</v>
      </c>
      <c r="B70" s="126"/>
      <c r="C70" s="123" t="s">
        <v>1629</v>
      </c>
      <c r="D70" s="2"/>
      <c r="E70" s="3"/>
      <c r="F70" s="122"/>
      <c r="G70" s="3"/>
      <c r="H70" s="439"/>
      <c r="I70" s="439"/>
    </row>
    <row r="71">
      <c r="A71" s="20"/>
      <c r="B71" s="20"/>
      <c r="C71" s="120" t="s">
        <v>107</v>
      </c>
      <c r="D71" s="121">
        <v>10.79</v>
      </c>
      <c r="E71" s="121">
        <v>2.12</v>
      </c>
      <c r="F71" s="128">
        <f>D71*E71</f>
        <v>22.8748</v>
      </c>
      <c r="G71" s="120" t="s">
        <v>850</v>
      </c>
      <c r="H71" s="452"/>
      <c r="I71" s="452"/>
    </row>
    <row r="72">
      <c r="A72" s="129" t="s">
        <v>1633</v>
      </c>
      <c r="B72" s="2"/>
      <c r="C72" s="3"/>
      <c r="D72" s="121">
        <v>1.0</v>
      </c>
      <c r="E72" s="130" t="s">
        <v>1117</v>
      </c>
      <c r="F72" s="450">
        <f>F69+F71</f>
        <v>28.6624</v>
      </c>
      <c r="G72" s="454"/>
      <c r="H72" s="439"/>
      <c r="I72" s="439"/>
    </row>
    <row r="73">
      <c r="A73" s="129" t="s">
        <v>800</v>
      </c>
      <c r="B73" s="2"/>
      <c r="C73" s="3"/>
      <c r="D73" s="121">
        <v>1.0</v>
      </c>
      <c r="E73" s="130" t="s">
        <v>1117</v>
      </c>
      <c r="F73" s="450">
        <f>F72/D72</f>
        <v>28.6624</v>
      </c>
      <c r="G73" s="454"/>
      <c r="H73" s="439"/>
      <c r="I73" s="439"/>
    </row>
    <row r="74">
      <c r="A74" s="133" t="s">
        <v>802</v>
      </c>
      <c r="B74" s="2"/>
      <c r="C74" s="2"/>
      <c r="D74" s="3"/>
      <c r="E74" s="121"/>
      <c r="F74" s="450">
        <f>F73*1%</f>
        <v>0.286624</v>
      </c>
      <c r="G74" s="454"/>
      <c r="H74" s="439"/>
      <c r="I74" s="439"/>
    </row>
    <row r="75">
      <c r="A75" s="133" t="s">
        <v>42</v>
      </c>
      <c r="B75" s="2"/>
      <c r="C75" s="2"/>
      <c r="D75" s="3"/>
      <c r="E75" s="131"/>
      <c r="F75" s="450">
        <f>F73+F74</f>
        <v>28.949024</v>
      </c>
      <c r="G75" s="454"/>
      <c r="H75" s="439"/>
      <c r="I75" s="439"/>
    </row>
    <row r="76">
      <c r="A76" s="133" t="s">
        <v>806</v>
      </c>
      <c r="B76" s="2"/>
      <c r="C76" s="2"/>
      <c r="D76" s="3"/>
      <c r="E76" s="121"/>
      <c r="F76" s="450">
        <f>F75*15%</f>
        <v>4.3423536</v>
      </c>
      <c r="G76" s="454"/>
      <c r="H76" s="439"/>
      <c r="I76" s="439"/>
    </row>
    <row r="77">
      <c r="A77" s="133" t="s">
        <v>42</v>
      </c>
      <c r="B77" s="2"/>
      <c r="C77" s="2"/>
      <c r="D77" s="3"/>
      <c r="E77" s="131"/>
      <c r="F77" s="132">
        <f>round(F75+F76,2)</f>
        <v>33.29</v>
      </c>
      <c r="G77" s="131"/>
      <c r="H77" s="439"/>
      <c r="I77" s="439"/>
    </row>
    <row r="78">
      <c r="A78" s="455" t="str">
        <f>CONCATENATE("Say ₹ ",F66," + ",F77," x Cost Index")</f>
        <v>Say ₹ 185.84 + 33.29 x Cost Index</v>
      </c>
      <c r="B78" s="2"/>
      <c r="C78" s="2"/>
      <c r="D78" s="2"/>
      <c r="E78" s="2"/>
      <c r="F78" s="2"/>
      <c r="G78" s="3"/>
      <c r="H78" s="374">
        <f>((F60*1.01*1.15))</f>
        <v>185.84</v>
      </c>
      <c r="I78" s="374">
        <f>((SUM(F69,F71)*1.01*1.15))</f>
        <v>33.2913776</v>
      </c>
    </row>
    <row r="79">
      <c r="A79" s="111" t="s">
        <v>742</v>
      </c>
      <c r="B79" s="111" t="s">
        <v>745</v>
      </c>
      <c r="C79" s="112" t="s">
        <v>6</v>
      </c>
      <c r="D79" s="2"/>
      <c r="E79" s="3"/>
      <c r="F79" s="113" t="s">
        <v>746</v>
      </c>
      <c r="G79" s="3"/>
      <c r="H79" s="436"/>
      <c r="I79" s="436"/>
    </row>
    <row r="80">
      <c r="A80" s="20"/>
      <c r="B80" s="20"/>
      <c r="C80" s="115" t="s">
        <v>8</v>
      </c>
      <c r="D80" s="115" t="s">
        <v>9</v>
      </c>
      <c r="E80" s="115" t="s">
        <v>358</v>
      </c>
      <c r="F80" s="117" t="s">
        <v>11</v>
      </c>
      <c r="G80" s="115" t="s">
        <v>751</v>
      </c>
      <c r="H80" s="436"/>
      <c r="I80" s="436"/>
    </row>
    <row r="81">
      <c r="A81" s="456" t="s">
        <v>1676</v>
      </c>
      <c r="B81" s="2"/>
      <c r="C81" s="2"/>
      <c r="D81" s="2"/>
      <c r="E81" s="2"/>
      <c r="F81" s="2"/>
      <c r="G81" s="3"/>
      <c r="H81" s="438"/>
      <c r="I81" s="438"/>
    </row>
    <row r="82">
      <c r="A82" s="457"/>
      <c r="B82" s="446" t="s">
        <v>754</v>
      </c>
      <c r="C82" s="446" t="s">
        <v>1117</v>
      </c>
      <c r="D82" s="446" t="s">
        <v>757</v>
      </c>
      <c r="E82" s="447">
        <v>1.0</v>
      </c>
      <c r="F82" s="444"/>
      <c r="G82" s="3"/>
      <c r="H82" s="445"/>
      <c r="I82" s="445"/>
    </row>
    <row r="83">
      <c r="A83" s="446" t="s">
        <v>761</v>
      </c>
      <c r="B83" s="443" t="s">
        <v>1641</v>
      </c>
      <c r="C83" s="2"/>
      <c r="D83" s="2"/>
      <c r="E83" s="2"/>
      <c r="F83" s="2"/>
      <c r="G83" s="3"/>
      <c r="H83" s="458"/>
      <c r="I83" s="458"/>
    </row>
    <row r="84">
      <c r="A84" s="459" t="s">
        <v>764</v>
      </c>
      <c r="B84" s="2"/>
      <c r="C84" s="2"/>
      <c r="D84" s="2"/>
      <c r="E84" s="2"/>
      <c r="F84" s="3"/>
      <c r="G84" s="460" t="s">
        <v>766</v>
      </c>
      <c r="H84" s="461"/>
      <c r="I84" s="461"/>
    </row>
    <row r="85">
      <c r="A85" s="462"/>
      <c r="B85" s="442" t="s">
        <v>1680</v>
      </c>
      <c r="C85" s="443" t="s">
        <v>1681</v>
      </c>
      <c r="D85" s="2"/>
      <c r="E85" s="3"/>
      <c r="F85" s="444"/>
      <c r="G85" s="3"/>
      <c r="H85" s="445"/>
      <c r="I85" s="445"/>
    </row>
    <row r="86">
      <c r="A86" s="20"/>
      <c r="B86" s="20"/>
      <c r="C86" s="446" t="s">
        <v>43</v>
      </c>
      <c r="D86" s="447">
        <v>1.0</v>
      </c>
      <c r="E86" s="447">
        <f t="array" ref="E86">IFERROR(INDEX(LMRRates,MATCH(B85,LMRCodes,0), ), )</f>
        <v>185</v>
      </c>
      <c r="F86" s="463">
        <f>D86*E86</f>
        <v>185</v>
      </c>
      <c r="G86" s="446" t="s">
        <v>772</v>
      </c>
      <c r="H86" s="449"/>
      <c r="I86" s="449"/>
    </row>
    <row r="87">
      <c r="A87" s="129" t="s">
        <v>1116</v>
      </c>
      <c r="B87" s="2"/>
      <c r="C87" s="3"/>
      <c r="D87" s="121">
        <v>1.0</v>
      </c>
      <c r="E87" s="130" t="s">
        <v>1117</v>
      </c>
      <c r="F87" s="450">
        <f>F86</f>
        <v>185</v>
      </c>
      <c r="G87" s="131"/>
      <c r="H87" s="439"/>
      <c r="I87" s="439"/>
    </row>
    <row r="88">
      <c r="A88" s="129" t="s">
        <v>800</v>
      </c>
      <c r="B88" s="2"/>
      <c r="C88" s="3"/>
      <c r="D88" s="121">
        <v>1.0</v>
      </c>
      <c r="E88" s="130" t="s">
        <v>1117</v>
      </c>
      <c r="F88" s="450">
        <f>F87/D87</f>
        <v>185</v>
      </c>
      <c r="G88" s="131"/>
      <c r="H88" s="439"/>
      <c r="I88" s="439"/>
    </row>
    <row r="89">
      <c r="A89" s="133" t="s">
        <v>802</v>
      </c>
      <c r="B89" s="2"/>
      <c r="C89" s="2"/>
      <c r="D89" s="3"/>
      <c r="E89" s="121"/>
      <c r="F89" s="450">
        <f>F88*1%</f>
        <v>1.85</v>
      </c>
      <c r="G89" s="131"/>
      <c r="H89" s="439"/>
      <c r="I89" s="439"/>
    </row>
    <row r="90">
      <c r="A90" s="133" t="s">
        <v>42</v>
      </c>
      <c r="B90" s="2"/>
      <c r="C90" s="2"/>
      <c r="D90" s="3"/>
      <c r="E90" s="131"/>
      <c r="F90" s="450">
        <f>F88+F89</f>
        <v>186.85</v>
      </c>
      <c r="G90" s="131"/>
      <c r="H90" s="439"/>
      <c r="I90" s="439"/>
    </row>
    <row r="91">
      <c r="A91" s="133" t="s">
        <v>806</v>
      </c>
      <c r="B91" s="2"/>
      <c r="C91" s="2"/>
      <c r="D91" s="3"/>
      <c r="E91" s="121"/>
      <c r="F91" s="450">
        <f>F90*15%</f>
        <v>28.0275</v>
      </c>
      <c r="G91" s="131"/>
      <c r="H91" s="439"/>
      <c r="I91" s="439"/>
    </row>
    <row r="92">
      <c r="A92" s="133" t="s">
        <v>42</v>
      </c>
      <c r="B92" s="2"/>
      <c r="C92" s="2"/>
      <c r="D92" s="3"/>
      <c r="E92" s="131"/>
      <c r="F92" s="132">
        <f>round(F90+F91,2)</f>
        <v>214.88</v>
      </c>
      <c r="G92" s="131"/>
      <c r="H92" s="439"/>
      <c r="I92" s="439"/>
    </row>
    <row r="93">
      <c r="A93" s="124" t="s">
        <v>843</v>
      </c>
      <c r="B93" s="2"/>
      <c r="C93" s="2"/>
      <c r="D93" s="2"/>
      <c r="E93" s="2"/>
      <c r="F93" s="3"/>
      <c r="G93" s="125" t="s">
        <v>778</v>
      </c>
      <c r="H93" s="441"/>
      <c r="I93" s="441"/>
    </row>
    <row r="94">
      <c r="A94" s="127">
        <v>9999.0</v>
      </c>
      <c r="B94" s="126"/>
      <c r="C94" s="123" t="s">
        <v>1651</v>
      </c>
      <c r="D94" s="2"/>
      <c r="E94" s="3"/>
      <c r="F94" s="122"/>
      <c r="G94" s="3"/>
      <c r="H94" s="439"/>
      <c r="I94" s="439"/>
    </row>
    <row r="95">
      <c r="A95" s="20"/>
      <c r="B95" s="20"/>
      <c r="C95" s="120" t="s">
        <v>107</v>
      </c>
      <c r="D95" s="121">
        <v>2.73</v>
      </c>
      <c r="E95" s="121">
        <v>2.12</v>
      </c>
      <c r="F95" s="128">
        <f>D95*E95</f>
        <v>5.7876</v>
      </c>
      <c r="G95" s="120" t="s">
        <v>846</v>
      </c>
      <c r="H95" s="452"/>
      <c r="I95" s="452"/>
    </row>
    <row r="96">
      <c r="A96" s="127">
        <v>9999.0</v>
      </c>
      <c r="B96" s="126"/>
      <c r="C96" s="123" t="s">
        <v>1629</v>
      </c>
      <c r="D96" s="2"/>
      <c r="E96" s="3"/>
      <c r="F96" s="122"/>
      <c r="G96" s="3"/>
      <c r="H96" s="439"/>
      <c r="I96" s="439"/>
    </row>
    <row r="97">
      <c r="A97" s="20"/>
      <c r="B97" s="20"/>
      <c r="C97" s="120" t="s">
        <v>107</v>
      </c>
      <c r="D97" s="121">
        <v>10.79</v>
      </c>
      <c r="E97" s="121">
        <v>2.12</v>
      </c>
      <c r="F97" s="450">
        <f>D97*E97</f>
        <v>22.8748</v>
      </c>
      <c r="G97" s="120" t="s">
        <v>850</v>
      </c>
      <c r="H97" s="452"/>
      <c r="I97" s="452"/>
    </row>
    <row r="98">
      <c r="A98" s="129" t="s">
        <v>1633</v>
      </c>
      <c r="B98" s="2"/>
      <c r="C98" s="3"/>
      <c r="D98" s="121">
        <v>1.0</v>
      </c>
      <c r="E98" s="130" t="s">
        <v>1117</v>
      </c>
      <c r="F98" s="450">
        <f>F95+F97</f>
        <v>28.6624</v>
      </c>
      <c r="G98" s="454"/>
      <c r="H98" s="439"/>
      <c r="I98" s="439"/>
    </row>
    <row r="99">
      <c r="A99" s="129" t="s">
        <v>800</v>
      </c>
      <c r="B99" s="2"/>
      <c r="C99" s="3"/>
      <c r="D99" s="121">
        <v>1.0</v>
      </c>
      <c r="E99" s="130" t="s">
        <v>1117</v>
      </c>
      <c r="F99" s="450">
        <f>F98/D98</f>
        <v>28.6624</v>
      </c>
      <c r="G99" s="454"/>
      <c r="H99" s="439"/>
      <c r="I99" s="439"/>
    </row>
    <row r="100">
      <c r="A100" s="133" t="s">
        <v>802</v>
      </c>
      <c r="B100" s="2"/>
      <c r="C100" s="2"/>
      <c r="D100" s="3"/>
      <c r="E100" s="121"/>
      <c r="F100" s="450">
        <f>F99*1%</f>
        <v>0.286624</v>
      </c>
      <c r="G100" s="454"/>
      <c r="H100" s="439"/>
      <c r="I100" s="439"/>
    </row>
    <row r="101">
      <c r="A101" s="133" t="s">
        <v>42</v>
      </c>
      <c r="B101" s="2"/>
      <c r="C101" s="2"/>
      <c r="D101" s="3"/>
      <c r="E101" s="131"/>
      <c r="F101" s="450">
        <f>F99+F100</f>
        <v>28.949024</v>
      </c>
      <c r="G101" s="454"/>
      <c r="H101" s="439"/>
      <c r="I101" s="439"/>
    </row>
    <row r="102">
      <c r="A102" s="133" t="s">
        <v>806</v>
      </c>
      <c r="B102" s="2"/>
      <c r="C102" s="2"/>
      <c r="D102" s="3"/>
      <c r="E102" s="121"/>
      <c r="F102" s="450">
        <f>F101*15%</f>
        <v>4.3423536</v>
      </c>
      <c r="G102" s="454"/>
      <c r="H102" s="439"/>
      <c r="I102" s="439"/>
    </row>
    <row r="103">
      <c r="A103" s="133" t="s">
        <v>42</v>
      </c>
      <c r="B103" s="2"/>
      <c r="C103" s="2"/>
      <c r="D103" s="3"/>
      <c r="E103" s="131"/>
      <c r="F103" s="132">
        <f>round(F101+F102,2)</f>
        <v>33.29</v>
      </c>
      <c r="G103" s="131"/>
      <c r="H103" s="439"/>
      <c r="I103" s="439"/>
    </row>
    <row r="104">
      <c r="A104" s="455" t="str">
        <f>CONCATENATE("Say ₹ ",F92," + ",F103," x Cost Index")</f>
        <v>Say ₹ 214.88 + 33.29 x Cost Index</v>
      </c>
      <c r="B104" s="2"/>
      <c r="C104" s="2"/>
      <c r="D104" s="2"/>
      <c r="E104" s="2"/>
      <c r="F104" s="2"/>
      <c r="G104" s="3"/>
      <c r="H104" s="374">
        <f>((F86*1.01*1.15))</f>
        <v>214.8775</v>
      </c>
      <c r="I104" s="374">
        <f>((SUM(F95,F97)*1.01*1.15))</f>
        <v>33.2913776</v>
      </c>
    </row>
    <row r="105">
      <c r="A105" s="111" t="s">
        <v>742</v>
      </c>
      <c r="B105" s="111" t="s">
        <v>745</v>
      </c>
      <c r="C105" s="112" t="s">
        <v>6</v>
      </c>
      <c r="D105" s="2"/>
      <c r="E105" s="3"/>
      <c r="F105" s="113" t="s">
        <v>746</v>
      </c>
      <c r="G105" s="3"/>
      <c r="H105" s="436"/>
      <c r="I105" s="436"/>
    </row>
    <row r="106">
      <c r="A106" s="20"/>
      <c r="B106" s="20"/>
      <c r="C106" s="115" t="s">
        <v>8</v>
      </c>
      <c r="D106" s="115" t="s">
        <v>9</v>
      </c>
      <c r="E106" s="115" t="s">
        <v>358</v>
      </c>
      <c r="F106" s="117" t="s">
        <v>11</v>
      </c>
      <c r="G106" s="115" t="s">
        <v>751</v>
      </c>
      <c r="H106" s="436"/>
      <c r="I106" s="436"/>
    </row>
    <row r="107">
      <c r="A107" s="456" t="s">
        <v>1694</v>
      </c>
      <c r="B107" s="2"/>
      <c r="C107" s="2"/>
      <c r="D107" s="2"/>
      <c r="E107" s="2"/>
      <c r="F107" s="2"/>
      <c r="G107" s="3"/>
      <c r="H107" s="438"/>
      <c r="I107" s="438"/>
    </row>
    <row r="108">
      <c r="A108" s="457"/>
      <c r="B108" s="446" t="s">
        <v>754</v>
      </c>
      <c r="C108" s="446" t="s">
        <v>1117</v>
      </c>
      <c r="D108" s="446" t="s">
        <v>757</v>
      </c>
      <c r="E108" s="447">
        <v>1.0</v>
      </c>
      <c r="F108" s="444"/>
      <c r="G108" s="3"/>
      <c r="H108" s="445"/>
      <c r="I108" s="445"/>
    </row>
    <row r="109">
      <c r="A109" s="446" t="s">
        <v>761</v>
      </c>
      <c r="B109" s="443" t="s">
        <v>1641</v>
      </c>
      <c r="C109" s="2"/>
      <c r="D109" s="2"/>
      <c r="E109" s="2"/>
      <c r="F109" s="2"/>
      <c r="G109" s="3"/>
      <c r="H109" s="458"/>
      <c r="I109" s="458"/>
    </row>
    <row r="110">
      <c r="A110" s="459" t="s">
        <v>764</v>
      </c>
      <c r="B110" s="2"/>
      <c r="C110" s="2"/>
      <c r="D110" s="2"/>
      <c r="E110" s="2"/>
      <c r="F110" s="3"/>
      <c r="G110" s="460" t="s">
        <v>766</v>
      </c>
      <c r="H110" s="461"/>
      <c r="I110" s="461"/>
    </row>
    <row r="111">
      <c r="A111" s="462"/>
      <c r="B111" s="442" t="s">
        <v>1696</v>
      </c>
      <c r="C111" s="443" t="s">
        <v>1697</v>
      </c>
      <c r="D111" s="2"/>
      <c r="E111" s="3"/>
      <c r="F111" s="444"/>
      <c r="G111" s="3"/>
      <c r="H111" s="445"/>
      <c r="I111" s="445"/>
    </row>
    <row r="112">
      <c r="A112" s="20"/>
      <c r="B112" s="20"/>
      <c r="C112" s="446" t="s">
        <v>43</v>
      </c>
      <c r="D112" s="447">
        <v>1.0</v>
      </c>
      <c r="E112" s="447">
        <f t="array" ref="E112">IFERROR(INDEX(LMRRates,MATCH(B111,LMRCodes,0), ), )</f>
        <v>211</v>
      </c>
      <c r="F112" s="463">
        <f>D112*E112</f>
        <v>211</v>
      </c>
      <c r="G112" s="446" t="s">
        <v>772</v>
      </c>
      <c r="H112" s="449"/>
      <c r="I112" s="449"/>
    </row>
    <row r="113">
      <c r="A113" s="129" t="s">
        <v>1116</v>
      </c>
      <c r="B113" s="2"/>
      <c r="C113" s="3"/>
      <c r="D113" s="121">
        <v>1.0</v>
      </c>
      <c r="E113" s="130" t="s">
        <v>1117</v>
      </c>
      <c r="F113" s="450">
        <f>F112</f>
        <v>211</v>
      </c>
      <c r="G113" s="131"/>
      <c r="H113" s="439"/>
      <c r="I113" s="439"/>
    </row>
    <row r="114">
      <c r="A114" s="129" t="s">
        <v>800</v>
      </c>
      <c r="B114" s="2"/>
      <c r="C114" s="3"/>
      <c r="D114" s="121">
        <v>1.0</v>
      </c>
      <c r="E114" s="130" t="s">
        <v>1117</v>
      </c>
      <c r="F114" s="450">
        <f>F113/D113</f>
        <v>211</v>
      </c>
      <c r="G114" s="131"/>
      <c r="H114" s="439"/>
      <c r="I114" s="439"/>
    </row>
    <row r="115">
      <c r="A115" s="133" t="s">
        <v>802</v>
      </c>
      <c r="B115" s="2"/>
      <c r="C115" s="2"/>
      <c r="D115" s="3"/>
      <c r="E115" s="121"/>
      <c r="F115" s="450">
        <f>F114*1%</f>
        <v>2.11</v>
      </c>
      <c r="G115" s="131"/>
      <c r="H115" s="439"/>
      <c r="I115" s="439"/>
    </row>
    <row r="116">
      <c r="A116" s="133" t="s">
        <v>42</v>
      </c>
      <c r="B116" s="2"/>
      <c r="C116" s="2"/>
      <c r="D116" s="3"/>
      <c r="E116" s="131"/>
      <c r="F116" s="450">
        <f>F114+F115</f>
        <v>213.11</v>
      </c>
      <c r="G116" s="131"/>
      <c r="H116" s="439"/>
      <c r="I116" s="439"/>
    </row>
    <row r="117">
      <c r="A117" s="133" t="s">
        <v>806</v>
      </c>
      <c r="B117" s="2"/>
      <c r="C117" s="2"/>
      <c r="D117" s="3"/>
      <c r="E117" s="121"/>
      <c r="F117" s="450">
        <f>F116*15%</f>
        <v>31.9665</v>
      </c>
      <c r="G117" s="131"/>
      <c r="H117" s="439"/>
      <c r="I117" s="439"/>
    </row>
    <row r="118">
      <c r="A118" s="133" t="s">
        <v>42</v>
      </c>
      <c r="B118" s="2"/>
      <c r="C118" s="2"/>
      <c r="D118" s="3"/>
      <c r="E118" s="131"/>
      <c r="F118" s="132">
        <f>round(F116+F117,2)</f>
        <v>245.08</v>
      </c>
      <c r="G118" s="131"/>
      <c r="H118" s="439"/>
      <c r="I118" s="439"/>
    </row>
    <row r="119">
      <c r="A119" s="124" t="s">
        <v>843</v>
      </c>
      <c r="B119" s="2"/>
      <c r="C119" s="2"/>
      <c r="D119" s="2"/>
      <c r="E119" s="2"/>
      <c r="F119" s="3"/>
      <c r="G119" s="125" t="s">
        <v>778</v>
      </c>
      <c r="H119" s="441"/>
      <c r="I119" s="441"/>
    </row>
    <row r="120">
      <c r="A120" s="127">
        <v>9999.0</v>
      </c>
      <c r="B120" s="126"/>
      <c r="C120" s="123" t="s">
        <v>1651</v>
      </c>
      <c r="D120" s="2"/>
      <c r="E120" s="3"/>
      <c r="F120" s="122"/>
      <c r="G120" s="3"/>
      <c r="H120" s="439"/>
      <c r="I120" s="439"/>
    </row>
    <row r="121">
      <c r="A121" s="20"/>
      <c r="B121" s="20"/>
      <c r="C121" s="120" t="s">
        <v>107</v>
      </c>
      <c r="D121" s="121">
        <v>2.73</v>
      </c>
      <c r="E121" s="121">
        <v>2.12</v>
      </c>
      <c r="F121" s="128">
        <f>D121*E121</f>
        <v>5.7876</v>
      </c>
      <c r="G121" s="120" t="s">
        <v>846</v>
      </c>
      <c r="H121" s="452"/>
      <c r="I121" s="452"/>
    </row>
    <row r="122">
      <c r="A122" s="127">
        <v>9999.0</v>
      </c>
      <c r="B122" s="126"/>
      <c r="C122" s="123" t="s">
        <v>1629</v>
      </c>
      <c r="D122" s="2"/>
      <c r="E122" s="3"/>
      <c r="F122" s="122"/>
      <c r="G122" s="3"/>
      <c r="H122" s="439"/>
      <c r="I122" s="439"/>
    </row>
    <row r="123">
      <c r="A123" s="20"/>
      <c r="B123" s="20"/>
      <c r="C123" s="120" t="s">
        <v>107</v>
      </c>
      <c r="D123" s="121">
        <v>10.79</v>
      </c>
      <c r="E123" s="121">
        <v>2.12</v>
      </c>
      <c r="F123" s="128">
        <f>D123*E123</f>
        <v>22.8748</v>
      </c>
      <c r="G123" s="120" t="s">
        <v>850</v>
      </c>
      <c r="H123" s="452"/>
      <c r="I123" s="452"/>
    </row>
    <row r="124">
      <c r="A124" s="129" t="s">
        <v>1633</v>
      </c>
      <c r="B124" s="2"/>
      <c r="C124" s="3"/>
      <c r="D124" s="121">
        <v>1.0</v>
      </c>
      <c r="E124" s="130" t="s">
        <v>1117</v>
      </c>
      <c r="F124" s="450">
        <f>F121+F123</f>
        <v>28.6624</v>
      </c>
      <c r="G124" s="454"/>
      <c r="H124" s="439"/>
      <c r="I124" s="439"/>
    </row>
    <row r="125">
      <c r="A125" s="129" t="s">
        <v>800</v>
      </c>
      <c r="B125" s="2"/>
      <c r="C125" s="3"/>
      <c r="D125" s="121">
        <v>1.0</v>
      </c>
      <c r="E125" s="130" t="s">
        <v>1117</v>
      </c>
      <c r="F125" s="450">
        <f>F124/D124</f>
        <v>28.6624</v>
      </c>
      <c r="G125" s="454"/>
      <c r="H125" s="439"/>
      <c r="I125" s="439"/>
    </row>
    <row r="126">
      <c r="A126" s="133" t="s">
        <v>802</v>
      </c>
      <c r="B126" s="2"/>
      <c r="C126" s="2"/>
      <c r="D126" s="3"/>
      <c r="E126" s="121"/>
      <c r="F126" s="450">
        <f>F125*1%</f>
        <v>0.286624</v>
      </c>
      <c r="G126" s="454"/>
      <c r="H126" s="439"/>
      <c r="I126" s="439"/>
    </row>
    <row r="127">
      <c r="A127" s="133" t="s">
        <v>42</v>
      </c>
      <c r="B127" s="2"/>
      <c r="C127" s="2"/>
      <c r="D127" s="3"/>
      <c r="E127" s="131"/>
      <c r="F127" s="450">
        <f>F125+F126</f>
        <v>28.949024</v>
      </c>
      <c r="G127" s="454"/>
      <c r="H127" s="439"/>
      <c r="I127" s="439"/>
    </row>
    <row r="128">
      <c r="A128" s="133" t="s">
        <v>806</v>
      </c>
      <c r="B128" s="2"/>
      <c r="C128" s="2"/>
      <c r="D128" s="3"/>
      <c r="E128" s="121"/>
      <c r="F128" s="450">
        <f>F127*15%</f>
        <v>4.3423536</v>
      </c>
      <c r="G128" s="454"/>
      <c r="H128" s="439"/>
      <c r="I128" s="439"/>
    </row>
    <row r="129">
      <c r="A129" s="133" t="s">
        <v>42</v>
      </c>
      <c r="B129" s="2"/>
      <c r="C129" s="2"/>
      <c r="D129" s="3"/>
      <c r="E129" s="131"/>
      <c r="F129" s="132">
        <f>round(F127+F128,2)</f>
        <v>33.29</v>
      </c>
      <c r="G129" s="131"/>
      <c r="H129" s="439"/>
      <c r="I129" s="439"/>
    </row>
    <row r="130">
      <c r="A130" s="455" t="str">
        <f>CONCATENATE("Say ₹ ",F118," + ",F129," x Cost Index")</f>
        <v>Say ₹ 245.08 + 33.29 x Cost Index</v>
      </c>
      <c r="B130" s="2"/>
      <c r="C130" s="2"/>
      <c r="D130" s="2"/>
      <c r="E130" s="2"/>
      <c r="F130" s="2"/>
      <c r="G130" s="3"/>
      <c r="H130" s="374">
        <f>((F112*1.01*1.15))</f>
        <v>245.0765</v>
      </c>
      <c r="I130" s="374">
        <f>((SUM(F121,F123)*1.01*1.15))</f>
        <v>33.2913776</v>
      </c>
    </row>
    <row r="131">
      <c r="A131" s="111" t="s">
        <v>742</v>
      </c>
      <c r="B131" s="111" t="s">
        <v>745</v>
      </c>
      <c r="C131" s="112" t="s">
        <v>6</v>
      </c>
      <c r="D131" s="2"/>
      <c r="E131" s="3"/>
      <c r="F131" s="113" t="s">
        <v>746</v>
      </c>
      <c r="G131" s="3"/>
      <c r="H131" s="436"/>
      <c r="I131" s="436"/>
    </row>
    <row r="132">
      <c r="A132" s="20"/>
      <c r="B132" s="20"/>
      <c r="C132" s="115" t="s">
        <v>8</v>
      </c>
      <c r="D132" s="115" t="s">
        <v>9</v>
      </c>
      <c r="E132" s="115" t="s">
        <v>358</v>
      </c>
      <c r="F132" s="117" t="s">
        <v>11</v>
      </c>
      <c r="G132" s="115" t="s">
        <v>751</v>
      </c>
      <c r="H132" s="436"/>
      <c r="I132" s="436"/>
    </row>
    <row r="133">
      <c r="A133" s="456" t="s">
        <v>1705</v>
      </c>
      <c r="B133" s="2"/>
      <c r="C133" s="2"/>
      <c r="D133" s="2"/>
      <c r="E133" s="2"/>
      <c r="F133" s="2"/>
      <c r="G133" s="3"/>
      <c r="H133" s="438"/>
      <c r="I133" s="438"/>
    </row>
    <row r="134">
      <c r="A134" s="457"/>
      <c r="B134" s="446" t="s">
        <v>754</v>
      </c>
      <c r="C134" s="446" t="s">
        <v>1117</v>
      </c>
      <c r="D134" s="446" t="s">
        <v>757</v>
      </c>
      <c r="E134" s="447">
        <v>1.0</v>
      </c>
      <c r="F134" s="444"/>
      <c r="G134" s="3"/>
      <c r="H134" s="445"/>
      <c r="I134" s="445"/>
    </row>
    <row r="135">
      <c r="A135" s="446" t="s">
        <v>761</v>
      </c>
      <c r="B135" s="443" t="s">
        <v>1641</v>
      </c>
      <c r="C135" s="2"/>
      <c r="D135" s="2"/>
      <c r="E135" s="2"/>
      <c r="F135" s="2"/>
      <c r="G135" s="3"/>
      <c r="H135" s="458"/>
      <c r="I135" s="458"/>
    </row>
    <row r="136">
      <c r="A136" s="459" t="s">
        <v>764</v>
      </c>
      <c r="B136" s="2"/>
      <c r="C136" s="2"/>
      <c r="D136" s="2"/>
      <c r="E136" s="2"/>
      <c r="F136" s="3"/>
      <c r="G136" s="460" t="s">
        <v>766</v>
      </c>
      <c r="H136" s="461"/>
      <c r="I136" s="461"/>
    </row>
    <row r="137">
      <c r="A137" s="462"/>
      <c r="B137" s="442" t="s">
        <v>1706</v>
      </c>
      <c r="C137" s="443" t="s">
        <v>1707</v>
      </c>
      <c r="D137" s="2"/>
      <c r="E137" s="3"/>
      <c r="F137" s="444"/>
      <c r="G137" s="3"/>
      <c r="H137" s="445"/>
      <c r="I137" s="445"/>
    </row>
    <row r="138">
      <c r="A138" s="20"/>
      <c r="B138" s="20"/>
      <c r="C138" s="446" t="s">
        <v>43</v>
      </c>
      <c r="D138" s="447">
        <v>1.0</v>
      </c>
      <c r="E138" s="447">
        <f t="array" ref="E138">IFERROR(INDEX(LMRRates,MATCH(B137,LMRCodes,0), ), )</f>
        <v>340</v>
      </c>
      <c r="F138" s="463">
        <f>D138*E138</f>
        <v>340</v>
      </c>
      <c r="G138" s="446" t="s">
        <v>772</v>
      </c>
      <c r="H138" s="449"/>
      <c r="I138" s="449"/>
    </row>
    <row r="139">
      <c r="A139" s="129" t="s">
        <v>1116</v>
      </c>
      <c r="B139" s="2"/>
      <c r="C139" s="3"/>
      <c r="D139" s="121">
        <v>1.0</v>
      </c>
      <c r="E139" s="130" t="s">
        <v>1117</v>
      </c>
      <c r="F139" s="450">
        <f>F138</f>
        <v>340</v>
      </c>
      <c r="G139" s="131"/>
      <c r="H139" s="439"/>
      <c r="I139" s="439"/>
    </row>
    <row r="140">
      <c r="A140" s="129" t="s">
        <v>800</v>
      </c>
      <c r="B140" s="2"/>
      <c r="C140" s="3"/>
      <c r="D140" s="121">
        <v>1.0</v>
      </c>
      <c r="E140" s="130" t="s">
        <v>1117</v>
      </c>
      <c r="F140" s="450">
        <f>F139/D139</f>
        <v>340</v>
      </c>
      <c r="G140" s="131"/>
      <c r="H140" s="439"/>
      <c r="I140" s="439"/>
    </row>
    <row r="141">
      <c r="A141" s="133" t="s">
        <v>802</v>
      </c>
      <c r="B141" s="2"/>
      <c r="C141" s="2"/>
      <c r="D141" s="3"/>
      <c r="E141" s="121"/>
      <c r="F141" s="450">
        <f>F140*1%</f>
        <v>3.4</v>
      </c>
      <c r="G141" s="131"/>
      <c r="H141" s="439"/>
      <c r="I141" s="439"/>
    </row>
    <row r="142">
      <c r="A142" s="133" t="s">
        <v>42</v>
      </c>
      <c r="B142" s="2"/>
      <c r="C142" s="2"/>
      <c r="D142" s="3"/>
      <c r="E142" s="131"/>
      <c r="F142" s="450">
        <f>F140+F141</f>
        <v>343.4</v>
      </c>
      <c r="G142" s="131"/>
      <c r="H142" s="439"/>
      <c r="I142" s="439"/>
    </row>
    <row r="143">
      <c r="A143" s="133" t="s">
        <v>806</v>
      </c>
      <c r="B143" s="2"/>
      <c r="C143" s="2"/>
      <c r="D143" s="3"/>
      <c r="E143" s="121"/>
      <c r="F143" s="450">
        <f>F142*15%</f>
        <v>51.51</v>
      </c>
      <c r="G143" s="131"/>
      <c r="H143" s="439"/>
      <c r="I143" s="439"/>
    </row>
    <row r="144">
      <c r="A144" s="133" t="s">
        <v>42</v>
      </c>
      <c r="B144" s="2"/>
      <c r="C144" s="2"/>
      <c r="D144" s="3"/>
      <c r="E144" s="131"/>
      <c r="F144" s="132">
        <f>round(F142+F143,2)</f>
        <v>394.91</v>
      </c>
      <c r="G144" s="131"/>
      <c r="H144" s="439"/>
      <c r="I144" s="439"/>
    </row>
    <row r="145">
      <c r="A145" s="124" t="s">
        <v>843</v>
      </c>
      <c r="B145" s="2"/>
      <c r="C145" s="2"/>
      <c r="D145" s="2"/>
      <c r="E145" s="2"/>
      <c r="F145" s="3"/>
      <c r="G145" s="125" t="s">
        <v>778</v>
      </c>
      <c r="H145" s="441"/>
      <c r="I145" s="441"/>
    </row>
    <row r="146">
      <c r="A146" s="127">
        <v>9999.0</v>
      </c>
      <c r="B146" s="126"/>
      <c r="C146" s="123" t="s">
        <v>1651</v>
      </c>
      <c r="D146" s="2"/>
      <c r="E146" s="3"/>
      <c r="F146" s="122"/>
      <c r="G146" s="3"/>
      <c r="H146" s="439"/>
      <c r="I146" s="439"/>
    </row>
    <row r="147">
      <c r="A147" s="20"/>
      <c r="B147" s="20"/>
      <c r="C147" s="120" t="s">
        <v>107</v>
      </c>
      <c r="D147" s="121">
        <v>2.73</v>
      </c>
      <c r="E147" s="121">
        <v>2.12</v>
      </c>
      <c r="F147" s="128">
        <f>D147*E147</f>
        <v>5.7876</v>
      </c>
      <c r="G147" s="120" t="s">
        <v>846</v>
      </c>
      <c r="H147" s="452"/>
      <c r="I147" s="452"/>
    </row>
    <row r="148">
      <c r="A148" s="127">
        <v>9999.0</v>
      </c>
      <c r="B148" s="126"/>
      <c r="C148" s="123" t="s">
        <v>1629</v>
      </c>
      <c r="D148" s="2"/>
      <c r="E148" s="3"/>
      <c r="F148" s="122"/>
      <c r="G148" s="3"/>
      <c r="H148" s="439"/>
      <c r="I148" s="439"/>
    </row>
    <row r="149">
      <c r="A149" s="20"/>
      <c r="B149" s="20"/>
      <c r="C149" s="120" t="s">
        <v>107</v>
      </c>
      <c r="D149" s="121">
        <v>10.79</v>
      </c>
      <c r="E149" s="121">
        <v>2.12</v>
      </c>
      <c r="F149" s="128">
        <f>D149*E149</f>
        <v>22.8748</v>
      </c>
      <c r="G149" s="120" t="s">
        <v>850</v>
      </c>
      <c r="H149" s="452"/>
      <c r="I149" s="452"/>
    </row>
    <row r="150">
      <c r="A150" s="129" t="s">
        <v>1633</v>
      </c>
      <c r="B150" s="2"/>
      <c r="C150" s="3"/>
      <c r="D150" s="121">
        <v>1.0</v>
      </c>
      <c r="E150" s="130" t="s">
        <v>1117</v>
      </c>
      <c r="F150" s="450">
        <f>F147+F149</f>
        <v>28.6624</v>
      </c>
      <c r="G150" s="454"/>
      <c r="H150" s="439"/>
      <c r="I150" s="439"/>
    </row>
    <row r="151">
      <c r="A151" s="129" t="s">
        <v>800</v>
      </c>
      <c r="B151" s="2"/>
      <c r="C151" s="3"/>
      <c r="D151" s="121">
        <v>1.0</v>
      </c>
      <c r="E151" s="130" t="s">
        <v>1117</v>
      </c>
      <c r="F151" s="450">
        <f>F150/D150</f>
        <v>28.6624</v>
      </c>
      <c r="G151" s="454"/>
      <c r="H151" s="439"/>
      <c r="I151" s="439"/>
    </row>
    <row r="152">
      <c r="A152" s="133" t="s">
        <v>802</v>
      </c>
      <c r="B152" s="2"/>
      <c r="C152" s="2"/>
      <c r="D152" s="3"/>
      <c r="E152" s="121"/>
      <c r="F152" s="450">
        <f>F151*1%</f>
        <v>0.286624</v>
      </c>
      <c r="G152" s="454"/>
      <c r="H152" s="439"/>
      <c r="I152" s="439"/>
    </row>
    <row r="153">
      <c r="A153" s="133" t="s">
        <v>42</v>
      </c>
      <c r="B153" s="2"/>
      <c r="C153" s="2"/>
      <c r="D153" s="3"/>
      <c r="E153" s="131"/>
      <c r="F153" s="450">
        <f>F151+F152</f>
        <v>28.949024</v>
      </c>
      <c r="G153" s="454"/>
      <c r="H153" s="439"/>
      <c r="I153" s="439"/>
    </row>
    <row r="154">
      <c r="A154" s="133" t="s">
        <v>806</v>
      </c>
      <c r="B154" s="2"/>
      <c r="C154" s="2"/>
      <c r="D154" s="3"/>
      <c r="E154" s="121"/>
      <c r="F154" s="450">
        <f>F153*15%</f>
        <v>4.3423536</v>
      </c>
      <c r="G154" s="454"/>
      <c r="H154" s="439"/>
      <c r="I154" s="439"/>
    </row>
    <row r="155">
      <c r="A155" s="133" t="s">
        <v>42</v>
      </c>
      <c r="B155" s="2"/>
      <c r="C155" s="2"/>
      <c r="D155" s="3"/>
      <c r="E155" s="131"/>
      <c r="F155" s="132">
        <f>round(F153+F154,2)</f>
        <v>33.29</v>
      </c>
      <c r="G155" s="131"/>
      <c r="H155" s="439"/>
      <c r="I155" s="439"/>
    </row>
    <row r="156">
      <c r="A156" s="455" t="str">
        <f>CONCATENATE("Say ₹ ",F144," + ",F155," x Cost Index")</f>
        <v>Say ₹ 394.91 + 33.29 x Cost Index</v>
      </c>
      <c r="B156" s="2"/>
      <c r="C156" s="2"/>
      <c r="D156" s="2"/>
      <c r="E156" s="2"/>
      <c r="F156" s="2"/>
      <c r="G156" s="3"/>
      <c r="H156" s="374">
        <f>((F138*1.01*1.15))</f>
        <v>394.91</v>
      </c>
      <c r="I156" s="374">
        <f>((SUM(F147,F149)*1.01*1.15))</f>
        <v>33.2913776</v>
      </c>
    </row>
    <row r="157">
      <c r="A157" s="111" t="s">
        <v>742</v>
      </c>
      <c r="B157" s="111" t="s">
        <v>745</v>
      </c>
      <c r="C157" s="112" t="s">
        <v>6</v>
      </c>
      <c r="D157" s="2"/>
      <c r="E157" s="3"/>
      <c r="F157" s="113" t="s">
        <v>746</v>
      </c>
      <c r="G157" s="3"/>
      <c r="H157" s="436"/>
      <c r="I157" s="436"/>
    </row>
    <row r="158">
      <c r="A158" s="20"/>
      <c r="B158" s="20"/>
      <c r="C158" s="115" t="s">
        <v>8</v>
      </c>
      <c r="D158" s="115" t="s">
        <v>9</v>
      </c>
      <c r="E158" s="115" t="s">
        <v>358</v>
      </c>
      <c r="F158" s="117" t="s">
        <v>11</v>
      </c>
      <c r="G158" s="115" t="s">
        <v>751</v>
      </c>
      <c r="H158" s="436"/>
      <c r="I158" s="436"/>
    </row>
    <row r="159">
      <c r="A159" s="456" t="s">
        <v>1714</v>
      </c>
      <c r="B159" s="2"/>
      <c r="C159" s="2"/>
      <c r="D159" s="2"/>
      <c r="E159" s="2"/>
      <c r="F159" s="2"/>
      <c r="G159" s="3"/>
      <c r="H159" s="438"/>
      <c r="I159" s="438"/>
    </row>
    <row r="160">
      <c r="A160" s="457"/>
      <c r="B160" s="446" t="s">
        <v>754</v>
      </c>
      <c r="C160" s="446" t="s">
        <v>1117</v>
      </c>
      <c r="D160" s="446" t="s">
        <v>757</v>
      </c>
      <c r="E160" s="447">
        <v>1.0</v>
      </c>
      <c r="F160" s="444"/>
      <c r="G160" s="3"/>
      <c r="H160" s="445"/>
      <c r="I160" s="445"/>
    </row>
    <row r="161">
      <c r="A161" s="446" t="s">
        <v>761</v>
      </c>
      <c r="B161" s="443" t="s">
        <v>1641</v>
      </c>
      <c r="C161" s="2"/>
      <c r="D161" s="2"/>
      <c r="E161" s="2"/>
      <c r="F161" s="2"/>
      <c r="G161" s="3"/>
      <c r="H161" s="458"/>
      <c r="I161" s="458"/>
    </row>
    <row r="162">
      <c r="A162" s="459" t="s">
        <v>764</v>
      </c>
      <c r="B162" s="2"/>
      <c r="C162" s="2"/>
      <c r="D162" s="2"/>
      <c r="E162" s="2"/>
      <c r="F162" s="3"/>
      <c r="G162" s="460" t="s">
        <v>766</v>
      </c>
      <c r="H162" s="461"/>
      <c r="I162" s="461"/>
    </row>
    <row r="163">
      <c r="A163" s="462"/>
      <c r="B163" s="442" t="s">
        <v>1715</v>
      </c>
      <c r="C163" s="443" t="s">
        <v>1716</v>
      </c>
      <c r="D163" s="2"/>
      <c r="E163" s="3"/>
      <c r="F163" s="444"/>
      <c r="G163" s="3"/>
      <c r="H163" s="445"/>
      <c r="I163" s="445"/>
    </row>
    <row r="164">
      <c r="A164" s="20"/>
      <c r="B164" s="20"/>
      <c r="C164" s="446" t="s">
        <v>43</v>
      </c>
      <c r="D164" s="447">
        <v>1.0</v>
      </c>
      <c r="E164" s="447">
        <f t="array" ref="E164">IFERROR(INDEX(LMRRates,MATCH(B163,LMRCodes,0), ), )</f>
        <v>893</v>
      </c>
      <c r="F164" s="463">
        <f>D164*E164</f>
        <v>893</v>
      </c>
      <c r="G164" s="446" t="s">
        <v>772</v>
      </c>
      <c r="H164" s="449"/>
      <c r="I164" s="449"/>
    </row>
    <row r="165">
      <c r="A165" s="129" t="s">
        <v>1116</v>
      </c>
      <c r="B165" s="2"/>
      <c r="C165" s="3"/>
      <c r="D165" s="121">
        <v>1.0</v>
      </c>
      <c r="E165" s="130" t="s">
        <v>1117</v>
      </c>
      <c r="F165" s="450">
        <f>F164</f>
        <v>893</v>
      </c>
      <c r="G165" s="131"/>
      <c r="H165" s="439"/>
      <c r="I165" s="439"/>
    </row>
    <row r="166">
      <c r="A166" s="129" t="s">
        <v>800</v>
      </c>
      <c r="B166" s="2"/>
      <c r="C166" s="3"/>
      <c r="D166" s="121">
        <v>1.0</v>
      </c>
      <c r="E166" s="130" t="s">
        <v>1117</v>
      </c>
      <c r="F166" s="450">
        <f>F165/D165</f>
        <v>893</v>
      </c>
      <c r="G166" s="131"/>
      <c r="H166" s="439"/>
      <c r="I166" s="439"/>
    </row>
    <row r="167">
      <c r="A167" s="133" t="s">
        <v>802</v>
      </c>
      <c r="B167" s="2"/>
      <c r="C167" s="2"/>
      <c r="D167" s="3"/>
      <c r="E167" s="121"/>
      <c r="F167" s="450">
        <f>F166*1%</f>
        <v>8.93</v>
      </c>
      <c r="G167" s="131"/>
      <c r="H167" s="439"/>
      <c r="I167" s="439"/>
    </row>
    <row r="168">
      <c r="A168" s="133" t="s">
        <v>42</v>
      </c>
      <c r="B168" s="2"/>
      <c r="C168" s="2"/>
      <c r="D168" s="3"/>
      <c r="E168" s="131"/>
      <c r="F168" s="450">
        <f>F166+F167</f>
        <v>901.93</v>
      </c>
      <c r="G168" s="131"/>
      <c r="H168" s="439"/>
      <c r="I168" s="439"/>
    </row>
    <row r="169">
      <c r="A169" s="133" t="s">
        <v>806</v>
      </c>
      <c r="B169" s="2"/>
      <c r="C169" s="2"/>
      <c r="D169" s="3"/>
      <c r="E169" s="121"/>
      <c r="F169" s="450">
        <f>F168*15%</f>
        <v>135.2895</v>
      </c>
      <c r="G169" s="131"/>
      <c r="H169" s="439"/>
      <c r="I169" s="439"/>
    </row>
    <row r="170">
      <c r="A170" s="133" t="s">
        <v>42</v>
      </c>
      <c r="B170" s="2"/>
      <c r="C170" s="2"/>
      <c r="D170" s="3"/>
      <c r="E170" s="131"/>
      <c r="F170" s="132">
        <f>round(F168+F169,2)</f>
        <v>1037.22</v>
      </c>
      <c r="G170" s="131"/>
      <c r="H170" s="439"/>
      <c r="I170" s="439"/>
    </row>
    <row r="171">
      <c r="A171" s="124" t="s">
        <v>843</v>
      </c>
      <c r="B171" s="2"/>
      <c r="C171" s="2"/>
      <c r="D171" s="2"/>
      <c r="E171" s="2"/>
      <c r="F171" s="3"/>
      <c r="G171" s="125" t="s">
        <v>778</v>
      </c>
      <c r="H171" s="441"/>
      <c r="I171" s="441"/>
    </row>
    <row r="172">
      <c r="A172" s="127">
        <v>9999.0</v>
      </c>
      <c r="B172" s="126"/>
      <c r="C172" s="123" t="s">
        <v>1651</v>
      </c>
      <c r="D172" s="2"/>
      <c r="E172" s="3"/>
      <c r="F172" s="122"/>
      <c r="G172" s="3"/>
      <c r="H172" s="439"/>
      <c r="I172" s="439"/>
    </row>
    <row r="173">
      <c r="A173" s="20"/>
      <c r="B173" s="20"/>
      <c r="C173" s="120" t="s">
        <v>107</v>
      </c>
      <c r="D173" s="121">
        <v>2.73</v>
      </c>
      <c r="E173" s="121">
        <v>2.12</v>
      </c>
      <c r="F173" s="128">
        <f>D173*E173</f>
        <v>5.7876</v>
      </c>
      <c r="G173" s="120" t="s">
        <v>846</v>
      </c>
      <c r="H173" s="452"/>
      <c r="I173" s="452"/>
    </row>
    <row r="174">
      <c r="A174" s="127">
        <v>9999.0</v>
      </c>
      <c r="B174" s="126"/>
      <c r="C174" s="123" t="s">
        <v>1629</v>
      </c>
      <c r="D174" s="2"/>
      <c r="E174" s="3"/>
      <c r="F174" s="122"/>
      <c r="G174" s="3"/>
      <c r="H174" s="439"/>
      <c r="I174" s="439"/>
    </row>
    <row r="175">
      <c r="A175" s="20"/>
      <c r="B175" s="20"/>
      <c r="C175" s="120" t="s">
        <v>107</v>
      </c>
      <c r="D175" s="121">
        <v>10.79</v>
      </c>
      <c r="E175" s="121">
        <v>2.12</v>
      </c>
      <c r="F175" s="128">
        <f>D175*E175</f>
        <v>22.8748</v>
      </c>
      <c r="G175" s="120" t="s">
        <v>850</v>
      </c>
      <c r="H175" s="452"/>
      <c r="I175" s="452"/>
    </row>
    <row r="176">
      <c r="A176" s="129" t="s">
        <v>1633</v>
      </c>
      <c r="B176" s="2"/>
      <c r="C176" s="3"/>
      <c r="D176" s="121">
        <v>1.0</v>
      </c>
      <c r="E176" s="130" t="s">
        <v>1117</v>
      </c>
      <c r="F176" s="450">
        <f>F173+F175</f>
        <v>28.6624</v>
      </c>
      <c r="G176" s="454"/>
      <c r="H176" s="439"/>
      <c r="I176" s="439"/>
    </row>
    <row r="177">
      <c r="A177" s="129" t="s">
        <v>800</v>
      </c>
      <c r="B177" s="2"/>
      <c r="C177" s="3"/>
      <c r="D177" s="121">
        <v>1.0</v>
      </c>
      <c r="E177" s="130" t="s">
        <v>1117</v>
      </c>
      <c r="F177" s="450">
        <f>F176/D176</f>
        <v>28.6624</v>
      </c>
      <c r="G177" s="454"/>
      <c r="H177" s="439"/>
      <c r="I177" s="439"/>
    </row>
    <row r="178">
      <c r="A178" s="133" t="s">
        <v>802</v>
      </c>
      <c r="B178" s="2"/>
      <c r="C178" s="2"/>
      <c r="D178" s="3"/>
      <c r="E178" s="121"/>
      <c r="F178" s="450">
        <f>F177*1%</f>
        <v>0.286624</v>
      </c>
      <c r="G178" s="454"/>
      <c r="H178" s="439"/>
      <c r="I178" s="439"/>
    </row>
    <row r="179">
      <c r="A179" s="133" t="s">
        <v>42</v>
      </c>
      <c r="B179" s="2"/>
      <c r="C179" s="2"/>
      <c r="D179" s="3"/>
      <c r="E179" s="131"/>
      <c r="F179" s="450">
        <f>F177+F178</f>
        <v>28.949024</v>
      </c>
      <c r="G179" s="454"/>
      <c r="H179" s="439"/>
      <c r="I179" s="439"/>
    </row>
    <row r="180">
      <c r="A180" s="133" t="s">
        <v>806</v>
      </c>
      <c r="B180" s="2"/>
      <c r="C180" s="2"/>
      <c r="D180" s="3"/>
      <c r="E180" s="121"/>
      <c r="F180" s="450">
        <f>F179*15%</f>
        <v>4.3423536</v>
      </c>
      <c r="G180" s="454"/>
      <c r="H180" s="439"/>
      <c r="I180" s="439"/>
    </row>
    <row r="181">
      <c r="A181" s="133" t="s">
        <v>42</v>
      </c>
      <c r="B181" s="2"/>
      <c r="C181" s="2"/>
      <c r="D181" s="3"/>
      <c r="E181" s="131"/>
      <c r="F181" s="132">
        <f>round(F179+F180,2)</f>
        <v>33.29</v>
      </c>
      <c r="G181" s="131"/>
      <c r="H181" s="439"/>
      <c r="I181" s="439"/>
    </row>
    <row r="182">
      <c r="A182" s="455" t="str">
        <f>CONCATENATE("Say ₹ ",F170," + ",F181," x Cost Index")</f>
        <v>Say ₹ 1037.22 + 33.29 x Cost Index</v>
      </c>
      <c r="B182" s="2"/>
      <c r="C182" s="2"/>
      <c r="D182" s="2"/>
      <c r="E182" s="2"/>
      <c r="F182" s="2"/>
      <c r="G182" s="3"/>
      <c r="H182" s="374">
        <f>((F164*1.01*1.15))</f>
        <v>1037.2195</v>
      </c>
      <c r="I182" s="374">
        <f>((SUM(F173,F175)*1.01*1.15))</f>
        <v>33.2913776</v>
      </c>
    </row>
    <row r="183">
      <c r="A183" s="111" t="s">
        <v>742</v>
      </c>
      <c r="B183" s="111" t="s">
        <v>745</v>
      </c>
      <c r="C183" s="112" t="s">
        <v>6</v>
      </c>
      <c r="D183" s="2"/>
      <c r="E183" s="3"/>
      <c r="F183" s="113" t="s">
        <v>746</v>
      </c>
      <c r="G183" s="3"/>
      <c r="H183" s="436"/>
      <c r="I183" s="436"/>
    </row>
    <row r="184">
      <c r="A184" s="20"/>
      <c r="B184" s="20"/>
      <c r="C184" s="115" t="s">
        <v>8</v>
      </c>
      <c r="D184" s="115" t="s">
        <v>9</v>
      </c>
      <c r="E184" s="115" t="s">
        <v>358</v>
      </c>
      <c r="F184" s="117" t="s">
        <v>11</v>
      </c>
      <c r="G184" s="115" t="s">
        <v>751</v>
      </c>
      <c r="H184" s="436"/>
      <c r="I184" s="436"/>
    </row>
    <row r="185">
      <c r="A185" s="456" t="s">
        <v>1723</v>
      </c>
      <c r="B185" s="2"/>
      <c r="C185" s="2"/>
      <c r="D185" s="2"/>
      <c r="E185" s="2"/>
      <c r="F185" s="2"/>
      <c r="G185" s="3"/>
      <c r="H185" s="438"/>
      <c r="I185" s="438"/>
    </row>
    <row r="186">
      <c r="A186" s="457"/>
      <c r="B186" s="446" t="s">
        <v>754</v>
      </c>
      <c r="C186" s="446" t="s">
        <v>1117</v>
      </c>
      <c r="D186" s="446" t="s">
        <v>757</v>
      </c>
      <c r="E186" s="447">
        <v>1.0</v>
      </c>
      <c r="F186" s="444"/>
      <c r="G186" s="3"/>
      <c r="H186" s="445"/>
      <c r="I186" s="445"/>
    </row>
    <row r="187">
      <c r="A187" s="446" t="s">
        <v>761</v>
      </c>
      <c r="B187" s="443" t="s">
        <v>1641</v>
      </c>
      <c r="C187" s="2"/>
      <c r="D187" s="2"/>
      <c r="E187" s="2"/>
      <c r="F187" s="2"/>
      <c r="G187" s="3"/>
      <c r="H187" s="458"/>
      <c r="I187" s="458"/>
    </row>
    <row r="188">
      <c r="A188" s="459" t="s">
        <v>764</v>
      </c>
      <c r="B188" s="2"/>
      <c r="C188" s="2"/>
      <c r="D188" s="2"/>
      <c r="E188" s="2"/>
      <c r="F188" s="3"/>
      <c r="G188" s="460" t="s">
        <v>766</v>
      </c>
      <c r="H188" s="461"/>
      <c r="I188" s="461"/>
    </row>
    <row r="189">
      <c r="A189" s="462"/>
      <c r="B189" s="442" t="s">
        <v>1724</v>
      </c>
      <c r="C189" s="443" t="s">
        <v>1725</v>
      </c>
      <c r="D189" s="2"/>
      <c r="E189" s="3"/>
      <c r="F189" s="444"/>
      <c r="G189" s="3"/>
      <c r="H189" s="445"/>
      <c r="I189" s="445"/>
    </row>
    <row r="190">
      <c r="A190" s="20"/>
      <c r="B190" s="20"/>
      <c r="C190" s="446" t="s">
        <v>43</v>
      </c>
      <c r="D190" s="447">
        <v>1.0</v>
      </c>
      <c r="E190" s="447">
        <f t="array" ref="E190">IFERROR(INDEX(LMRRates,MATCH(B189,LMRCodes,0), ), )</f>
        <v>1000</v>
      </c>
      <c r="F190" s="463">
        <f>D190*E190</f>
        <v>1000</v>
      </c>
      <c r="G190" s="446" t="s">
        <v>772</v>
      </c>
      <c r="H190" s="449"/>
      <c r="I190" s="449"/>
    </row>
    <row r="191">
      <c r="A191" s="129" t="s">
        <v>1116</v>
      </c>
      <c r="B191" s="2"/>
      <c r="C191" s="3"/>
      <c r="D191" s="121">
        <v>1.0</v>
      </c>
      <c r="E191" s="130" t="s">
        <v>1117</v>
      </c>
      <c r="F191" s="450">
        <f>F190</f>
        <v>1000</v>
      </c>
      <c r="G191" s="131"/>
      <c r="H191" s="439"/>
      <c r="I191" s="439"/>
    </row>
    <row r="192">
      <c r="A192" s="129" t="s">
        <v>800</v>
      </c>
      <c r="B192" s="2"/>
      <c r="C192" s="3"/>
      <c r="D192" s="121">
        <v>1.0</v>
      </c>
      <c r="E192" s="130" t="s">
        <v>1117</v>
      </c>
      <c r="F192" s="450">
        <f>F191/D191</f>
        <v>1000</v>
      </c>
      <c r="G192" s="131"/>
      <c r="H192" s="439"/>
      <c r="I192" s="439"/>
    </row>
    <row r="193">
      <c r="A193" s="133" t="s">
        <v>802</v>
      </c>
      <c r="B193" s="2"/>
      <c r="C193" s="2"/>
      <c r="D193" s="3"/>
      <c r="E193" s="121"/>
      <c r="F193" s="450">
        <f>F192*1%</f>
        <v>10</v>
      </c>
      <c r="G193" s="131"/>
      <c r="H193" s="439"/>
      <c r="I193" s="439"/>
    </row>
    <row r="194">
      <c r="A194" s="133" t="s">
        <v>42</v>
      </c>
      <c r="B194" s="2"/>
      <c r="C194" s="2"/>
      <c r="D194" s="3"/>
      <c r="E194" s="131"/>
      <c r="F194" s="450">
        <f>F192+F193</f>
        <v>1010</v>
      </c>
      <c r="G194" s="131"/>
      <c r="H194" s="439"/>
      <c r="I194" s="439"/>
    </row>
    <row r="195">
      <c r="A195" s="133" t="s">
        <v>806</v>
      </c>
      <c r="B195" s="2"/>
      <c r="C195" s="2"/>
      <c r="D195" s="3"/>
      <c r="E195" s="121"/>
      <c r="F195" s="450">
        <f>F194*15%</f>
        <v>151.5</v>
      </c>
      <c r="G195" s="131"/>
      <c r="H195" s="439"/>
      <c r="I195" s="439"/>
    </row>
    <row r="196">
      <c r="A196" s="133" t="s">
        <v>42</v>
      </c>
      <c r="B196" s="2"/>
      <c r="C196" s="2"/>
      <c r="D196" s="3"/>
      <c r="E196" s="131"/>
      <c r="F196" s="132">
        <f>round(F194+F195,2)</f>
        <v>1161.5</v>
      </c>
      <c r="G196" s="131"/>
      <c r="H196" s="439"/>
      <c r="I196" s="439"/>
    </row>
    <row r="197">
      <c r="A197" s="124" t="s">
        <v>843</v>
      </c>
      <c r="B197" s="2"/>
      <c r="C197" s="2"/>
      <c r="D197" s="2"/>
      <c r="E197" s="2"/>
      <c r="F197" s="3"/>
      <c r="G197" s="125" t="s">
        <v>778</v>
      </c>
      <c r="H197" s="441"/>
      <c r="I197" s="441"/>
    </row>
    <row r="198">
      <c r="A198" s="127">
        <v>9999.0</v>
      </c>
      <c r="B198" s="126"/>
      <c r="C198" s="123" t="s">
        <v>1651</v>
      </c>
      <c r="D198" s="2"/>
      <c r="E198" s="3"/>
      <c r="F198" s="122"/>
      <c r="G198" s="3"/>
      <c r="H198" s="439"/>
      <c r="I198" s="439"/>
    </row>
    <row r="199">
      <c r="A199" s="20"/>
      <c r="B199" s="20"/>
      <c r="C199" s="120" t="s">
        <v>107</v>
      </c>
      <c r="D199" s="121">
        <v>2.73</v>
      </c>
      <c r="E199" s="121">
        <v>2.12</v>
      </c>
      <c r="F199" s="128">
        <f>D199*E199</f>
        <v>5.7876</v>
      </c>
      <c r="G199" s="120" t="s">
        <v>846</v>
      </c>
      <c r="H199" s="452"/>
      <c r="I199" s="452"/>
    </row>
    <row r="200">
      <c r="A200" s="127">
        <v>9999.0</v>
      </c>
      <c r="B200" s="126"/>
      <c r="C200" s="123" t="s">
        <v>1629</v>
      </c>
      <c r="D200" s="2"/>
      <c r="E200" s="3"/>
      <c r="F200" s="122"/>
      <c r="G200" s="3"/>
      <c r="H200" s="439"/>
      <c r="I200" s="439"/>
    </row>
    <row r="201">
      <c r="A201" s="20"/>
      <c r="B201" s="20"/>
      <c r="C201" s="120" t="s">
        <v>107</v>
      </c>
      <c r="D201" s="121">
        <v>10.79</v>
      </c>
      <c r="E201" s="121">
        <v>2.12</v>
      </c>
      <c r="F201" s="128">
        <f>D201*E201</f>
        <v>22.8748</v>
      </c>
      <c r="G201" s="120" t="s">
        <v>850</v>
      </c>
      <c r="H201" s="452"/>
      <c r="I201" s="452"/>
    </row>
    <row r="202">
      <c r="A202" s="129" t="s">
        <v>1633</v>
      </c>
      <c r="B202" s="2"/>
      <c r="C202" s="3"/>
      <c r="D202" s="121">
        <v>1.0</v>
      </c>
      <c r="E202" s="130" t="s">
        <v>1117</v>
      </c>
      <c r="F202" s="450">
        <f>F199+F201</f>
        <v>28.6624</v>
      </c>
      <c r="G202" s="454"/>
      <c r="H202" s="439"/>
      <c r="I202" s="439"/>
    </row>
    <row r="203">
      <c r="A203" s="129" t="s">
        <v>800</v>
      </c>
      <c r="B203" s="2"/>
      <c r="C203" s="3"/>
      <c r="D203" s="121">
        <v>1.0</v>
      </c>
      <c r="E203" s="130" t="s">
        <v>1117</v>
      </c>
      <c r="F203" s="450">
        <f>F202/D202</f>
        <v>28.6624</v>
      </c>
      <c r="G203" s="454"/>
      <c r="H203" s="439"/>
      <c r="I203" s="439"/>
    </row>
    <row r="204">
      <c r="A204" s="133" t="s">
        <v>802</v>
      </c>
      <c r="B204" s="2"/>
      <c r="C204" s="2"/>
      <c r="D204" s="3"/>
      <c r="E204" s="121"/>
      <c r="F204" s="450">
        <f>F203*1%</f>
        <v>0.286624</v>
      </c>
      <c r="G204" s="454"/>
      <c r="H204" s="439"/>
      <c r="I204" s="439"/>
    </row>
    <row r="205">
      <c r="A205" s="133" t="s">
        <v>42</v>
      </c>
      <c r="B205" s="2"/>
      <c r="C205" s="2"/>
      <c r="D205" s="3"/>
      <c r="E205" s="131"/>
      <c r="F205" s="450">
        <f>F203+F204</f>
        <v>28.949024</v>
      </c>
      <c r="G205" s="454"/>
      <c r="H205" s="439"/>
      <c r="I205" s="439"/>
    </row>
    <row r="206">
      <c r="A206" s="133" t="s">
        <v>806</v>
      </c>
      <c r="B206" s="2"/>
      <c r="C206" s="2"/>
      <c r="D206" s="3"/>
      <c r="E206" s="121"/>
      <c r="F206" s="450">
        <f>F205*15%</f>
        <v>4.3423536</v>
      </c>
      <c r="G206" s="454"/>
      <c r="H206" s="439"/>
      <c r="I206" s="439"/>
    </row>
    <row r="207">
      <c r="A207" s="133" t="s">
        <v>42</v>
      </c>
      <c r="B207" s="2"/>
      <c r="C207" s="2"/>
      <c r="D207" s="3"/>
      <c r="E207" s="131"/>
      <c r="F207" s="132">
        <f>round(F205+F206,2)</f>
        <v>33.29</v>
      </c>
      <c r="G207" s="131"/>
      <c r="H207" s="439"/>
      <c r="I207" s="439"/>
    </row>
    <row r="208">
      <c r="A208" s="455" t="str">
        <f>CONCATENATE("Say ₹ ",F196," + ",F207," x Cost Index")</f>
        <v>Say ₹ 1161.5 + 33.29 x Cost Index</v>
      </c>
      <c r="B208" s="2"/>
      <c r="C208" s="2"/>
      <c r="D208" s="2"/>
      <c r="E208" s="2"/>
      <c r="F208" s="2"/>
      <c r="G208" s="3"/>
      <c r="H208" s="374">
        <f>((F190*1.01*1.15))</f>
        <v>1161.5</v>
      </c>
      <c r="I208" s="374">
        <f>((SUM(F199,F201)*1.01*1.15))</f>
        <v>33.2913776</v>
      </c>
    </row>
    <row r="209">
      <c r="A209" s="484" t="s">
        <v>742</v>
      </c>
      <c r="B209" s="484" t="s">
        <v>745</v>
      </c>
      <c r="C209" s="485" t="s">
        <v>6</v>
      </c>
      <c r="D209" s="2"/>
      <c r="E209" s="3"/>
      <c r="F209" s="485" t="s">
        <v>746</v>
      </c>
      <c r="G209" s="3"/>
      <c r="H209" s="486"/>
      <c r="I209" s="486"/>
    </row>
    <row r="210">
      <c r="A210" s="20"/>
      <c r="B210" s="20"/>
      <c r="C210" s="487" t="s">
        <v>8</v>
      </c>
      <c r="D210" s="487" t="s">
        <v>9</v>
      </c>
      <c r="E210" s="487" t="s">
        <v>358</v>
      </c>
      <c r="F210" s="487" t="s">
        <v>11</v>
      </c>
      <c r="G210" s="487" t="s">
        <v>751</v>
      </c>
      <c r="H210" s="486"/>
      <c r="I210" s="486"/>
    </row>
    <row r="211">
      <c r="A211" s="488" t="s">
        <v>1732</v>
      </c>
      <c r="B211" s="2"/>
      <c r="C211" s="2"/>
      <c r="D211" s="2"/>
      <c r="E211" s="2"/>
      <c r="F211" s="2"/>
      <c r="G211" s="3"/>
      <c r="H211" s="486"/>
      <c r="I211" s="486"/>
    </row>
    <row r="212">
      <c r="A212" s="489"/>
      <c r="B212" s="490" t="s">
        <v>754</v>
      </c>
      <c r="C212" s="490" t="s">
        <v>1117</v>
      </c>
      <c r="D212" s="490" t="s">
        <v>757</v>
      </c>
      <c r="E212" s="491">
        <v>1.0</v>
      </c>
      <c r="F212" s="492"/>
      <c r="G212" s="3"/>
      <c r="H212" s="486"/>
      <c r="I212" s="486"/>
    </row>
    <row r="213">
      <c r="A213" s="490" t="s">
        <v>761</v>
      </c>
      <c r="B213" s="494" t="s">
        <v>1617</v>
      </c>
      <c r="C213" s="2"/>
      <c r="D213" s="2"/>
      <c r="E213" s="2"/>
      <c r="F213" s="2"/>
      <c r="G213" s="3"/>
      <c r="H213" s="486"/>
      <c r="I213" s="486"/>
    </row>
    <row r="214">
      <c r="A214" s="495" t="s">
        <v>764</v>
      </c>
      <c r="B214" s="2"/>
      <c r="C214" s="2"/>
      <c r="D214" s="2"/>
      <c r="E214" s="2"/>
      <c r="F214" s="3"/>
      <c r="G214" s="496" t="s">
        <v>766</v>
      </c>
      <c r="H214" s="486"/>
      <c r="I214" s="486"/>
    </row>
    <row r="215">
      <c r="A215" s="497"/>
      <c r="B215" s="127" t="s">
        <v>1111</v>
      </c>
      <c r="C215" s="498" t="s">
        <v>1734</v>
      </c>
      <c r="D215" s="2"/>
      <c r="E215" s="3"/>
      <c r="F215" s="492"/>
      <c r="G215" s="3"/>
      <c r="H215" s="486"/>
      <c r="I215" s="486"/>
    </row>
    <row r="216">
      <c r="A216" s="20"/>
      <c r="B216" s="20"/>
      <c r="C216" s="490" t="s">
        <v>43</v>
      </c>
      <c r="D216" s="491">
        <v>1.0</v>
      </c>
      <c r="E216" s="499">
        <v>62.0</v>
      </c>
      <c r="F216" s="491">
        <f>D216*E216</f>
        <v>62</v>
      </c>
      <c r="G216" s="490" t="s">
        <v>772</v>
      </c>
      <c r="H216" s="486"/>
      <c r="I216" s="486"/>
    </row>
    <row r="217">
      <c r="A217" s="500" t="s">
        <v>1116</v>
      </c>
      <c r="B217" s="2"/>
      <c r="C217" s="3"/>
      <c r="D217" s="491">
        <v>1.0</v>
      </c>
      <c r="E217" s="501" t="s">
        <v>1117</v>
      </c>
      <c r="F217" s="491">
        <f>F216</f>
        <v>62</v>
      </c>
      <c r="G217" s="489"/>
      <c r="H217" s="486"/>
      <c r="I217" s="486"/>
    </row>
    <row r="218">
      <c r="A218" s="500" t="s">
        <v>800</v>
      </c>
      <c r="B218" s="2"/>
      <c r="C218" s="3"/>
      <c r="D218" s="491">
        <v>1.0</v>
      </c>
      <c r="E218" s="501" t="s">
        <v>1117</v>
      </c>
      <c r="F218" s="491">
        <f>F217/D217</f>
        <v>62</v>
      </c>
      <c r="G218" s="489"/>
      <c r="H218" s="486"/>
      <c r="I218" s="486"/>
    </row>
    <row r="219">
      <c r="A219" s="502" t="s">
        <v>802</v>
      </c>
      <c r="B219" s="2"/>
      <c r="C219" s="2"/>
      <c r="D219" s="3"/>
      <c r="E219" s="489"/>
      <c r="F219" s="491">
        <f>F218*1%</f>
        <v>0.62</v>
      </c>
      <c r="G219" s="489"/>
      <c r="H219" s="486"/>
      <c r="I219" s="486"/>
    </row>
    <row r="220">
      <c r="A220" s="502" t="s">
        <v>42</v>
      </c>
      <c r="B220" s="2"/>
      <c r="C220" s="2"/>
      <c r="D220" s="3"/>
      <c r="E220" s="489"/>
      <c r="F220" s="491">
        <f>F219+F218</f>
        <v>62.62</v>
      </c>
      <c r="G220" s="489"/>
      <c r="H220" s="486"/>
      <c r="I220" s="486"/>
    </row>
    <row r="221">
      <c r="A221" s="502" t="s">
        <v>806</v>
      </c>
      <c r="B221" s="2"/>
      <c r="C221" s="2"/>
      <c r="D221" s="3"/>
      <c r="E221" s="489"/>
      <c r="F221" s="491">
        <f>F220*15%</f>
        <v>9.393</v>
      </c>
      <c r="G221" s="489"/>
      <c r="H221" s="486"/>
      <c r="I221" s="486"/>
    </row>
    <row r="222">
      <c r="A222" s="502" t="s">
        <v>42</v>
      </c>
      <c r="B222" s="2"/>
      <c r="C222" s="2"/>
      <c r="D222" s="3"/>
      <c r="E222" s="489"/>
      <c r="F222" s="503">
        <f>round(F221+F220,2)</f>
        <v>72.01</v>
      </c>
      <c r="G222" s="489"/>
      <c r="H222" s="486"/>
      <c r="I222" s="486"/>
    </row>
    <row r="223">
      <c r="A223" s="495" t="s">
        <v>843</v>
      </c>
      <c r="B223" s="2"/>
      <c r="C223" s="2"/>
      <c r="D223" s="2"/>
      <c r="E223" s="2"/>
      <c r="F223" s="3"/>
      <c r="G223" s="496" t="s">
        <v>778</v>
      </c>
      <c r="H223" s="486"/>
      <c r="I223" s="486"/>
    </row>
    <row r="224">
      <c r="A224" s="504">
        <v>9999.0</v>
      </c>
      <c r="B224" s="497"/>
      <c r="C224" s="494" t="s">
        <v>1626</v>
      </c>
      <c r="D224" s="2"/>
      <c r="E224" s="3"/>
      <c r="F224" s="492"/>
      <c r="G224" s="3"/>
      <c r="H224" s="486"/>
      <c r="I224" s="486"/>
    </row>
    <row r="225">
      <c r="A225" s="20"/>
      <c r="B225" s="20"/>
      <c r="C225" s="490" t="s">
        <v>107</v>
      </c>
      <c r="D225" s="491">
        <v>2.73</v>
      </c>
      <c r="E225" s="491">
        <v>2.12</v>
      </c>
      <c r="F225" s="491">
        <f>E225*D225</f>
        <v>5.7876</v>
      </c>
      <c r="G225" s="490" t="s">
        <v>846</v>
      </c>
      <c r="H225" s="486"/>
      <c r="I225" s="486"/>
    </row>
    <row r="226">
      <c r="A226" s="504">
        <v>9999.0</v>
      </c>
      <c r="B226" s="497"/>
      <c r="C226" s="494" t="s">
        <v>1629</v>
      </c>
      <c r="D226" s="2"/>
      <c r="E226" s="3"/>
      <c r="F226" s="492"/>
      <c r="G226" s="3"/>
      <c r="H226" s="486"/>
      <c r="I226" s="486"/>
    </row>
    <row r="227">
      <c r="A227" s="20"/>
      <c r="B227" s="20"/>
      <c r="C227" s="490" t="s">
        <v>107</v>
      </c>
      <c r="D227" s="491">
        <v>10.79</v>
      </c>
      <c r="E227" s="491">
        <v>2.12</v>
      </c>
      <c r="F227" s="491">
        <f>D227*E227</f>
        <v>22.8748</v>
      </c>
      <c r="G227" s="490" t="s">
        <v>850</v>
      </c>
      <c r="H227" s="486"/>
      <c r="I227" s="486"/>
    </row>
    <row r="228">
      <c r="A228" s="500" t="s">
        <v>1633</v>
      </c>
      <c r="B228" s="2"/>
      <c r="C228" s="3"/>
      <c r="D228" s="491">
        <v>1.0</v>
      </c>
      <c r="E228" s="501" t="s">
        <v>1117</v>
      </c>
      <c r="F228" s="491">
        <f>F227+F225</f>
        <v>28.6624</v>
      </c>
      <c r="G228" s="489"/>
      <c r="H228" s="486"/>
      <c r="I228" s="486"/>
    </row>
    <row r="229">
      <c r="A229" s="500" t="s">
        <v>800</v>
      </c>
      <c r="B229" s="2"/>
      <c r="C229" s="3"/>
      <c r="D229" s="491">
        <v>1.0</v>
      </c>
      <c r="E229" s="501" t="s">
        <v>1117</v>
      </c>
      <c r="F229" s="491">
        <f>F228/D228</f>
        <v>28.6624</v>
      </c>
      <c r="G229" s="489"/>
      <c r="H229" s="486"/>
      <c r="I229" s="486"/>
    </row>
    <row r="230">
      <c r="A230" s="502" t="s">
        <v>802</v>
      </c>
      <c r="B230" s="2"/>
      <c r="C230" s="2"/>
      <c r="D230" s="3"/>
      <c r="E230" s="489"/>
      <c r="F230" s="491">
        <f>F229*1%</f>
        <v>0.286624</v>
      </c>
      <c r="G230" s="489"/>
      <c r="H230" s="486"/>
      <c r="I230" s="486"/>
    </row>
    <row r="231">
      <c r="A231" s="502" t="s">
        <v>42</v>
      </c>
      <c r="B231" s="2"/>
      <c r="C231" s="2"/>
      <c r="D231" s="3"/>
      <c r="E231" s="489"/>
      <c r="F231" s="491">
        <f>F230+F229</f>
        <v>28.949024</v>
      </c>
      <c r="G231" s="489"/>
      <c r="H231" s="486"/>
      <c r="I231" s="486"/>
    </row>
    <row r="232">
      <c r="A232" s="502" t="s">
        <v>806</v>
      </c>
      <c r="B232" s="2"/>
      <c r="C232" s="2"/>
      <c r="D232" s="3"/>
      <c r="E232" s="489"/>
      <c r="F232" s="491">
        <f>F231*15%</f>
        <v>4.3423536</v>
      </c>
      <c r="G232" s="489"/>
      <c r="H232" s="486"/>
      <c r="I232" s="486"/>
    </row>
    <row r="233">
      <c r="A233" s="502" t="s">
        <v>42</v>
      </c>
      <c r="B233" s="2"/>
      <c r="C233" s="2"/>
      <c r="D233" s="3"/>
      <c r="E233" s="489"/>
      <c r="F233" s="503">
        <f>round(F232+F231,2)</f>
        <v>33.29</v>
      </c>
      <c r="G233" s="489"/>
      <c r="H233" s="486"/>
      <c r="I233" s="486"/>
    </row>
    <row r="234">
      <c r="A234" s="505" t="str">
        <f>CONCATENATE("Say ₹ ",F222," + ",F233," x Cost Index")</f>
        <v>Say ₹ 72.01 + 33.29 x Cost Index</v>
      </c>
      <c r="B234" s="2"/>
      <c r="C234" s="2"/>
      <c r="D234" s="2"/>
      <c r="E234" s="2"/>
      <c r="F234" s="2"/>
      <c r="G234" s="3"/>
      <c r="H234" s="506">
        <f>((F216*1.01*1.15))</f>
        <v>72.013</v>
      </c>
      <c r="I234" s="506">
        <f>((SUM(F225,F227)*1.01*1.15))</f>
        <v>33.2913776</v>
      </c>
    </row>
  </sheetData>
  <mergeCells count="306">
    <mergeCell ref="F157:G157"/>
    <mergeCell ref="A159:G159"/>
    <mergeCell ref="F160:G160"/>
    <mergeCell ref="B161:G161"/>
    <mergeCell ref="A162:F162"/>
    <mergeCell ref="A163:A164"/>
    <mergeCell ref="B163:B164"/>
    <mergeCell ref="A165:C165"/>
    <mergeCell ref="A166:C166"/>
    <mergeCell ref="A167:D167"/>
    <mergeCell ref="A168:D168"/>
    <mergeCell ref="A169:D169"/>
    <mergeCell ref="A170:D170"/>
    <mergeCell ref="A171:F171"/>
    <mergeCell ref="A139:C139"/>
    <mergeCell ref="A140:C140"/>
    <mergeCell ref="A141:D141"/>
    <mergeCell ref="A142:D142"/>
    <mergeCell ref="A143:D143"/>
    <mergeCell ref="A144:D144"/>
    <mergeCell ref="A145:F145"/>
    <mergeCell ref="A146:A147"/>
    <mergeCell ref="B146:B147"/>
    <mergeCell ref="A148:A149"/>
    <mergeCell ref="B148:B149"/>
    <mergeCell ref="C148:E148"/>
    <mergeCell ref="F148:G148"/>
    <mergeCell ref="A150:C150"/>
    <mergeCell ref="B157:B158"/>
    <mergeCell ref="C157:E157"/>
    <mergeCell ref="A151:C151"/>
    <mergeCell ref="A152:D152"/>
    <mergeCell ref="A153:D153"/>
    <mergeCell ref="A154:D154"/>
    <mergeCell ref="A155:D155"/>
    <mergeCell ref="A156:G156"/>
    <mergeCell ref="A157:A158"/>
    <mergeCell ref="C163:E163"/>
    <mergeCell ref="F163:G163"/>
    <mergeCell ref="C172:E172"/>
    <mergeCell ref="F172:G172"/>
    <mergeCell ref="C174:E174"/>
    <mergeCell ref="F174:G174"/>
    <mergeCell ref="A172:A173"/>
    <mergeCell ref="B172:B173"/>
    <mergeCell ref="A174:A175"/>
    <mergeCell ref="B174:B175"/>
    <mergeCell ref="A176:C176"/>
    <mergeCell ref="A177:C177"/>
    <mergeCell ref="A178:D178"/>
    <mergeCell ref="A205:D205"/>
    <mergeCell ref="A206:D206"/>
    <mergeCell ref="A207:D207"/>
    <mergeCell ref="A208:G208"/>
    <mergeCell ref="A209:A210"/>
    <mergeCell ref="B209:B210"/>
    <mergeCell ref="F209:G209"/>
    <mergeCell ref="C209:E209"/>
    <mergeCell ref="A211:G211"/>
    <mergeCell ref="F212:G212"/>
    <mergeCell ref="B213:G213"/>
    <mergeCell ref="A214:F214"/>
    <mergeCell ref="A215:A216"/>
    <mergeCell ref="B215:B216"/>
    <mergeCell ref="C224:E224"/>
    <mergeCell ref="F224:G224"/>
    <mergeCell ref="C226:E226"/>
    <mergeCell ref="F226:G226"/>
    <mergeCell ref="A217:C217"/>
    <mergeCell ref="A218:C218"/>
    <mergeCell ref="A219:D219"/>
    <mergeCell ref="A220:D220"/>
    <mergeCell ref="A221:D221"/>
    <mergeCell ref="A222:D222"/>
    <mergeCell ref="A223:F223"/>
    <mergeCell ref="A231:D231"/>
    <mergeCell ref="A232:D232"/>
    <mergeCell ref="A233:D233"/>
    <mergeCell ref="A234:G234"/>
    <mergeCell ref="A224:A225"/>
    <mergeCell ref="B224:B225"/>
    <mergeCell ref="A226:A227"/>
    <mergeCell ref="B226:B227"/>
    <mergeCell ref="A228:C228"/>
    <mergeCell ref="A229:C229"/>
    <mergeCell ref="A230:D230"/>
    <mergeCell ref="A179:D179"/>
    <mergeCell ref="A180:D180"/>
    <mergeCell ref="A181:D181"/>
    <mergeCell ref="A182:G182"/>
    <mergeCell ref="A183:A184"/>
    <mergeCell ref="B183:B184"/>
    <mergeCell ref="F183:G183"/>
    <mergeCell ref="C189:E189"/>
    <mergeCell ref="F189:G189"/>
    <mergeCell ref="C183:E183"/>
    <mergeCell ref="A185:G185"/>
    <mergeCell ref="F186:G186"/>
    <mergeCell ref="B187:G187"/>
    <mergeCell ref="A188:F188"/>
    <mergeCell ref="A189:A190"/>
    <mergeCell ref="B189:B190"/>
    <mergeCell ref="C198:E198"/>
    <mergeCell ref="F198:G198"/>
    <mergeCell ref="C200:E200"/>
    <mergeCell ref="F200:G200"/>
    <mergeCell ref="A191:C191"/>
    <mergeCell ref="A192:C192"/>
    <mergeCell ref="A193:D193"/>
    <mergeCell ref="A194:D194"/>
    <mergeCell ref="A195:D195"/>
    <mergeCell ref="A196:D196"/>
    <mergeCell ref="A197:F197"/>
    <mergeCell ref="A198:A199"/>
    <mergeCell ref="B198:B199"/>
    <mergeCell ref="A200:A201"/>
    <mergeCell ref="B200:B201"/>
    <mergeCell ref="A202:C202"/>
    <mergeCell ref="A203:C203"/>
    <mergeCell ref="A204:D204"/>
    <mergeCell ref="C215:E215"/>
    <mergeCell ref="F215:G215"/>
    <mergeCell ref="A23:D23"/>
    <mergeCell ref="A24:D24"/>
    <mergeCell ref="A25:D25"/>
    <mergeCell ref="A26:G26"/>
    <mergeCell ref="A27:A28"/>
    <mergeCell ref="B27:B28"/>
    <mergeCell ref="F27:G27"/>
    <mergeCell ref="C27:E27"/>
    <mergeCell ref="A29:G29"/>
    <mergeCell ref="F30:G30"/>
    <mergeCell ref="B31:G31"/>
    <mergeCell ref="A32:F32"/>
    <mergeCell ref="A33:A34"/>
    <mergeCell ref="B33:B34"/>
    <mergeCell ref="C7:E7"/>
    <mergeCell ref="F7:G7"/>
    <mergeCell ref="B1:B2"/>
    <mergeCell ref="C1:E1"/>
    <mergeCell ref="F1:G1"/>
    <mergeCell ref="A3:G3"/>
    <mergeCell ref="F4:G4"/>
    <mergeCell ref="B5:G5"/>
    <mergeCell ref="A6:F6"/>
    <mergeCell ref="A1:A2"/>
    <mergeCell ref="A7:A8"/>
    <mergeCell ref="B7:B8"/>
    <mergeCell ref="A9:C9"/>
    <mergeCell ref="A10:C10"/>
    <mergeCell ref="A11:D11"/>
    <mergeCell ref="A12:D12"/>
    <mergeCell ref="A13:D13"/>
    <mergeCell ref="A14:D14"/>
    <mergeCell ref="A15:F15"/>
    <mergeCell ref="A16:A17"/>
    <mergeCell ref="B16:B17"/>
    <mergeCell ref="C16:E16"/>
    <mergeCell ref="F16:G16"/>
    <mergeCell ref="A18:A19"/>
    <mergeCell ref="B18:B19"/>
    <mergeCell ref="C18:E18"/>
    <mergeCell ref="F18:G18"/>
    <mergeCell ref="A20:C20"/>
    <mergeCell ref="A21:C21"/>
    <mergeCell ref="A22:D22"/>
    <mergeCell ref="C33:E33"/>
    <mergeCell ref="F33:G33"/>
    <mergeCell ref="C42:E42"/>
    <mergeCell ref="F42:G42"/>
    <mergeCell ref="F53:G53"/>
    <mergeCell ref="A55:G55"/>
    <mergeCell ref="F56:G56"/>
    <mergeCell ref="B57:G57"/>
    <mergeCell ref="A58:F58"/>
    <mergeCell ref="A59:A60"/>
    <mergeCell ref="B59:B60"/>
    <mergeCell ref="A61:C61"/>
    <mergeCell ref="A62:C62"/>
    <mergeCell ref="A63:D63"/>
    <mergeCell ref="A64:D64"/>
    <mergeCell ref="A65:D65"/>
    <mergeCell ref="A66:D66"/>
    <mergeCell ref="A67:F67"/>
    <mergeCell ref="A35:C35"/>
    <mergeCell ref="A36:C36"/>
    <mergeCell ref="A37:D37"/>
    <mergeCell ref="A38:D38"/>
    <mergeCell ref="A39:D39"/>
    <mergeCell ref="A40:D40"/>
    <mergeCell ref="A41:F41"/>
    <mergeCell ref="A42:A43"/>
    <mergeCell ref="B42:B43"/>
    <mergeCell ref="A44:A45"/>
    <mergeCell ref="B44:B45"/>
    <mergeCell ref="C44:E44"/>
    <mergeCell ref="F44:G44"/>
    <mergeCell ref="A46:C46"/>
    <mergeCell ref="B53:B54"/>
    <mergeCell ref="C53:E53"/>
    <mergeCell ref="A47:C47"/>
    <mergeCell ref="A48:D48"/>
    <mergeCell ref="A49:D49"/>
    <mergeCell ref="A50:D50"/>
    <mergeCell ref="A51:D51"/>
    <mergeCell ref="A52:G52"/>
    <mergeCell ref="A53:A54"/>
    <mergeCell ref="C59:E59"/>
    <mergeCell ref="F59:G59"/>
    <mergeCell ref="C68:E68"/>
    <mergeCell ref="F68:G68"/>
    <mergeCell ref="C70:E70"/>
    <mergeCell ref="F70:G70"/>
    <mergeCell ref="A68:A69"/>
    <mergeCell ref="B68:B69"/>
    <mergeCell ref="A70:A71"/>
    <mergeCell ref="B70:B71"/>
    <mergeCell ref="A72:C72"/>
    <mergeCell ref="A73:C73"/>
    <mergeCell ref="A74:D74"/>
    <mergeCell ref="A75:D75"/>
    <mergeCell ref="A76:D76"/>
    <mergeCell ref="A77:D77"/>
    <mergeCell ref="A78:G78"/>
    <mergeCell ref="A79:A80"/>
    <mergeCell ref="B79:B80"/>
    <mergeCell ref="F79:G79"/>
    <mergeCell ref="C85:E85"/>
    <mergeCell ref="F85:G85"/>
    <mergeCell ref="C79:E79"/>
    <mergeCell ref="A81:G81"/>
    <mergeCell ref="F82:G82"/>
    <mergeCell ref="B83:G83"/>
    <mergeCell ref="A84:F84"/>
    <mergeCell ref="A85:A86"/>
    <mergeCell ref="B85:B86"/>
    <mergeCell ref="C94:E94"/>
    <mergeCell ref="F94:G94"/>
    <mergeCell ref="C96:E96"/>
    <mergeCell ref="F96:G96"/>
    <mergeCell ref="A87:C87"/>
    <mergeCell ref="A88:C88"/>
    <mergeCell ref="A89:D89"/>
    <mergeCell ref="A90:D90"/>
    <mergeCell ref="A91:D91"/>
    <mergeCell ref="A92:D92"/>
    <mergeCell ref="A93:F93"/>
    <mergeCell ref="A94:A95"/>
    <mergeCell ref="B94:B95"/>
    <mergeCell ref="A96:A97"/>
    <mergeCell ref="B96:B97"/>
    <mergeCell ref="A98:C98"/>
    <mergeCell ref="A99:C99"/>
    <mergeCell ref="A100:D100"/>
    <mergeCell ref="C111:E111"/>
    <mergeCell ref="F111:G111"/>
    <mergeCell ref="A127:D127"/>
    <mergeCell ref="A128:D128"/>
    <mergeCell ref="A129:D129"/>
    <mergeCell ref="A130:G130"/>
    <mergeCell ref="A131:A132"/>
    <mergeCell ref="B131:B132"/>
    <mergeCell ref="F131:G131"/>
    <mergeCell ref="C131:E131"/>
    <mergeCell ref="A133:G133"/>
    <mergeCell ref="F134:G134"/>
    <mergeCell ref="B135:G135"/>
    <mergeCell ref="A136:F136"/>
    <mergeCell ref="A137:A138"/>
    <mergeCell ref="B137:B138"/>
    <mergeCell ref="A101:D101"/>
    <mergeCell ref="A102:D102"/>
    <mergeCell ref="A103:D103"/>
    <mergeCell ref="A104:G104"/>
    <mergeCell ref="A105:A106"/>
    <mergeCell ref="B105:B106"/>
    <mergeCell ref="F105:G105"/>
    <mergeCell ref="C105:E105"/>
    <mergeCell ref="A107:G107"/>
    <mergeCell ref="F108:G108"/>
    <mergeCell ref="B109:G109"/>
    <mergeCell ref="A110:F110"/>
    <mergeCell ref="A111:A112"/>
    <mergeCell ref="B111:B112"/>
    <mergeCell ref="C120:E120"/>
    <mergeCell ref="F120:G120"/>
    <mergeCell ref="C122:E122"/>
    <mergeCell ref="F122:G122"/>
    <mergeCell ref="A113:C113"/>
    <mergeCell ref="A114:C114"/>
    <mergeCell ref="A115:D115"/>
    <mergeCell ref="A116:D116"/>
    <mergeCell ref="A117:D117"/>
    <mergeCell ref="A118:D118"/>
    <mergeCell ref="A119:F119"/>
    <mergeCell ref="A120:A121"/>
    <mergeCell ref="B120:B121"/>
    <mergeCell ref="A122:A123"/>
    <mergeCell ref="B122:B123"/>
    <mergeCell ref="A124:C124"/>
    <mergeCell ref="A125:C125"/>
    <mergeCell ref="A126:D126"/>
    <mergeCell ref="C137:E137"/>
    <mergeCell ref="F137:G137"/>
    <mergeCell ref="C146:E146"/>
    <mergeCell ref="F146:G146"/>
  </mergeCells>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hidden="1" min="8" max="9" width="14.43"/>
  </cols>
  <sheetData>
    <row r="1">
      <c r="A1" s="111" t="s">
        <v>742</v>
      </c>
      <c r="B1" s="111" t="s">
        <v>745</v>
      </c>
      <c r="C1" s="112" t="s">
        <v>6</v>
      </c>
      <c r="D1" s="2"/>
      <c r="E1" s="3"/>
      <c r="F1" s="112" t="s">
        <v>746</v>
      </c>
      <c r="G1" s="3"/>
      <c r="H1" s="468"/>
      <c r="I1" s="468"/>
    </row>
    <row r="2">
      <c r="A2" s="20"/>
      <c r="B2" s="20"/>
      <c r="C2" s="115" t="s">
        <v>8</v>
      </c>
      <c r="D2" s="115" t="s">
        <v>9</v>
      </c>
      <c r="E2" s="115" t="s">
        <v>358</v>
      </c>
      <c r="F2" s="115" t="s">
        <v>11</v>
      </c>
      <c r="G2" s="115" t="s">
        <v>751</v>
      </c>
      <c r="H2" s="468"/>
      <c r="I2" s="468"/>
    </row>
    <row r="3">
      <c r="A3" s="469" t="s">
        <v>1685</v>
      </c>
      <c r="B3" s="2"/>
      <c r="C3" s="2"/>
      <c r="D3" s="2"/>
      <c r="E3" s="2"/>
      <c r="F3" s="2"/>
      <c r="G3" s="3"/>
      <c r="H3" s="468"/>
      <c r="I3" s="468"/>
    </row>
    <row r="4">
      <c r="A4" s="119"/>
      <c r="B4" s="120" t="s">
        <v>754</v>
      </c>
      <c r="C4" s="120" t="s">
        <v>1117</v>
      </c>
      <c r="D4" s="120" t="s">
        <v>757</v>
      </c>
      <c r="E4" s="121">
        <v>1.0</v>
      </c>
      <c r="F4" s="467"/>
      <c r="G4" s="3"/>
      <c r="H4" s="468"/>
      <c r="I4" s="468"/>
    </row>
    <row r="5">
      <c r="A5" s="120" t="s">
        <v>761</v>
      </c>
      <c r="B5" s="123" t="s">
        <v>1617</v>
      </c>
      <c r="C5" s="2"/>
      <c r="D5" s="2"/>
      <c r="E5" s="2"/>
      <c r="F5" s="2"/>
      <c r="G5" s="3"/>
      <c r="H5" s="468"/>
      <c r="I5" s="468"/>
    </row>
    <row r="6">
      <c r="A6" s="124" t="s">
        <v>764</v>
      </c>
      <c r="B6" s="2"/>
      <c r="C6" s="2"/>
      <c r="D6" s="2"/>
      <c r="E6" s="2"/>
      <c r="F6" s="3"/>
      <c r="G6" s="125" t="s">
        <v>766</v>
      </c>
      <c r="H6" s="468"/>
      <c r="I6" s="468"/>
    </row>
    <row r="7">
      <c r="A7" s="126"/>
      <c r="B7" s="127" t="s">
        <v>1689</v>
      </c>
      <c r="C7" s="123" t="s">
        <v>1690</v>
      </c>
      <c r="D7" s="2"/>
      <c r="E7" s="3"/>
      <c r="F7" s="467"/>
      <c r="G7" s="3"/>
      <c r="H7" s="468"/>
      <c r="I7" s="468"/>
    </row>
    <row r="8">
      <c r="A8" s="20"/>
      <c r="B8" s="20"/>
      <c r="C8" s="120" t="s">
        <v>43</v>
      </c>
      <c r="D8" s="121">
        <v>1.0</v>
      </c>
      <c r="E8" s="121">
        <v>24.5</v>
      </c>
      <c r="F8" s="121">
        <f>D8*E8</f>
        <v>24.5</v>
      </c>
      <c r="G8" s="120" t="s">
        <v>772</v>
      </c>
      <c r="H8" s="468"/>
      <c r="I8" s="468"/>
    </row>
    <row r="9">
      <c r="A9" s="129" t="s">
        <v>1116</v>
      </c>
      <c r="B9" s="2"/>
      <c r="C9" s="3"/>
      <c r="D9" s="121">
        <v>1.0</v>
      </c>
      <c r="E9" s="130" t="s">
        <v>1117</v>
      </c>
      <c r="F9" s="121">
        <f>F8</f>
        <v>24.5</v>
      </c>
      <c r="G9" s="120"/>
      <c r="H9" s="468"/>
      <c r="I9" s="468"/>
    </row>
    <row r="10">
      <c r="A10" s="129" t="s">
        <v>800</v>
      </c>
      <c r="B10" s="2"/>
      <c r="C10" s="3"/>
      <c r="D10" s="121">
        <v>1.0</v>
      </c>
      <c r="E10" s="130" t="s">
        <v>1117</v>
      </c>
      <c r="F10" s="121">
        <f>F9/D9</f>
        <v>24.5</v>
      </c>
      <c r="G10" s="120"/>
      <c r="H10" s="468"/>
      <c r="I10" s="468"/>
    </row>
    <row r="11">
      <c r="A11" s="133" t="s">
        <v>802</v>
      </c>
      <c r="B11" s="2"/>
      <c r="C11" s="2"/>
      <c r="D11" s="3"/>
      <c r="E11" s="121"/>
      <c r="F11" s="121">
        <f>F10*1%</f>
        <v>0.245</v>
      </c>
      <c r="G11" s="120"/>
      <c r="H11" s="468"/>
      <c r="I11" s="468"/>
    </row>
    <row r="12">
      <c r="A12" s="133" t="s">
        <v>42</v>
      </c>
      <c r="B12" s="2"/>
      <c r="C12" s="2"/>
      <c r="D12" s="3"/>
      <c r="E12" s="131"/>
      <c r="F12" s="121">
        <f>F11+F10</f>
        <v>24.745</v>
      </c>
      <c r="G12" s="120"/>
      <c r="H12" s="468"/>
      <c r="I12" s="468"/>
    </row>
    <row r="13">
      <c r="A13" s="133" t="s">
        <v>806</v>
      </c>
      <c r="B13" s="2"/>
      <c r="C13" s="2"/>
      <c r="D13" s="3"/>
      <c r="E13" s="121"/>
      <c r="F13" s="121">
        <f>F12*15%</f>
        <v>3.71175</v>
      </c>
      <c r="G13" s="120"/>
      <c r="H13" s="468"/>
      <c r="I13" s="468"/>
    </row>
    <row r="14">
      <c r="A14" s="133" t="s">
        <v>42</v>
      </c>
      <c r="B14" s="2"/>
      <c r="C14" s="2"/>
      <c r="D14" s="3"/>
      <c r="E14" s="131"/>
      <c r="F14" s="300">
        <f>round(F13+F12,2)</f>
        <v>28.46</v>
      </c>
      <c r="G14" s="120"/>
      <c r="H14" s="468"/>
      <c r="I14" s="468"/>
    </row>
    <row r="15">
      <c r="A15" s="124" t="s">
        <v>843</v>
      </c>
      <c r="B15" s="2"/>
      <c r="C15" s="2"/>
      <c r="D15" s="2"/>
      <c r="E15" s="2"/>
      <c r="F15" s="3"/>
      <c r="G15" s="125" t="s">
        <v>778</v>
      </c>
      <c r="H15" s="468"/>
      <c r="I15" s="468"/>
    </row>
    <row r="16">
      <c r="A16" s="127">
        <v>9999.0</v>
      </c>
      <c r="B16" s="126"/>
      <c r="C16" s="123" t="s">
        <v>1626</v>
      </c>
      <c r="D16" s="2"/>
      <c r="E16" s="3"/>
      <c r="F16" s="467"/>
      <c r="G16" s="3"/>
      <c r="H16" s="468"/>
      <c r="I16" s="468"/>
    </row>
    <row r="17">
      <c r="A17" s="20"/>
      <c r="B17" s="20"/>
      <c r="C17" s="120" t="s">
        <v>107</v>
      </c>
      <c r="D17" s="121">
        <v>2.73</v>
      </c>
      <c r="E17" s="121">
        <v>2.12</v>
      </c>
      <c r="F17" s="121">
        <f>D17*E17</f>
        <v>5.7876</v>
      </c>
      <c r="G17" s="120" t="s">
        <v>846</v>
      </c>
      <c r="H17" s="468"/>
      <c r="I17" s="468"/>
    </row>
    <row r="18">
      <c r="A18" s="127">
        <v>9999.0</v>
      </c>
      <c r="B18" s="126"/>
      <c r="C18" s="123" t="s">
        <v>1629</v>
      </c>
      <c r="D18" s="2"/>
      <c r="E18" s="3"/>
      <c r="F18" s="467"/>
      <c r="G18" s="3"/>
      <c r="H18" s="468"/>
      <c r="I18" s="468"/>
    </row>
    <row r="19">
      <c r="A19" s="20"/>
      <c r="B19" s="20"/>
      <c r="C19" s="120" t="s">
        <v>107</v>
      </c>
      <c r="D19" s="121">
        <v>9.36</v>
      </c>
      <c r="E19" s="121">
        <v>2.12</v>
      </c>
      <c r="F19" s="121">
        <f>D19*E19</f>
        <v>19.8432</v>
      </c>
      <c r="G19" s="120" t="s">
        <v>850</v>
      </c>
      <c r="H19" s="468"/>
      <c r="I19" s="468"/>
    </row>
    <row r="20">
      <c r="A20" s="129" t="s">
        <v>1633</v>
      </c>
      <c r="B20" s="2"/>
      <c r="C20" s="3"/>
      <c r="D20" s="121">
        <v>1.0</v>
      </c>
      <c r="E20" s="130" t="s">
        <v>1117</v>
      </c>
      <c r="F20" s="121">
        <f>F19+F17</f>
        <v>25.6308</v>
      </c>
      <c r="G20" s="131"/>
      <c r="H20" s="468"/>
      <c r="I20" s="468"/>
    </row>
    <row r="21">
      <c r="A21" s="129" t="s">
        <v>800</v>
      </c>
      <c r="B21" s="2"/>
      <c r="C21" s="3"/>
      <c r="D21" s="121">
        <v>1.0</v>
      </c>
      <c r="E21" s="130" t="s">
        <v>1117</v>
      </c>
      <c r="F21" s="121">
        <f>F20/D20</f>
        <v>25.6308</v>
      </c>
      <c r="G21" s="131"/>
      <c r="H21" s="468"/>
      <c r="I21" s="468"/>
    </row>
    <row r="22">
      <c r="A22" s="133" t="s">
        <v>802</v>
      </c>
      <c r="B22" s="2"/>
      <c r="C22" s="2"/>
      <c r="D22" s="3"/>
      <c r="E22" s="121"/>
      <c r="F22" s="121">
        <f>F21*1%</f>
        <v>0.256308</v>
      </c>
      <c r="G22" s="131"/>
      <c r="H22" s="468"/>
      <c r="I22" s="468"/>
    </row>
    <row r="23">
      <c r="A23" s="133" t="s">
        <v>42</v>
      </c>
      <c r="B23" s="2"/>
      <c r="C23" s="2"/>
      <c r="D23" s="3"/>
      <c r="E23" s="131"/>
      <c r="F23" s="121">
        <f>F22+F21</f>
        <v>25.887108</v>
      </c>
      <c r="G23" s="131"/>
      <c r="H23" s="468"/>
      <c r="I23" s="468"/>
    </row>
    <row r="24">
      <c r="A24" s="133" t="s">
        <v>806</v>
      </c>
      <c r="B24" s="2"/>
      <c r="C24" s="2"/>
      <c r="D24" s="3"/>
      <c r="E24" s="121"/>
      <c r="F24" s="121">
        <f>F23*15%</f>
        <v>3.8830662</v>
      </c>
      <c r="G24" s="131"/>
      <c r="H24" s="468"/>
      <c r="I24" s="468"/>
    </row>
    <row r="25">
      <c r="A25" s="133" t="s">
        <v>42</v>
      </c>
      <c r="B25" s="2"/>
      <c r="C25" s="2"/>
      <c r="D25" s="3"/>
      <c r="E25" s="131"/>
      <c r="F25" s="300">
        <f>round(F24+F23,2)</f>
        <v>29.77</v>
      </c>
      <c r="G25" s="131"/>
      <c r="H25" s="468"/>
      <c r="I25" s="468"/>
    </row>
    <row r="26">
      <c r="A26" s="455" t="str">
        <f>CONCATENATE("Say ₹ ",F14," + ",F25," x Cost Index")</f>
        <v>Say ₹ 28.46 + 29.77 x Cost Index</v>
      </c>
      <c r="B26" s="2"/>
      <c r="C26" s="2"/>
      <c r="D26" s="2"/>
      <c r="E26" s="2"/>
      <c r="F26" s="2"/>
      <c r="G26" s="3"/>
      <c r="H26" s="474">
        <f>((F8*1.01*1.15))</f>
        <v>28.45675</v>
      </c>
      <c r="I26" s="474">
        <f>((SUM(F17,F19)*1.01*1.15))</f>
        <v>29.7701742</v>
      </c>
    </row>
    <row r="27">
      <c r="A27" s="111" t="s">
        <v>742</v>
      </c>
      <c r="B27" s="111" t="s">
        <v>745</v>
      </c>
      <c r="C27" s="112" t="s">
        <v>6</v>
      </c>
      <c r="D27" s="2"/>
      <c r="E27" s="3"/>
      <c r="F27" s="112" t="s">
        <v>746</v>
      </c>
      <c r="G27" s="3"/>
      <c r="H27" s="468"/>
      <c r="I27" s="468"/>
    </row>
    <row r="28">
      <c r="A28" s="20"/>
      <c r="B28" s="20"/>
      <c r="C28" s="115" t="s">
        <v>8</v>
      </c>
      <c r="D28" s="115" t="s">
        <v>9</v>
      </c>
      <c r="E28" s="115" t="s">
        <v>358</v>
      </c>
      <c r="F28" s="115" t="s">
        <v>11</v>
      </c>
      <c r="G28" s="115" t="s">
        <v>751</v>
      </c>
      <c r="H28" s="468"/>
      <c r="I28" s="468"/>
    </row>
    <row r="29">
      <c r="A29" s="469" t="s">
        <v>1708</v>
      </c>
      <c r="B29" s="2"/>
      <c r="C29" s="2"/>
      <c r="D29" s="2"/>
      <c r="E29" s="2"/>
      <c r="F29" s="2"/>
      <c r="G29" s="3"/>
      <c r="H29" s="468"/>
      <c r="I29" s="468"/>
    </row>
    <row r="30">
      <c r="A30" s="119"/>
      <c r="B30" s="120" t="s">
        <v>754</v>
      </c>
      <c r="C30" s="120" t="s">
        <v>1117</v>
      </c>
      <c r="D30" s="120" t="s">
        <v>757</v>
      </c>
      <c r="E30" s="121">
        <v>1.0</v>
      </c>
      <c r="F30" s="467"/>
      <c r="G30" s="3"/>
      <c r="H30" s="468"/>
      <c r="I30" s="468"/>
    </row>
    <row r="31">
      <c r="A31" s="120" t="s">
        <v>761</v>
      </c>
      <c r="B31" s="123" t="s">
        <v>1617</v>
      </c>
      <c r="C31" s="2"/>
      <c r="D31" s="2"/>
      <c r="E31" s="2"/>
      <c r="F31" s="2"/>
      <c r="G31" s="3"/>
      <c r="H31" s="468"/>
      <c r="I31" s="468"/>
    </row>
    <row r="32">
      <c r="A32" s="124" t="s">
        <v>764</v>
      </c>
      <c r="B32" s="2"/>
      <c r="C32" s="2"/>
      <c r="D32" s="2"/>
      <c r="E32" s="2"/>
      <c r="F32" s="3"/>
      <c r="G32" s="125" t="s">
        <v>766</v>
      </c>
      <c r="H32" s="468"/>
      <c r="I32" s="468"/>
    </row>
    <row r="33">
      <c r="A33" s="126"/>
      <c r="B33" s="127" t="s">
        <v>1710</v>
      </c>
      <c r="C33" s="123" t="s">
        <v>1711</v>
      </c>
      <c r="D33" s="2"/>
      <c r="E33" s="3"/>
      <c r="F33" s="467"/>
      <c r="G33" s="3"/>
      <c r="H33" s="468"/>
      <c r="I33" s="468"/>
    </row>
    <row r="34">
      <c r="A34" s="20"/>
      <c r="B34" s="20"/>
      <c r="C34" s="120" t="s">
        <v>43</v>
      </c>
      <c r="D34" s="121">
        <v>1.0</v>
      </c>
      <c r="E34" s="121">
        <v>30.0</v>
      </c>
      <c r="F34" s="121">
        <f>D34*E34</f>
        <v>30</v>
      </c>
      <c r="G34" s="120" t="s">
        <v>772</v>
      </c>
      <c r="H34" s="468"/>
      <c r="I34" s="468"/>
    </row>
    <row r="35">
      <c r="A35" s="129" t="s">
        <v>1116</v>
      </c>
      <c r="B35" s="2"/>
      <c r="C35" s="3"/>
      <c r="D35" s="121">
        <v>1.0</v>
      </c>
      <c r="E35" s="130" t="s">
        <v>1117</v>
      </c>
      <c r="F35" s="121">
        <f>F34</f>
        <v>30</v>
      </c>
      <c r="G35" s="120"/>
      <c r="H35" s="468"/>
      <c r="I35" s="468"/>
    </row>
    <row r="36">
      <c r="A36" s="129" t="s">
        <v>800</v>
      </c>
      <c r="B36" s="2"/>
      <c r="C36" s="3"/>
      <c r="D36" s="121">
        <v>1.0</v>
      </c>
      <c r="E36" s="130" t="s">
        <v>1117</v>
      </c>
      <c r="F36" s="121">
        <f>F35/D35</f>
        <v>30</v>
      </c>
      <c r="G36" s="120"/>
      <c r="H36" s="468"/>
      <c r="I36" s="468"/>
    </row>
    <row r="37">
      <c r="A37" s="133" t="s">
        <v>802</v>
      </c>
      <c r="B37" s="2"/>
      <c r="C37" s="2"/>
      <c r="D37" s="3"/>
      <c r="E37" s="121"/>
      <c r="F37" s="121">
        <f>F36*1%</f>
        <v>0.3</v>
      </c>
      <c r="G37" s="120"/>
      <c r="H37" s="468"/>
      <c r="I37" s="468"/>
    </row>
    <row r="38">
      <c r="A38" s="133" t="s">
        <v>42</v>
      </c>
      <c r="B38" s="2"/>
      <c r="C38" s="2"/>
      <c r="D38" s="3"/>
      <c r="E38" s="131"/>
      <c r="F38" s="121">
        <f>F37+F36</f>
        <v>30.3</v>
      </c>
      <c r="G38" s="120"/>
      <c r="H38" s="468"/>
      <c r="I38" s="468"/>
    </row>
    <row r="39">
      <c r="A39" s="133" t="s">
        <v>806</v>
      </c>
      <c r="B39" s="2"/>
      <c r="C39" s="2"/>
      <c r="D39" s="3"/>
      <c r="E39" s="121"/>
      <c r="F39" s="121">
        <f>F38*15%</f>
        <v>4.545</v>
      </c>
      <c r="G39" s="120"/>
      <c r="H39" s="468"/>
      <c r="I39" s="468"/>
    </row>
    <row r="40">
      <c r="A40" s="133" t="s">
        <v>42</v>
      </c>
      <c r="B40" s="2"/>
      <c r="C40" s="2"/>
      <c r="D40" s="3"/>
      <c r="E40" s="131"/>
      <c r="F40" s="300">
        <f>round(F39+F38,2)</f>
        <v>34.85</v>
      </c>
      <c r="G40" s="120"/>
      <c r="H40" s="468"/>
      <c r="I40" s="468"/>
    </row>
    <row r="41">
      <c r="A41" s="124" t="s">
        <v>843</v>
      </c>
      <c r="B41" s="2"/>
      <c r="C41" s="2"/>
      <c r="D41" s="2"/>
      <c r="E41" s="2"/>
      <c r="F41" s="3"/>
      <c r="G41" s="125" t="s">
        <v>778</v>
      </c>
      <c r="H41" s="468"/>
      <c r="I41" s="468"/>
    </row>
    <row r="42">
      <c r="A42" s="127">
        <v>9999.0</v>
      </c>
      <c r="B42" s="126"/>
      <c r="C42" s="123" t="s">
        <v>1626</v>
      </c>
      <c r="D42" s="2"/>
      <c r="E42" s="3"/>
      <c r="F42" s="467"/>
      <c r="G42" s="3"/>
      <c r="H42" s="468"/>
      <c r="I42" s="468"/>
    </row>
    <row r="43">
      <c r="A43" s="20"/>
      <c r="B43" s="20"/>
      <c r="C43" s="120" t="s">
        <v>107</v>
      </c>
      <c r="D43" s="121">
        <v>2.73</v>
      </c>
      <c r="E43" s="121">
        <v>2.12</v>
      </c>
      <c r="F43" s="121">
        <f>E43*D43</f>
        <v>5.7876</v>
      </c>
      <c r="G43" s="120" t="s">
        <v>846</v>
      </c>
      <c r="H43" s="468"/>
      <c r="I43" s="468"/>
    </row>
    <row r="44">
      <c r="A44" s="127">
        <v>9999.0</v>
      </c>
      <c r="B44" s="126"/>
      <c r="C44" s="123" t="s">
        <v>1629</v>
      </c>
      <c r="D44" s="2"/>
      <c r="E44" s="3"/>
      <c r="F44" s="467"/>
      <c r="G44" s="3"/>
      <c r="H44" s="468"/>
      <c r="I44" s="468"/>
    </row>
    <row r="45">
      <c r="A45" s="20"/>
      <c r="B45" s="20"/>
      <c r="C45" s="120" t="s">
        <v>107</v>
      </c>
      <c r="D45" s="121">
        <v>9.36</v>
      </c>
      <c r="E45" s="121">
        <v>2.12</v>
      </c>
      <c r="F45" s="121">
        <f>D45*E45</f>
        <v>19.8432</v>
      </c>
      <c r="G45" s="120" t="s">
        <v>850</v>
      </c>
      <c r="H45" s="468"/>
      <c r="I45" s="468"/>
    </row>
    <row r="46">
      <c r="A46" s="129" t="s">
        <v>1633</v>
      </c>
      <c r="B46" s="2"/>
      <c r="C46" s="3"/>
      <c r="D46" s="121">
        <v>1.0</v>
      </c>
      <c r="E46" s="130" t="s">
        <v>1117</v>
      </c>
      <c r="F46" s="121">
        <f>F45+F43</f>
        <v>25.6308</v>
      </c>
      <c r="G46" s="131"/>
      <c r="H46" s="468"/>
      <c r="I46" s="468"/>
    </row>
    <row r="47">
      <c r="A47" s="129" t="s">
        <v>800</v>
      </c>
      <c r="B47" s="2"/>
      <c r="C47" s="3"/>
      <c r="D47" s="121">
        <v>1.0</v>
      </c>
      <c r="E47" s="130" t="s">
        <v>1117</v>
      </c>
      <c r="F47" s="121">
        <f>F46/D46</f>
        <v>25.6308</v>
      </c>
      <c r="G47" s="131"/>
      <c r="H47" s="468"/>
      <c r="I47" s="468"/>
    </row>
    <row r="48">
      <c r="A48" s="133" t="s">
        <v>802</v>
      </c>
      <c r="B48" s="2"/>
      <c r="C48" s="2"/>
      <c r="D48" s="3"/>
      <c r="E48" s="121"/>
      <c r="F48" s="121">
        <f>F47*1%</f>
        <v>0.256308</v>
      </c>
      <c r="G48" s="131"/>
      <c r="H48" s="468"/>
      <c r="I48" s="468"/>
    </row>
    <row r="49">
      <c r="A49" s="133" t="s">
        <v>42</v>
      </c>
      <c r="B49" s="2"/>
      <c r="C49" s="2"/>
      <c r="D49" s="3"/>
      <c r="E49" s="131"/>
      <c r="F49" s="121">
        <f>F48+F47</f>
        <v>25.887108</v>
      </c>
      <c r="G49" s="131"/>
      <c r="H49" s="468"/>
      <c r="I49" s="468"/>
    </row>
    <row r="50">
      <c r="A50" s="133" t="s">
        <v>806</v>
      </c>
      <c r="B50" s="2"/>
      <c r="C50" s="2"/>
      <c r="D50" s="3"/>
      <c r="E50" s="121"/>
      <c r="F50" s="121">
        <f>F49*15%</f>
        <v>3.8830662</v>
      </c>
      <c r="G50" s="131"/>
      <c r="H50" s="468"/>
      <c r="I50" s="468"/>
    </row>
    <row r="51">
      <c r="A51" s="133" t="s">
        <v>42</v>
      </c>
      <c r="B51" s="2"/>
      <c r="C51" s="2"/>
      <c r="D51" s="3"/>
      <c r="E51" s="131"/>
      <c r="F51" s="300">
        <f>round(F50+F49,2)</f>
        <v>29.77</v>
      </c>
      <c r="G51" s="131"/>
      <c r="H51" s="468"/>
      <c r="I51" s="468"/>
    </row>
    <row r="52">
      <c r="A52" s="455" t="str">
        <f>CONCATENATE("Say ₹ ",F40," + ",F51," x Cost Index")</f>
        <v>Say ₹ 34.85 + 29.77 x Cost Index</v>
      </c>
      <c r="B52" s="2"/>
      <c r="C52" s="2"/>
      <c r="D52" s="2"/>
      <c r="E52" s="2"/>
      <c r="F52" s="2"/>
      <c r="G52" s="3"/>
      <c r="H52" s="474">
        <f>((F34*1.01*1.15))</f>
        <v>34.845</v>
      </c>
      <c r="I52" s="474">
        <f>((SUM(F43,F45)*1.01*1.15))</f>
        <v>29.7701742</v>
      </c>
    </row>
    <row r="53">
      <c r="A53" s="111" t="s">
        <v>742</v>
      </c>
      <c r="B53" s="111" t="s">
        <v>745</v>
      </c>
      <c r="C53" s="112" t="s">
        <v>6</v>
      </c>
      <c r="D53" s="2"/>
      <c r="E53" s="3"/>
      <c r="F53" s="112" t="s">
        <v>746</v>
      </c>
      <c r="G53" s="3"/>
      <c r="H53" s="468"/>
      <c r="I53" s="468"/>
    </row>
    <row r="54">
      <c r="A54" s="20"/>
      <c r="B54" s="20"/>
      <c r="C54" s="115" t="s">
        <v>8</v>
      </c>
      <c r="D54" s="115" t="s">
        <v>9</v>
      </c>
      <c r="E54" s="115" t="s">
        <v>358</v>
      </c>
      <c r="F54" s="115" t="s">
        <v>11</v>
      </c>
      <c r="G54" s="115" t="s">
        <v>751</v>
      </c>
      <c r="H54" s="468"/>
      <c r="I54" s="468"/>
    </row>
    <row r="55">
      <c r="A55" s="469" t="s">
        <v>1717</v>
      </c>
      <c r="B55" s="2"/>
      <c r="C55" s="2"/>
      <c r="D55" s="2"/>
      <c r="E55" s="2"/>
      <c r="F55" s="2"/>
      <c r="G55" s="3"/>
      <c r="H55" s="468"/>
      <c r="I55" s="468"/>
    </row>
    <row r="56">
      <c r="A56" s="119"/>
      <c r="B56" s="120" t="s">
        <v>754</v>
      </c>
      <c r="C56" s="120" t="s">
        <v>1117</v>
      </c>
      <c r="D56" s="120" t="s">
        <v>757</v>
      </c>
      <c r="E56" s="121">
        <v>1.0</v>
      </c>
      <c r="F56" s="467"/>
      <c r="G56" s="3"/>
      <c r="H56" s="468"/>
      <c r="I56" s="468"/>
    </row>
    <row r="57">
      <c r="A57" s="120" t="s">
        <v>761</v>
      </c>
      <c r="B57" s="123" t="s">
        <v>1641</v>
      </c>
      <c r="C57" s="2"/>
      <c r="D57" s="2"/>
      <c r="E57" s="2"/>
      <c r="F57" s="2"/>
      <c r="G57" s="3"/>
      <c r="H57" s="468"/>
      <c r="I57" s="468"/>
    </row>
    <row r="58">
      <c r="A58" s="124" t="s">
        <v>764</v>
      </c>
      <c r="B58" s="2"/>
      <c r="C58" s="2"/>
      <c r="D58" s="2"/>
      <c r="E58" s="2"/>
      <c r="F58" s="3"/>
      <c r="G58" s="125" t="s">
        <v>766</v>
      </c>
      <c r="H58" s="468"/>
      <c r="I58" s="468"/>
    </row>
    <row r="59">
      <c r="A59" s="126"/>
      <c r="B59" s="127" t="s">
        <v>1721</v>
      </c>
      <c r="C59" s="123" t="s">
        <v>1722</v>
      </c>
      <c r="D59" s="2"/>
      <c r="E59" s="3"/>
      <c r="F59" s="467"/>
      <c r="G59" s="3"/>
      <c r="H59" s="468"/>
      <c r="I59" s="468"/>
    </row>
    <row r="60">
      <c r="A60" s="20"/>
      <c r="B60" s="20"/>
      <c r="C60" s="120" t="s">
        <v>43</v>
      </c>
      <c r="D60" s="121">
        <v>1.0</v>
      </c>
      <c r="E60" s="121">
        <v>59.0</v>
      </c>
      <c r="F60" s="121">
        <f>D60*E60</f>
        <v>59</v>
      </c>
      <c r="G60" s="120" t="s">
        <v>772</v>
      </c>
      <c r="H60" s="468"/>
      <c r="I60" s="468"/>
    </row>
    <row r="61">
      <c r="A61" s="129" t="s">
        <v>1116</v>
      </c>
      <c r="B61" s="2"/>
      <c r="C61" s="3"/>
      <c r="D61" s="121">
        <v>1.0</v>
      </c>
      <c r="E61" s="130" t="s">
        <v>1117</v>
      </c>
      <c r="F61" s="121">
        <f>F60</f>
        <v>59</v>
      </c>
      <c r="G61" s="120"/>
      <c r="H61" s="468"/>
      <c r="I61" s="468"/>
    </row>
    <row r="62">
      <c r="A62" s="129" t="s">
        <v>800</v>
      </c>
      <c r="B62" s="2"/>
      <c r="C62" s="3"/>
      <c r="D62" s="121">
        <v>1.0</v>
      </c>
      <c r="E62" s="130" t="s">
        <v>1117</v>
      </c>
      <c r="F62" s="121">
        <f>F61/D61</f>
        <v>59</v>
      </c>
      <c r="G62" s="120"/>
      <c r="H62" s="468"/>
      <c r="I62" s="468"/>
    </row>
    <row r="63">
      <c r="A63" s="133" t="s">
        <v>802</v>
      </c>
      <c r="B63" s="2"/>
      <c r="C63" s="2"/>
      <c r="D63" s="3"/>
      <c r="E63" s="121"/>
      <c r="F63" s="121">
        <f>F62*1%</f>
        <v>0.59</v>
      </c>
      <c r="G63" s="120"/>
      <c r="H63" s="468"/>
      <c r="I63" s="468"/>
    </row>
    <row r="64">
      <c r="A64" s="133" t="s">
        <v>42</v>
      </c>
      <c r="B64" s="2"/>
      <c r="C64" s="2"/>
      <c r="D64" s="3"/>
      <c r="E64" s="131"/>
      <c r="F64" s="121">
        <f>F63+F62</f>
        <v>59.59</v>
      </c>
      <c r="G64" s="120"/>
      <c r="H64" s="468"/>
      <c r="I64" s="468"/>
    </row>
    <row r="65">
      <c r="A65" s="133" t="s">
        <v>806</v>
      </c>
      <c r="B65" s="2"/>
      <c r="C65" s="2"/>
      <c r="D65" s="3"/>
      <c r="E65" s="121"/>
      <c r="F65" s="121">
        <f>F64*15%</f>
        <v>8.9385</v>
      </c>
      <c r="G65" s="120"/>
      <c r="H65" s="468"/>
      <c r="I65" s="468"/>
    </row>
    <row r="66">
      <c r="A66" s="133" t="s">
        <v>42</v>
      </c>
      <c r="B66" s="2"/>
      <c r="C66" s="2"/>
      <c r="D66" s="3"/>
      <c r="E66" s="131"/>
      <c r="F66" s="300">
        <f>round(F65+F64,2)</f>
        <v>68.53</v>
      </c>
      <c r="G66" s="120"/>
      <c r="H66" s="468"/>
      <c r="I66" s="468"/>
    </row>
    <row r="67">
      <c r="A67" s="124" t="s">
        <v>843</v>
      </c>
      <c r="B67" s="2"/>
      <c r="C67" s="2"/>
      <c r="D67" s="2"/>
      <c r="E67" s="2"/>
      <c r="F67" s="3"/>
      <c r="G67" s="125" t="s">
        <v>778</v>
      </c>
      <c r="H67" s="468"/>
      <c r="I67" s="468"/>
    </row>
    <row r="68">
      <c r="A68" s="127">
        <v>9999.0</v>
      </c>
      <c r="B68" s="126"/>
      <c r="C68" s="123" t="s">
        <v>1651</v>
      </c>
      <c r="D68" s="2"/>
      <c r="E68" s="3"/>
      <c r="F68" s="467"/>
      <c r="G68" s="3"/>
      <c r="H68" s="468"/>
      <c r="I68" s="468"/>
    </row>
    <row r="69">
      <c r="A69" s="20"/>
      <c r="B69" s="20"/>
      <c r="C69" s="120" t="s">
        <v>107</v>
      </c>
      <c r="D69" s="121">
        <v>2.73</v>
      </c>
      <c r="E69" s="121">
        <v>2.12</v>
      </c>
      <c r="F69" s="121">
        <f>E69*D69</f>
        <v>5.7876</v>
      </c>
      <c r="G69" s="120" t="s">
        <v>846</v>
      </c>
      <c r="H69" s="468"/>
      <c r="I69" s="468"/>
    </row>
    <row r="70">
      <c r="A70" s="127">
        <v>9999.0</v>
      </c>
      <c r="B70" s="126"/>
      <c r="C70" s="123" t="s">
        <v>1629</v>
      </c>
      <c r="D70" s="2"/>
      <c r="E70" s="3"/>
      <c r="F70" s="467"/>
      <c r="G70" s="3"/>
      <c r="H70" s="468"/>
      <c r="I70" s="468"/>
    </row>
    <row r="71">
      <c r="A71" s="20"/>
      <c r="B71" s="20"/>
      <c r="C71" s="120" t="s">
        <v>107</v>
      </c>
      <c r="D71" s="121">
        <v>10.79</v>
      </c>
      <c r="E71" s="121">
        <v>2.12</v>
      </c>
      <c r="F71" s="121">
        <f>D71*E71</f>
        <v>22.8748</v>
      </c>
      <c r="G71" s="120" t="s">
        <v>850</v>
      </c>
      <c r="H71" s="468"/>
      <c r="I71" s="468"/>
    </row>
    <row r="72">
      <c r="A72" s="129" t="s">
        <v>1633</v>
      </c>
      <c r="B72" s="2"/>
      <c r="C72" s="3"/>
      <c r="D72" s="121">
        <v>1.0</v>
      </c>
      <c r="E72" s="130" t="s">
        <v>1117</v>
      </c>
      <c r="F72" s="121">
        <f>F71+F69</f>
        <v>28.6624</v>
      </c>
      <c r="G72" s="131"/>
      <c r="H72" s="468"/>
      <c r="I72" s="468"/>
    </row>
    <row r="73">
      <c r="A73" s="129" t="s">
        <v>800</v>
      </c>
      <c r="B73" s="2"/>
      <c r="C73" s="3"/>
      <c r="D73" s="121">
        <v>1.0</v>
      </c>
      <c r="E73" s="130" t="s">
        <v>1117</v>
      </c>
      <c r="F73" s="121">
        <f>F72/D72</f>
        <v>28.6624</v>
      </c>
      <c r="G73" s="131"/>
      <c r="H73" s="468"/>
      <c r="I73" s="468"/>
    </row>
    <row r="74">
      <c r="A74" s="133" t="s">
        <v>802</v>
      </c>
      <c r="B74" s="2"/>
      <c r="C74" s="2"/>
      <c r="D74" s="3"/>
      <c r="E74" s="121"/>
      <c r="F74" s="121">
        <f>F73*1%</f>
        <v>0.286624</v>
      </c>
      <c r="G74" s="131"/>
      <c r="H74" s="468"/>
      <c r="I74" s="468"/>
    </row>
    <row r="75">
      <c r="A75" s="133" t="s">
        <v>42</v>
      </c>
      <c r="B75" s="2"/>
      <c r="C75" s="2"/>
      <c r="D75" s="3"/>
      <c r="E75" s="131"/>
      <c r="F75" s="121">
        <f>F74+F73</f>
        <v>28.949024</v>
      </c>
      <c r="G75" s="131"/>
      <c r="H75" s="468"/>
      <c r="I75" s="468"/>
    </row>
    <row r="76">
      <c r="A76" s="133" t="s">
        <v>806</v>
      </c>
      <c r="B76" s="2"/>
      <c r="C76" s="2"/>
      <c r="D76" s="3"/>
      <c r="E76" s="121"/>
      <c r="F76" s="121">
        <f>F75*15%</f>
        <v>4.3423536</v>
      </c>
      <c r="G76" s="131"/>
      <c r="H76" s="468"/>
      <c r="I76" s="468"/>
    </row>
    <row r="77">
      <c r="A77" s="133" t="s">
        <v>42</v>
      </c>
      <c r="B77" s="2"/>
      <c r="C77" s="2"/>
      <c r="D77" s="3"/>
      <c r="E77" s="131"/>
      <c r="F77" s="300">
        <f>round(F76+F75,2)</f>
        <v>33.29</v>
      </c>
      <c r="G77" s="131"/>
      <c r="H77" s="468"/>
      <c r="I77" s="468"/>
    </row>
    <row r="78">
      <c r="A78" s="455" t="str">
        <f>CONCATENATE("Say ₹ ",F66," + ",F77," x Cost Index")</f>
        <v>Say ₹ 68.53 + 33.29 x Cost Index</v>
      </c>
      <c r="B78" s="2"/>
      <c r="C78" s="2"/>
      <c r="D78" s="2"/>
      <c r="E78" s="2"/>
      <c r="F78" s="2"/>
      <c r="G78" s="3"/>
      <c r="H78" s="474">
        <f>((F60*1.01*1.15))</f>
        <v>68.5285</v>
      </c>
      <c r="I78" s="474">
        <f>((SUM(F69,F71)*1.01*1.15))</f>
        <v>33.2913776</v>
      </c>
    </row>
    <row r="79">
      <c r="A79" s="111" t="s">
        <v>742</v>
      </c>
      <c r="B79" s="111" t="s">
        <v>745</v>
      </c>
      <c r="C79" s="112" t="s">
        <v>6</v>
      </c>
      <c r="D79" s="2"/>
      <c r="E79" s="3"/>
      <c r="F79" s="112" t="s">
        <v>746</v>
      </c>
      <c r="G79" s="3"/>
      <c r="H79" s="468"/>
      <c r="I79" s="468"/>
    </row>
    <row r="80">
      <c r="A80" s="20"/>
      <c r="B80" s="20"/>
      <c r="C80" s="115" t="s">
        <v>8</v>
      </c>
      <c r="D80" s="115" t="s">
        <v>9</v>
      </c>
      <c r="E80" s="115" t="s">
        <v>358</v>
      </c>
      <c r="F80" s="115" t="s">
        <v>11</v>
      </c>
      <c r="G80" s="115" t="s">
        <v>751</v>
      </c>
      <c r="H80" s="468"/>
      <c r="I80" s="468"/>
    </row>
    <row r="81">
      <c r="A81" s="493" t="s">
        <v>1733</v>
      </c>
      <c r="B81" s="2"/>
      <c r="C81" s="2"/>
      <c r="D81" s="2"/>
      <c r="E81" s="2"/>
      <c r="F81" s="2"/>
      <c r="G81" s="3"/>
      <c r="H81" s="468"/>
      <c r="I81" s="468"/>
    </row>
    <row r="82">
      <c r="A82" s="119"/>
      <c r="B82" s="120" t="s">
        <v>754</v>
      </c>
      <c r="C82" s="120" t="s">
        <v>1117</v>
      </c>
      <c r="D82" s="120" t="s">
        <v>757</v>
      </c>
      <c r="E82" s="121">
        <v>1.0</v>
      </c>
      <c r="F82" s="467"/>
      <c r="G82" s="3"/>
      <c r="H82" s="468"/>
      <c r="I82" s="468"/>
    </row>
    <row r="83">
      <c r="A83" s="120" t="s">
        <v>761</v>
      </c>
      <c r="B83" s="123" t="s">
        <v>1617</v>
      </c>
      <c r="C83" s="2"/>
      <c r="D83" s="2"/>
      <c r="E83" s="2"/>
      <c r="F83" s="2"/>
      <c r="G83" s="3"/>
      <c r="H83" s="468"/>
      <c r="I83" s="468"/>
    </row>
    <row r="84">
      <c r="A84" s="124" t="s">
        <v>764</v>
      </c>
      <c r="B84" s="2"/>
      <c r="C84" s="2"/>
      <c r="D84" s="2"/>
      <c r="E84" s="2"/>
      <c r="F84" s="3"/>
      <c r="G84" s="125" t="s">
        <v>766</v>
      </c>
      <c r="H84" s="468"/>
      <c r="I84" s="468"/>
    </row>
    <row r="85">
      <c r="A85" s="126"/>
      <c r="B85" s="127" t="s">
        <v>1735</v>
      </c>
      <c r="C85" s="123" t="s">
        <v>1736</v>
      </c>
      <c r="D85" s="2"/>
      <c r="E85" s="3"/>
      <c r="F85" s="467"/>
      <c r="G85" s="3"/>
      <c r="H85" s="468"/>
      <c r="I85" s="468"/>
    </row>
    <row r="86">
      <c r="A86" s="20"/>
      <c r="B86" s="20"/>
      <c r="C86" s="120" t="s">
        <v>43</v>
      </c>
      <c r="D86" s="121">
        <v>1.0</v>
      </c>
      <c r="E86" s="121">
        <v>35.5</v>
      </c>
      <c r="F86" s="121">
        <f>D86*E86</f>
        <v>35.5</v>
      </c>
      <c r="G86" s="120" t="s">
        <v>772</v>
      </c>
      <c r="H86" s="468"/>
      <c r="I86" s="468"/>
    </row>
    <row r="87">
      <c r="A87" s="129" t="s">
        <v>1116</v>
      </c>
      <c r="B87" s="2"/>
      <c r="C87" s="3"/>
      <c r="D87" s="121">
        <v>1.0</v>
      </c>
      <c r="E87" s="130" t="s">
        <v>1117</v>
      </c>
      <c r="F87" s="121">
        <f>F86</f>
        <v>35.5</v>
      </c>
      <c r="G87" s="120"/>
      <c r="H87" s="468"/>
      <c r="I87" s="468"/>
    </row>
    <row r="88">
      <c r="A88" s="129" t="s">
        <v>800</v>
      </c>
      <c r="B88" s="2"/>
      <c r="C88" s="3"/>
      <c r="D88" s="121">
        <v>1.0</v>
      </c>
      <c r="E88" s="130" t="s">
        <v>1117</v>
      </c>
      <c r="F88" s="121">
        <f>F87/D87</f>
        <v>35.5</v>
      </c>
      <c r="G88" s="120"/>
      <c r="H88" s="468"/>
      <c r="I88" s="468"/>
    </row>
    <row r="89">
      <c r="A89" s="133" t="s">
        <v>802</v>
      </c>
      <c r="B89" s="2"/>
      <c r="C89" s="2"/>
      <c r="D89" s="3"/>
      <c r="E89" s="121"/>
      <c r="F89" s="121">
        <f>F88*1%</f>
        <v>0.355</v>
      </c>
      <c r="G89" s="120"/>
      <c r="H89" s="468"/>
      <c r="I89" s="468"/>
    </row>
    <row r="90">
      <c r="A90" s="133" t="s">
        <v>42</v>
      </c>
      <c r="B90" s="2"/>
      <c r="C90" s="2"/>
      <c r="D90" s="3"/>
      <c r="E90" s="131"/>
      <c r="F90" s="121">
        <f>F89+F88</f>
        <v>35.855</v>
      </c>
      <c r="G90" s="120"/>
      <c r="H90" s="468"/>
      <c r="I90" s="468"/>
    </row>
    <row r="91">
      <c r="A91" s="133" t="s">
        <v>806</v>
      </c>
      <c r="B91" s="2"/>
      <c r="C91" s="2"/>
      <c r="D91" s="3"/>
      <c r="E91" s="121"/>
      <c r="F91" s="121">
        <f>F90*15%</f>
        <v>5.37825</v>
      </c>
      <c r="G91" s="120"/>
      <c r="H91" s="468"/>
      <c r="I91" s="468"/>
    </row>
    <row r="92">
      <c r="A92" s="133" t="s">
        <v>42</v>
      </c>
      <c r="B92" s="2"/>
      <c r="C92" s="2"/>
      <c r="D92" s="3"/>
      <c r="E92" s="131"/>
      <c r="F92" s="300">
        <f>round(F91+F90,2)</f>
        <v>41.23</v>
      </c>
      <c r="G92" s="120"/>
      <c r="H92" s="468"/>
      <c r="I92" s="468"/>
    </row>
    <row r="93">
      <c r="A93" s="124" t="s">
        <v>843</v>
      </c>
      <c r="B93" s="2"/>
      <c r="C93" s="2"/>
      <c r="D93" s="2"/>
      <c r="E93" s="2"/>
      <c r="F93" s="3"/>
      <c r="G93" s="125" t="s">
        <v>778</v>
      </c>
      <c r="H93" s="468"/>
      <c r="I93" s="468"/>
    </row>
    <row r="94">
      <c r="A94" s="127">
        <v>9999.0</v>
      </c>
      <c r="B94" s="126"/>
      <c r="C94" s="123" t="s">
        <v>1626</v>
      </c>
      <c r="D94" s="2"/>
      <c r="E94" s="3"/>
      <c r="F94" s="467"/>
      <c r="G94" s="3"/>
      <c r="H94" s="468"/>
      <c r="I94" s="468"/>
    </row>
    <row r="95">
      <c r="A95" s="20"/>
      <c r="B95" s="20"/>
      <c r="C95" s="120" t="s">
        <v>107</v>
      </c>
      <c r="D95" s="121">
        <v>2.73</v>
      </c>
      <c r="E95" s="121">
        <v>2.12</v>
      </c>
      <c r="F95" s="121">
        <f>E95*D95</f>
        <v>5.7876</v>
      </c>
      <c r="G95" s="120" t="s">
        <v>846</v>
      </c>
      <c r="H95" s="468"/>
      <c r="I95" s="468"/>
    </row>
    <row r="96">
      <c r="A96" s="127">
        <v>9999.0</v>
      </c>
      <c r="B96" s="126"/>
      <c r="C96" s="123" t="s">
        <v>1629</v>
      </c>
      <c r="D96" s="2"/>
      <c r="E96" s="3"/>
      <c r="F96" s="467"/>
      <c r="G96" s="3"/>
      <c r="H96" s="468"/>
      <c r="I96" s="468"/>
    </row>
    <row r="97">
      <c r="A97" s="20"/>
      <c r="B97" s="20"/>
      <c r="C97" s="120" t="s">
        <v>107</v>
      </c>
      <c r="D97" s="121">
        <v>9.36</v>
      </c>
      <c r="E97" s="121">
        <v>2.12</v>
      </c>
      <c r="F97" s="121">
        <f>D97*E97</f>
        <v>19.8432</v>
      </c>
      <c r="G97" s="120" t="s">
        <v>850</v>
      </c>
      <c r="H97" s="468"/>
      <c r="I97" s="468"/>
    </row>
    <row r="98">
      <c r="A98" s="129" t="s">
        <v>1633</v>
      </c>
      <c r="B98" s="2"/>
      <c r="C98" s="3"/>
      <c r="D98" s="121">
        <v>1.0</v>
      </c>
      <c r="E98" s="130" t="s">
        <v>1117</v>
      </c>
      <c r="F98" s="121">
        <f>F97+F95</f>
        <v>25.6308</v>
      </c>
      <c r="G98" s="131"/>
      <c r="H98" s="468"/>
      <c r="I98" s="468"/>
    </row>
    <row r="99">
      <c r="A99" s="129" t="s">
        <v>800</v>
      </c>
      <c r="B99" s="2"/>
      <c r="C99" s="3"/>
      <c r="D99" s="121">
        <v>1.0</v>
      </c>
      <c r="E99" s="130" t="s">
        <v>1117</v>
      </c>
      <c r="F99" s="121">
        <f>F98/D98</f>
        <v>25.6308</v>
      </c>
      <c r="G99" s="131"/>
      <c r="H99" s="468"/>
      <c r="I99" s="468"/>
    </row>
    <row r="100">
      <c r="A100" s="133" t="s">
        <v>802</v>
      </c>
      <c r="B100" s="2"/>
      <c r="C100" s="2"/>
      <c r="D100" s="3"/>
      <c r="E100" s="121"/>
      <c r="F100" s="121">
        <f>F99*1%</f>
        <v>0.256308</v>
      </c>
      <c r="G100" s="131"/>
      <c r="H100" s="468"/>
      <c r="I100" s="468"/>
    </row>
    <row r="101">
      <c r="A101" s="133" t="s">
        <v>42</v>
      </c>
      <c r="B101" s="2"/>
      <c r="C101" s="2"/>
      <c r="D101" s="3"/>
      <c r="E101" s="131"/>
      <c r="F101" s="121">
        <f>F100+F99</f>
        <v>25.887108</v>
      </c>
      <c r="G101" s="131"/>
      <c r="H101" s="468"/>
      <c r="I101" s="468"/>
    </row>
    <row r="102">
      <c r="A102" s="133" t="s">
        <v>806</v>
      </c>
      <c r="B102" s="2"/>
      <c r="C102" s="2"/>
      <c r="D102" s="3"/>
      <c r="E102" s="121"/>
      <c r="F102" s="121">
        <f>F101*15%</f>
        <v>3.8830662</v>
      </c>
      <c r="G102" s="131"/>
      <c r="H102" s="468"/>
      <c r="I102" s="468"/>
    </row>
    <row r="103">
      <c r="A103" s="133" t="s">
        <v>42</v>
      </c>
      <c r="B103" s="2"/>
      <c r="C103" s="2"/>
      <c r="D103" s="3"/>
      <c r="E103" s="131"/>
      <c r="F103" s="300">
        <f>round(F102+F101,2)</f>
        <v>29.77</v>
      </c>
      <c r="G103" s="131"/>
      <c r="H103" s="468"/>
      <c r="I103" s="468"/>
    </row>
    <row r="104">
      <c r="A104" s="455" t="str">
        <f>CONCATENATE("Say ₹ ",F92," + ",F103," x Cost Index")</f>
        <v>Say ₹ 41.23 + 29.77 x Cost Index</v>
      </c>
      <c r="B104" s="2"/>
      <c r="C104" s="2"/>
      <c r="D104" s="2"/>
      <c r="E104" s="2"/>
      <c r="F104" s="2"/>
      <c r="G104" s="3"/>
      <c r="H104" s="474">
        <f>((F86*1.01*1.15))</f>
        <v>41.23325</v>
      </c>
      <c r="I104" s="474">
        <f>((SUM(F95,F97)*1.01*1.15))</f>
        <v>29.7701742</v>
      </c>
    </row>
    <row r="105">
      <c r="A105" s="111" t="s">
        <v>742</v>
      </c>
      <c r="B105" s="111" t="s">
        <v>745</v>
      </c>
      <c r="C105" s="112" t="s">
        <v>6</v>
      </c>
      <c r="D105" s="2"/>
      <c r="E105" s="3"/>
      <c r="F105" s="112" t="s">
        <v>746</v>
      </c>
      <c r="G105" s="3"/>
      <c r="H105" s="468"/>
      <c r="I105" s="468"/>
    </row>
    <row r="106">
      <c r="A106" s="20"/>
      <c r="B106" s="20"/>
      <c r="C106" s="115" t="s">
        <v>8</v>
      </c>
      <c r="D106" s="115" t="s">
        <v>9</v>
      </c>
      <c r="E106" s="115" t="s">
        <v>358</v>
      </c>
      <c r="F106" s="115" t="s">
        <v>11</v>
      </c>
      <c r="G106" s="115" t="s">
        <v>751</v>
      </c>
      <c r="H106" s="468"/>
      <c r="I106" s="468"/>
    </row>
    <row r="107">
      <c r="A107" s="493" t="s">
        <v>1744</v>
      </c>
      <c r="B107" s="2"/>
      <c r="C107" s="2"/>
      <c r="D107" s="2"/>
      <c r="E107" s="2"/>
      <c r="F107" s="2"/>
      <c r="G107" s="3"/>
      <c r="H107" s="468"/>
      <c r="I107" s="468"/>
    </row>
    <row r="108">
      <c r="A108" s="507"/>
      <c r="B108" s="508" t="s">
        <v>754</v>
      </c>
      <c r="C108" s="508" t="s">
        <v>1117</v>
      </c>
      <c r="D108" s="508" t="s">
        <v>757</v>
      </c>
      <c r="E108" s="470">
        <v>1.0</v>
      </c>
      <c r="F108" s="509"/>
      <c r="G108" s="3"/>
      <c r="H108" s="468"/>
      <c r="I108" s="468"/>
    </row>
    <row r="109">
      <c r="A109" s="508" t="s">
        <v>761</v>
      </c>
      <c r="B109" s="510" t="s">
        <v>1617</v>
      </c>
      <c r="C109" s="2"/>
      <c r="D109" s="2"/>
      <c r="E109" s="2"/>
      <c r="F109" s="2"/>
      <c r="G109" s="3"/>
      <c r="H109" s="468"/>
      <c r="I109" s="468"/>
    </row>
    <row r="110">
      <c r="A110" s="124" t="s">
        <v>764</v>
      </c>
      <c r="B110" s="2"/>
      <c r="C110" s="2"/>
      <c r="D110" s="2"/>
      <c r="E110" s="2"/>
      <c r="F110" s="3"/>
      <c r="G110" s="125" t="s">
        <v>766</v>
      </c>
      <c r="H110" s="468"/>
      <c r="I110" s="468"/>
    </row>
    <row r="111">
      <c r="A111" s="511"/>
      <c r="B111" s="512" t="s">
        <v>1747</v>
      </c>
      <c r="C111" s="510" t="s">
        <v>1748</v>
      </c>
      <c r="D111" s="2"/>
      <c r="E111" s="3"/>
      <c r="F111" s="509"/>
      <c r="G111" s="3"/>
      <c r="H111" s="468"/>
      <c r="I111" s="468"/>
    </row>
    <row r="112">
      <c r="A112" s="20"/>
      <c r="B112" s="20"/>
      <c r="C112" s="508" t="s">
        <v>43</v>
      </c>
      <c r="D112" s="470">
        <v>1.0</v>
      </c>
      <c r="E112" s="470">
        <v>43.5</v>
      </c>
      <c r="F112" s="470">
        <f>D112*E112</f>
        <v>43.5</v>
      </c>
      <c r="G112" s="508" t="s">
        <v>772</v>
      </c>
      <c r="H112" s="468"/>
      <c r="I112" s="468"/>
    </row>
    <row r="113">
      <c r="A113" s="129" t="s">
        <v>1116</v>
      </c>
      <c r="B113" s="2"/>
      <c r="C113" s="3"/>
      <c r="D113" s="121">
        <v>1.0</v>
      </c>
      <c r="E113" s="130" t="s">
        <v>1117</v>
      </c>
      <c r="F113" s="121">
        <f>F112</f>
        <v>43.5</v>
      </c>
      <c r="G113" s="120"/>
      <c r="H113" s="468"/>
      <c r="I113" s="468"/>
    </row>
    <row r="114">
      <c r="A114" s="129" t="s">
        <v>800</v>
      </c>
      <c r="B114" s="2"/>
      <c r="C114" s="3"/>
      <c r="D114" s="121">
        <v>1.0</v>
      </c>
      <c r="E114" s="130" t="s">
        <v>1117</v>
      </c>
      <c r="F114" s="121">
        <f>F113/D113</f>
        <v>43.5</v>
      </c>
      <c r="G114" s="120"/>
      <c r="H114" s="468"/>
      <c r="I114" s="468"/>
    </row>
    <row r="115">
      <c r="A115" s="133" t="s">
        <v>802</v>
      </c>
      <c r="B115" s="2"/>
      <c r="C115" s="2"/>
      <c r="D115" s="3"/>
      <c r="E115" s="121"/>
      <c r="F115" s="121">
        <f>F114*1%</f>
        <v>0.435</v>
      </c>
      <c r="G115" s="120"/>
      <c r="H115" s="468"/>
      <c r="I115" s="468"/>
    </row>
    <row r="116">
      <c r="A116" s="133" t="s">
        <v>42</v>
      </c>
      <c r="B116" s="2"/>
      <c r="C116" s="2"/>
      <c r="D116" s="3"/>
      <c r="E116" s="131"/>
      <c r="F116" s="121">
        <f>F115+F114</f>
        <v>43.935</v>
      </c>
      <c r="G116" s="120"/>
      <c r="H116" s="468"/>
      <c r="I116" s="468"/>
    </row>
    <row r="117">
      <c r="A117" s="133" t="s">
        <v>806</v>
      </c>
      <c r="B117" s="2"/>
      <c r="C117" s="2"/>
      <c r="D117" s="3"/>
      <c r="E117" s="121"/>
      <c r="F117" s="121">
        <f>F116*15%</f>
        <v>6.59025</v>
      </c>
      <c r="G117" s="120"/>
      <c r="H117" s="468"/>
      <c r="I117" s="468"/>
    </row>
    <row r="118">
      <c r="A118" s="133" t="s">
        <v>42</v>
      </c>
      <c r="B118" s="2"/>
      <c r="C118" s="2"/>
      <c r="D118" s="3"/>
      <c r="E118" s="131"/>
      <c r="F118" s="300">
        <f>round(F117+F116,2)</f>
        <v>50.53</v>
      </c>
      <c r="G118" s="120"/>
      <c r="H118" s="468"/>
      <c r="I118" s="468"/>
    </row>
    <row r="119">
      <c r="A119" s="124" t="s">
        <v>843</v>
      </c>
      <c r="B119" s="2"/>
      <c r="C119" s="2"/>
      <c r="D119" s="2"/>
      <c r="E119" s="2"/>
      <c r="F119" s="3"/>
      <c r="G119" s="125" t="s">
        <v>778</v>
      </c>
      <c r="H119" s="468"/>
      <c r="I119" s="468"/>
    </row>
    <row r="120">
      <c r="A120" s="512">
        <v>9999.0</v>
      </c>
      <c r="B120" s="511"/>
      <c r="C120" s="510" t="s">
        <v>1626</v>
      </c>
      <c r="D120" s="2"/>
      <c r="E120" s="3"/>
      <c r="F120" s="509"/>
      <c r="G120" s="3"/>
      <c r="H120" s="468"/>
      <c r="I120" s="468"/>
    </row>
    <row r="121">
      <c r="A121" s="20"/>
      <c r="B121" s="20"/>
      <c r="C121" s="508" t="s">
        <v>107</v>
      </c>
      <c r="D121" s="470">
        <v>2.73</v>
      </c>
      <c r="E121" s="470">
        <v>2.12</v>
      </c>
      <c r="F121" s="470">
        <f>E121*D121</f>
        <v>5.7876</v>
      </c>
      <c r="G121" s="508" t="s">
        <v>846</v>
      </c>
      <c r="H121" s="468"/>
      <c r="I121" s="468"/>
    </row>
    <row r="122">
      <c r="A122" s="512">
        <v>9999.0</v>
      </c>
      <c r="B122" s="511"/>
      <c r="C122" s="510" t="s">
        <v>1629</v>
      </c>
      <c r="D122" s="2"/>
      <c r="E122" s="3"/>
      <c r="F122" s="509"/>
      <c r="G122" s="3"/>
      <c r="H122" s="468"/>
      <c r="I122" s="468"/>
    </row>
    <row r="123">
      <c r="A123" s="20"/>
      <c r="B123" s="20"/>
      <c r="C123" s="508" t="s">
        <v>107</v>
      </c>
      <c r="D123" s="470">
        <v>9.36</v>
      </c>
      <c r="E123" s="470">
        <v>2.12</v>
      </c>
      <c r="F123" s="470">
        <f>D123*E123</f>
        <v>19.8432</v>
      </c>
      <c r="G123" s="508" t="s">
        <v>850</v>
      </c>
      <c r="H123" s="468"/>
      <c r="I123" s="468"/>
    </row>
    <row r="124">
      <c r="A124" s="129" t="s">
        <v>1633</v>
      </c>
      <c r="B124" s="2"/>
      <c r="C124" s="3"/>
      <c r="D124" s="121">
        <v>1.0</v>
      </c>
      <c r="E124" s="130" t="s">
        <v>1117</v>
      </c>
      <c r="F124" s="121">
        <f>F123+F121</f>
        <v>25.6308</v>
      </c>
      <c r="G124" s="131"/>
      <c r="H124" s="468"/>
      <c r="I124" s="468"/>
    </row>
    <row r="125">
      <c r="A125" s="129" t="s">
        <v>800</v>
      </c>
      <c r="B125" s="2"/>
      <c r="C125" s="3"/>
      <c r="D125" s="121">
        <v>1.0</v>
      </c>
      <c r="E125" s="130" t="s">
        <v>1117</v>
      </c>
      <c r="F125" s="121">
        <f>F124/D124</f>
        <v>25.6308</v>
      </c>
      <c r="G125" s="131"/>
      <c r="H125" s="468"/>
      <c r="I125" s="468"/>
    </row>
    <row r="126">
      <c r="A126" s="133" t="s">
        <v>802</v>
      </c>
      <c r="B126" s="2"/>
      <c r="C126" s="2"/>
      <c r="D126" s="3"/>
      <c r="E126" s="121"/>
      <c r="F126" s="121">
        <f>F125*1%</f>
        <v>0.256308</v>
      </c>
      <c r="G126" s="131"/>
      <c r="H126" s="468"/>
      <c r="I126" s="468"/>
    </row>
    <row r="127">
      <c r="A127" s="133" t="s">
        <v>42</v>
      </c>
      <c r="B127" s="2"/>
      <c r="C127" s="2"/>
      <c r="D127" s="3"/>
      <c r="E127" s="131"/>
      <c r="F127" s="121">
        <f>F126+F125</f>
        <v>25.887108</v>
      </c>
      <c r="G127" s="131"/>
      <c r="H127" s="468"/>
      <c r="I127" s="468"/>
    </row>
    <row r="128">
      <c r="A128" s="133" t="s">
        <v>806</v>
      </c>
      <c r="B128" s="2"/>
      <c r="C128" s="2"/>
      <c r="D128" s="3"/>
      <c r="E128" s="121"/>
      <c r="F128" s="121">
        <f>F127*15%</f>
        <v>3.8830662</v>
      </c>
      <c r="G128" s="131"/>
      <c r="H128" s="468"/>
      <c r="I128" s="468"/>
    </row>
    <row r="129">
      <c r="A129" s="133" t="s">
        <v>42</v>
      </c>
      <c r="B129" s="2"/>
      <c r="C129" s="2"/>
      <c r="D129" s="3"/>
      <c r="E129" s="131"/>
      <c r="F129" s="300">
        <f>round(F128+F127,2)</f>
        <v>29.77</v>
      </c>
      <c r="G129" s="131"/>
      <c r="H129" s="468"/>
      <c r="I129" s="468"/>
    </row>
    <row r="130">
      <c r="A130" s="455" t="str">
        <f>CONCATENATE("Say ₹ ",F118," + ",F129," x Cost Index")</f>
        <v>Say ₹ 50.53 + 29.77 x Cost Index</v>
      </c>
      <c r="B130" s="2"/>
      <c r="C130" s="2"/>
      <c r="D130" s="2"/>
      <c r="E130" s="2"/>
      <c r="F130" s="2"/>
      <c r="G130" s="3"/>
      <c r="H130" s="474">
        <f>((F112*1.01*1.15))</f>
        <v>50.52525</v>
      </c>
      <c r="I130" s="474">
        <f>((SUM(F121,F123)*1.01*1.15))</f>
        <v>29.7701742</v>
      </c>
    </row>
    <row r="131">
      <c r="A131" s="111" t="s">
        <v>742</v>
      </c>
      <c r="B131" s="111" t="s">
        <v>745</v>
      </c>
      <c r="C131" s="112" t="s">
        <v>6</v>
      </c>
      <c r="D131" s="2"/>
      <c r="E131" s="3"/>
      <c r="F131" s="112" t="s">
        <v>746</v>
      </c>
      <c r="G131" s="3"/>
      <c r="H131" s="468"/>
      <c r="I131" s="468"/>
    </row>
    <row r="132">
      <c r="A132" s="20"/>
      <c r="B132" s="20"/>
      <c r="C132" s="115" t="s">
        <v>8</v>
      </c>
      <c r="D132" s="115" t="s">
        <v>9</v>
      </c>
      <c r="E132" s="115" t="s">
        <v>358</v>
      </c>
      <c r="F132" s="115" t="s">
        <v>11</v>
      </c>
      <c r="G132" s="115" t="s">
        <v>751</v>
      </c>
      <c r="H132" s="468"/>
      <c r="I132" s="468"/>
    </row>
    <row r="133">
      <c r="A133" s="493" t="s">
        <v>1765</v>
      </c>
      <c r="B133" s="2"/>
      <c r="C133" s="2"/>
      <c r="D133" s="2"/>
      <c r="E133" s="2"/>
      <c r="F133" s="2"/>
      <c r="G133" s="3"/>
      <c r="H133" s="468"/>
      <c r="I133" s="468"/>
    </row>
    <row r="134">
      <c r="A134" s="507"/>
      <c r="B134" s="508" t="s">
        <v>754</v>
      </c>
      <c r="C134" s="508" t="s">
        <v>1117</v>
      </c>
      <c r="D134" s="508" t="s">
        <v>757</v>
      </c>
      <c r="E134" s="470">
        <v>1.0</v>
      </c>
      <c r="F134" s="509"/>
      <c r="G134" s="3"/>
      <c r="H134" s="468"/>
      <c r="I134" s="468"/>
    </row>
    <row r="135">
      <c r="A135" s="508" t="s">
        <v>761</v>
      </c>
      <c r="B135" s="510" t="s">
        <v>1617</v>
      </c>
      <c r="C135" s="2"/>
      <c r="D135" s="2"/>
      <c r="E135" s="2"/>
      <c r="F135" s="2"/>
      <c r="G135" s="3"/>
      <c r="H135" s="468"/>
      <c r="I135" s="468"/>
    </row>
    <row r="136">
      <c r="A136" s="124" t="s">
        <v>764</v>
      </c>
      <c r="B136" s="2"/>
      <c r="C136" s="2"/>
      <c r="D136" s="2"/>
      <c r="E136" s="2"/>
      <c r="F136" s="3"/>
      <c r="G136" s="125" t="s">
        <v>766</v>
      </c>
      <c r="H136" s="468"/>
      <c r="I136" s="468"/>
    </row>
    <row r="137">
      <c r="A137" s="511"/>
      <c r="B137" s="512" t="s">
        <v>1766</v>
      </c>
      <c r="C137" s="510" t="s">
        <v>1767</v>
      </c>
      <c r="D137" s="2"/>
      <c r="E137" s="3"/>
      <c r="F137" s="509"/>
      <c r="G137" s="3"/>
      <c r="H137" s="468"/>
      <c r="I137" s="468"/>
    </row>
    <row r="138">
      <c r="A138" s="20"/>
      <c r="B138" s="20"/>
      <c r="C138" s="508" t="s">
        <v>43</v>
      </c>
      <c r="D138" s="470">
        <v>1.0</v>
      </c>
      <c r="E138" s="470">
        <v>102.0</v>
      </c>
      <c r="F138" s="470">
        <f>D138*E138</f>
        <v>102</v>
      </c>
      <c r="G138" s="508" t="s">
        <v>772</v>
      </c>
      <c r="H138" s="468"/>
      <c r="I138" s="468"/>
    </row>
    <row r="139">
      <c r="A139" s="129" t="s">
        <v>1116</v>
      </c>
      <c r="B139" s="2"/>
      <c r="C139" s="3"/>
      <c r="D139" s="121">
        <v>1.0</v>
      </c>
      <c r="E139" s="130" t="s">
        <v>1117</v>
      </c>
      <c r="F139" s="121">
        <f>F138</f>
        <v>102</v>
      </c>
      <c r="G139" s="120"/>
      <c r="H139" s="468"/>
      <c r="I139" s="468"/>
    </row>
    <row r="140">
      <c r="A140" s="129" t="s">
        <v>800</v>
      </c>
      <c r="B140" s="2"/>
      <c r="C140" s="3"/>
      <c r="D140" s="121">
        <v>1.0</v>
      </c>
      <c r="E140" s="130" t="s">
        <v>1117</v>
      </c>
      <c r="F140" s="121">
        <f>F139/D139</f>
        <v>102</v>
      </c>
      <c r="G140" s="120"/>
      <c r="H140" s="468"/>
      <c r="I140" s="468"/>
    </row>
    <row r="141">
      <c r="A141" s="133" t="s">
        <v>802</v>
      </c>
      <c r="B141" s="2"/>
      <c r="C141" s="2"/>
      <c r="D141" s="3"/>
      <c r="E141" s="121"/>
      <c r="F141" s="121">
        <f>F140*1%</f>
        <v>1.02</v>
      </c>
      <c r="G141" s="120"/>
      <c r="H141" s="468"/>
      <c r="I141" s="468"/>
    </row>
    <row r="142">
      <c r="A142" s="133" t="s">
        <v>42</v>
      </c>
      <c r="B142" s="2"/>
      <c r="C142" s="2"/>
      <c r="D142" s="3"/>
      <c r="E142" s="131"/>
      <c r="F142" s="121">
        <f>F141+F140</f>
        <v>103.02</v>
      </c>
      <c r="G142" s="120"/>
      <c r="H142" s="468"/>
      <c r="I142" s="468"/>
    </row>
    <row r="143">
      <c r="A143" s="133" t="s">
        <v>806</v>
      </c>
      <c r="B143" s="2"/>
      <c r="C143" s="2"/>
      <c r="D143" s="3"/>
      <c r="E143" s="121"/>
      <c r="F143" s="121">
        <f>F142*15%</f>
        <v>15.453</v>
      </c>
      <c r="G143" s="120"/>
      <c r="H143" s="468"/>
      <c r="I143" s="468"/>
    </row>
    <row r="144">
      <c r="A144" s="133" t="s">
        <v>42</v>
      </c>
      <c r="B144" s="2"/>
      <c r="C144" s="2"/>
      <c r="D144" s="3"/>
      <c r="E144" s="131"/>
      <c r="F144" s="300">
        <f>round(F143+F142,2)</f>
        <v>118.47</v>
      </c>
      <c r="G144" s="120"/>
      <c r="H144" s="468"/>
      <c r="I144" s="468"/>
    </row>
    <row r="145">
      <c r="A145" s="124" t="s">
        <v>843</v>
      </c>
      <c r="B145" s="2"/>
      <c r="C145" s="2"/>
      <c r="D145" s="2"/>
      <c r="E145" s="2"/>
      <c r="F145" s="3"/>
      <c r="G145" s="125" t="s">
        <v>778</v>
      </c>
      <c r="H145" s="468"/>
      <c r="I145" s="468"/>
    </row>
    <row r="146">
      <c r="A146" s="512">
        <v>9999.0</v>
      </c>
      <c r="B146" s="511"/>
      <c r="C146" s="510" t="s">
        <v>1626</v>
      </c>
      <c r="D146" s="2"/>
      <c r="E146" s="3"/>
      <c r="F146" s="509"/>
      <c r="G146" s="3"/>
      <c r="H146" s="468"/>
      <c r="I146" s="468"/>
    </row>
    <row r="147">
      <c r="A147" s="20"/>
      <c r="B147" s="20"/>
      <c r="C147" s="508" t="s">
        <v>107</v>
      </c>
      <c r="D147" s="470">
        <v>2.73</v>
      </c>
      <c r="E147" s="470">
        <v>2.12</v>
      </c>
      <c r="F147" s="470">
        <f>E147*D147</f>
        <v>5.7876</v>
      </c>
      <c r="G147" s="508" t="s">
        <v>846</v>
      </c>
      <c r="H147" s="468"/>
      <c r="I147" s="468"/>
    </row>
    <row r="148">
      <c r="A148" s="512">
        <v>9999.0</v>
      </c>
      <c r="B148" s="511"/>
      <c r="C148" s="510" t="s">
        <v>1629</v>
      </c>
      <c r="D148" s="2"/>
      <c r="E148" s="3"/>
      <c r="F148" s="509"/>
      <c r="G148" s="3"/>
      <c r="H148" s="468"/>
      <c r="I148" s="468"/>
    </row>
    <row r="149">
      <c r="A149" s="20"/>
      <c r="B149" s="20"/>
      <c r="C149" s="508" t="s">
        <v>107</v>
      </c>
      <c r="D149" s="470">
        <v>10.79</v>
      </c>
      <c r="E149" s="470">
        <v>2.12</v>
      </c>
      <c r="F149" s="470">
        <f>D149*E149</f>
        <v>22.8748</v>
      </c>
      <c r="G149" s="508" t="s">
        <v>850</v>
      </c>
      <c r="H149" s="468"/>
      <c r="I149" s="468"/>
    </row>
    <row r="150">
      <c r="A150" s="129" t="s">
        <v>1633</v>
      </c>
      <c r="B150" s="2"/>
      <c r="C150" s="3"/>
      <c r="D150" s="121">
        <v>1.0</v>
      </c>
      <c r="E150" s="130" t="s">
        <v>1117</v>
      </c>
      <c r="F150" s="121">
        <f>F149+F147</f>
        <v>28.6624</v>
      </c>
      <c r="G150" s="131"/>
      <c r="H150" s="468"/>
      <c r="I150" s="468"/>
    </row>
    <row r="151">
      <c r="A151" s="129" t="s">
        <v>800</v>
      </c>
      <c r="B151" s="2"/>
      <c r="C151" s="3"/>
      <c r="D151" s="121">
        <v>1.0</v>
      </c>
      <c r="E151" s="130" t="s">
        <v>1117</v>
      </c>
      <c r="F151" s="121">
        <f>F150/D150</f>
        <v>28.6624</v>
      </c>
      <c r="G151" s="131"/>
      <c r="H151" s="468"/>
      <c r="I151" s="468"/>
    </row>
    <row r="152">
      <c r="A152" s="133" t="s">
        <v>802</v>
      </c>
      <c r="B152" s="2"/>
      <c r="C152" s="2"/>
      <c r="D152" s="3"/>
      <c r="E152" s="121"/>
      <c r="F152" s="121">
        <f>F151*1%</f>
        <v>0.286624</v>
      </c>
      <c r="G152" s="131"/>
      <c r="H152" s="468"/>
      <c r="I152" s="468"/>
    </row>
    <row r="153">
      <c r="A153" s="133" t="s">
        <v>42</v>
      </c>
      <c r="B153" s="2"/>
      <c r="C153" s="2"/>
      <c r="D153" s="3"/>
      <c r="E153" s="131"/>
      <c r="F153" s="121">
        <f>F152+F151</f>
        <v>28.949024</v>
      </c>
      <c r="G153" s="131"/>
      <c r="H153" s="468"/>
      <c r="I153" s="468"/>
    </row>
    <row r="154">
      <c r="A154" s="133" t="s">
        <v>806</v>
      </c>
      <c r="B154" s="2"/>
      <c r="C154" s="2"/>
      <c r="D154" s="3"/>
      <c r="E154" s="121"/>
      <c r="F154" s="121">
        <f>F153*15%</f>
        <v>4.3423536</v>
      </c>
      <c r="G154" s="131"/>
      <c r="H154" s="468"/>
      <c r="I154" s="468"/>
    </row>
    <row r="155">
      <c r="A155" s="133" t="s">
        <v>42</v>
      </c>
      <c r="B155" s="2"/>
      <c r="C155" s="2"/>
      <c r="D155" s="3"/>
      <c r="E155" s="131"/>
      <c r="F155" s="300">
        <f>round(F154+F153,2)</f>
        <v>33.29</v>
      </c>
      <c r="G155" s="131"/>
      <c r="H155" s="468"/>
      <c r="I155" s="468"/>
    </row>
    <row r="156">
      <c r="A156" s="455" t="str">
        <f>CONCATENATE("Say ₹ ",F144," + ",F155," x Cost Index")</f>
        <v>Say ₹ 118.47 + 33.29 x Cost Index</v>
      </c>
      <c r="B156" s="2"/>
      <c r="C156" s="2"/>
      <c r="D156" s="2"/>
      <c r="E156" s="2"/>
      <c r="F156" s="2"/>
      <c r="G156" s="3"/>
      <c r="H156" s="474">
        <f>((F138*1.01*1.15))</f>
        <v>118.473</v>
      </c>
      <c r="I156" s="474">
        <f>((SUM(F147,F149)*1.01*1.15))</f>
        <v>33.2913776</v>
      </c>
    </row>
    <row r="157">
      <c r="A157" s="111" t="s">
        <v>742</v>
      </c>
      <c r="B157" s="111" t="s">
        <v>745</v>
      </c>
      <c r="C157" s="112" t="s">
        <v>6</v>
      </c>
      <c r="D157" s="2"/>
      <c r="E157" s="3"/>
      <c r="F157" s="112" t="s">
        <v>746</v>
      </c>
      <c r="G157" s="3"/>
      <c r="H157" s="468"/>
      <c r="I157" s="468"/>
    </row>
    <row r="158">
      <c r="A158" s="20"/>
      <c r="B158" s="20"/>
      <c r="C158" s="115" t="s">
        <v>8</v>
      </c>
      <c r="D158" s="115" t="s">
        <v>9</v>
      </c>
      <c r="E158" s="115" t="s">
        <v>358</v>
      </c>
      <c r="F158" s="115" t="s">
        <v>11</v>
      </c>
      <c r="G158" s="115" t="s">
        <v>751</v>
      </c>
      <c r="H158" s="468"/>
      <c r="I158" s="468"/>
    </row>
    <row r="159">
      <c r="A159" s="513" t="s">
        <v>1774</v>
      </c>
      <c r="B159" s="2"/>
      <c r="C159" s="2"/>
      <c r="D159" s="2"/>
      <c r="E159" s="2"/>
      <c r="F159" s="2"/>
      <c r="G159" s="3"/>
      <c r="H159" s="468"/>
      <c r="I159" s="468"/>
    </row>
    <row r="160">
      <c r="A160" s="119"/>
      <c r="B160" s="120" t="s">
        <v>754</v>
      </c>
      <c r="C160" s="120" t="s">
        <v>1117</v>
      </c>
      <c r="D160" s="120" t="s">
        <v>757</v>
      </c>
      <c r="E160" s="121">
        <v>1.0</v>
      </c>
      <c r="F160" s="467"/>
      <c r="G160" s="3"/>
      <c r="H160" s="468"/>
      <c r="I160" s="468"/>
    </row>
    <row r="161">
      <c r="A161" s="120" t="s">
        <v>761</v>
      </c>
      <c r="B161" s="123" t="s">
        <v>1617</v>
      </c>
      <c r="C161" s="2"/>
      <c r="D161" s="2"/>
      <c r="E161" s="2"/>
      <c r="F161" s="2"/>
      <c r="G161" s="3"/>
      <c r="H161" s="468"/>
      <c r="I161" s="468"/>
    </row>
    <row r="162">
      <c r="A162" s="124" t="s">
        <v>764</v>
      </c>
      <c r="B162" s="2"/>
      <c r="C162" s="2"/>
      <c r="D162" s="2"/>
      <c r="E162" s="2"/>
      <c r="F162" s="3"/>
      <c r="G162" s="125" t="s">
        <v>766</v>
      </c>
      <c r="H162" s="468"/>
      <c r="I162" s="468"/>
    </row>
    <row r="163">
      <c r="A163" s="126"/>
      <c r="B163" s="127" t="s">
        <v>1775</v>
      </c>
      <c r="C163" s="123" t="s">
        <v>1776</v>
      </c>
      <c r="D163" s="2"/>
      <c r="E163" s="3"/>
      <c r="F163" s="467"/>
      <c r="G163" s="3"/>
      <c r="H163" s="468"/>
      <c r="I163" s="468"/>
    </row>
    <row r="164">
      <c r="A164" s="20"/>
      <c r="B164" s="20"/>
      <c r="C164" s="120" t="s">
        <v>43</v>
      </c>
      <c r="D164" s="121">
        <v>1.0</v>
      </c>
      <c r="E164" s="121">
        <v>39.5</v>
      </c>
      <c r="F164" s="121">
        <f>D164*E164</f>
        <v>39.5</v>
      </c>
      <c r="G164" s="120" t="s">
        <v>772</v>
      </c>
      <c r="H164" s="468"/>
      <c r="I164" s="468"/>
    </row>
    <row r="165">
      <c r="A165" s="129" t="s">
        <v>1116</v>
      </c>
      <c r="B165" s="2"/>
      <c r="C165" s="3"/>
      <c r="D165" s="121">
        <v>1.0</v>
      </c>
      <c r="E165" s="130" t="s">
        <v>1117</v>
      </c>
      <c r="F165" s="121">
        <f>F164</f>
        <v>39.5</v>
      </c>
      <c r="G165" s="120"/>
      <c r="H165" s="468"/>
      <c r="I165" s="468"/>
    </row>
    <row r="166">
      <c r="A166" s="129" t="s">
        <v>800</v>
      </c>
      <c r="B166" s="2"/>
      <c r="C166" s="3"/>
      <c r="D166" s="121">
        <v>1.0</v>
      </c>
      <c r="E166" s="130" t="s">
        <v>1117</v>
      </c>
      <c r="F166" s="121">
        <f>F165/D165</f>
        <v>39.5</v>
      </c>
      <c r="G166" s="120"/>
      <c r="H166" s="468"/>
      <c r="I166" s="468"/>
    </row>
    <row r="167">
      <c r="A167" s="133" t="s">
        <v>802</v>
      </c>
      <c r="B167" s="2"/>
      <c r="C167" s="2"/>
      <c r="D167" s="3"/>
      <c r="E167" s="121"/>
      <c r="F167" s="121">
        <f>F166*1%</f>
        <v>0.395</v>
      </c>
      <c r="G167" s="120"/>
      <c r="H167" s="468"/>
      <c r="I167" s="468"/>
    </row>
    <row r="168">
      <c r="A168" s="133" t="s">
        <v>42</v>
      </c>
      <c r="B168" s="2"/>
      <c r="C168" s="2"/>
      <c r="D168" s="3"/>
      <c r="E168" s="131"/>
      <c r="F168" s="121">
        <f>F167+F166</f>
        <v>39.895</v>
      </c>
      <c r="G168" s="120"/>
      <c r="H168" s="468"/>
      <c r="I168" s="468"/>
    </row>
    <row r="169">
      <c r="A169" s="133" t="s">
        <v>806</v>
      </c>
      <c r="B169" s="2"/>
      <c r="C169" s="2"/>
      <c r="D169" s="3"/>
      <c r="E169" s="121"/>
      <c r="F169" s="121">
        <f>F168*15%</f>
        <v>5.98425</v>
      </c>
      <c r="G169" s="120"/>
      <c r="H169" s="468"/>
      <c r="I169" s="468"/>
    </row>
    <row r="170">
      <c r="A170" s="133" t="s">
        <v>42</v>
      </c>
      <c r="B170" s="2"/>
      <c r="C170" s="2"/>
      <c r="D170" s="3"/>
      <c r="E170" s="131"/>
      <c r="F170" s="300">
        <f>round(F169+F168,2)</f>
        <v>45.88</v>
      </c>
      <c r="G170" s="120"/>
      <c r="H170" s="468"/>
      <c r="I170" s="468"/>
    </row>
    <row r="171">
      <c r="A171" s="124" t="s">
        <v>843</v>
      </c>
      <c r="B171" s="2"/>
      <c r="C171" s="2"/>
      <c r="D171" s="2"/>
      <c r="E171" s="2"/>
      <c r="F171" s="3"/>
      <c r="G171" s="125" t="s">
        <v>778</v>
      </c>
      <c r="H171" s="468"/>
      <c r="I171" s="468"/>
    </row>
    <row r="172">
      <c r="A172" s="127">
        <v>9999.0</v>
      </c>
      <c r="B172" s="126"/>
      <c r="C172" s="123" t="s">
        <v>1755</v>
      </c>
      <c r="D172" s="2"/>
      <c r="E172" s="3"/>
      <c r="F172" s="467"/>
      <c r="G172" s="3"/>
      <c r="H172" s="468"/>
      <c r="I172" s="468"/>
    </row>
    <row r="173">
      <c r="A173" s="20"/>
      <c r="B173" s="20"/>
      <c r="C173" s="120" t="s">
        <v>107</v>
      </c>
      <c r="D173" s="121">
        <v>3.41</v>
      </c>
      <c r="E173" s="121">
        <v>2.12</v>
      </c>
      <c r="F173" s="121">
        <f>E173*D173</f>
        <v>7.2292</v>
      </c>
      <c r="G173" s="120" t="s">
        <v>846</v>
      </c>
      <c r="H173" s="468"/>
      <c r="I173" s="468"/>
    </row>
    <row r="174">
      <c r="A174" s="127">
        <v>9999.0</v>
      </c>
      <c r="B174" s="126"/>
      <c r="C174" s="123" t="s">
        <v>1629</v>
      </c>
      <c r="D174" s="2"/>
      <c r="E174" s="3"/>
      <c r="F174" s="467"/>
      <c r="G174" s="3"/>
      <c r="H174" s="468"/>
      <c r="I174" s="468"/>
    </row>
    <row r="175">
      <c r="A175" s="20"/>
      <c r="B175" s="20"/>
      <c r="C175" s="120" t="s">
        <v>107</v>
      </c>
      <c r="D175" s="121">
        <v>9.36</v>
      </c>
      <c r="E175" s="121">
        <v>2.12</v>
      </c>
      <c r="F175" s="121">
        <f>D175*E175</f>
        <v>19.8432</v>
      </c>
      <c r="G175" s="120" t="s">
        <v>850</v>
      </c>
      <c r="H175" s="468"/>
      <c r="I175" s="468"/>
    </row>
    <row r="176">
      <c r="A176" s="129" t="s">
        <v>1633</v>
      </c>
      <c r="B176" s="2"/>
      <c r="C176" s="3"/>
      <c r="D176" s="121">
        <v>1.0</v>
      </c>
      <c r="E176" s="130" t="s">
        <v>1117</v>
      </c>
      <c r="F176" s="121">
        <f>F175+F173</f>
        <v>27.0724</v>
      </c>
      <c r="G176" s="131"/>
      <c r="H176" s="468"/>
      <c r="I176" s="468"/>
    </row>
    <row r="177">
      <c r="A177" s="129" t="s">
        <v>800</v>
      </c>
      <c r="B177" s="2"/>
      <c r="C177" s="3"/>
      <c r="D177" s="121">
        <v>1.0</v>
      </c>
      <c r="E177" s="130" t="s">
        <v>1117</v>
      </c>
      <c r="F177" s="121">
        <f>F176/D176</f>
        <v>27.0724</v>
      </c>
      <c r="G177" s="131"/>
      <c r="H177" s="468"/>
      <c r="I177" s="468"/>
    </row>
    <row r="178">
      <c r="A178" s="133" t="s">
        <v>802</v>
      </c>
      <c r="B178" s="2"/>
      <c r="C178" s="2"/>
      <c r="D178" s="3"/>
      <c r="E178" s="121"/>
      <c r="F178" s="121">
        <f>F177*1%</f>
        <v>0.270724</v>
      </c>
      <c r="G178" s="131"/>
      <c r="H178" s="468"/>
      <c r="I178" s="468"/>
    </row>
    <row r="179">
      <c r="A179" s="133" t="s">
        <v>42</v>
      </c>
      <c r="B179" s="2"/>
      <c r="C179" s="2"/>
      <c r="D179" s="3"/>
      <c r="E179" s="131"/>
      <c r="F179" s="121">
        <f>F178+F177</f>
        <v>27.343124</v>
      </c>
      <c r="G179" s="131"/>
      <c r="H179" s="468"/>
      <c r="I179" s="468"/>
    </row>
    <row r="180">
      <c r="A180" s="133" t="s">
        <v>806</v>
      </c>
      <c r="B180" s="2"/>
      <c r="C180" s="2"/>
      <c r="D180" s="3"/>
      <c r="E180" s="121"/>
      <c r="F180" s="121">
        <f>F179*15%</f>
        <v>4.1014686</v>
      </c>
      <c r="G180" s="131"/>
      <c r="H180" s="468"/>
      <c r="I180" s="468"/>
    </row>
    <row r="181">
      <c r="A181" s="133" t="s">
        <v>42</v>
      </c>
      <c r="B181" s="2"/>
      <c r="C181" s="2"/>
      <c r="D181" s="3"/>
      <c r="E181" s="131"/>
      <c r="F181" s="300">
        <f>round(F180+F179,2)</f>
        <v>31.44</v>
      </c>
      <c r="G181" s="131"/>
      <c r="H181" s="468"/>
      <c r="I181" s="468"/>
    </row>
    <row r="182">
      <c r="A182" s="455" t="str">
        <f>CONCATENATE("Say ₹ ",F170," + ",F181," x Cost Index")</f>
        <v>Say ₹ 45.88 + 31.44 x Cost Index</v>
      </c>
      <c r="B182" s="2"/>
      <c r="C182" s="2"/>
      <c r="D182" s="2"/>
      <c r="E182" s="2"/>
      <c r="F182" s="2"/>
      <c r="G182" s="3"/>
      <c r="H182" s="474">
        <f>((F164*1.01*1.15))</f>
        <v>45.87925</v>
      </c>
      <c r="I182" s="474">
        <f>((SUM(F173,F175)*1.01*1.15))</f>
        <v>31.4445926</v>
      </c>
    </row>
    <row r="183">
      <c r="A183" s="111" t="s">
        <v>742</v>
      </c>
      <c r="B183" s="111" t="s">
        <v>745</v>
      </c>
      <c r="C183" s="112" t="s">
        <v>6</v>
      </c>
      <c r="D183" s="2"/>
      <c r="E183" s="3"/>
      <c r="F183" s="112" t="s">
        <v>746</v>
      </c>
      <c r="G183" s="3"/>
      <c r="H183" s="468"/>
      <c r="I183" s="468"/>
    </row>
    <row r="184">
      <c r="A184" s="20"/>
      <c r="B184" s="20"/>
      <c r="C184" s="115" t="s">
        <v>8</v>
      </c>
      <c r="D184" s="115" t="s">
        <v>9</v>
      </c>
      <c r="E184" s="115" t="s">
        <v>358</v>
      </c>
      <c r="F184" s="115" t="s">
        <v>11</v>
      </c>
      <c r="G184" s="115" t="s">
        <v>751</v>
      </c>
      <c r="H184" s="468"/>
      <c r="I184" s="468"/>
    </row>
    <row r="185">
      <c r="A185" s="513" t="s">
        <v>1787</v>
      </c>
      <c r="B185" s="2"/>
      <c r="C185" s="2"/>
      <c r="D185" s="2"/>
      <c r="E185" s="2"/>
      <c r="F185" s="2"/>
      <c r="G185" s="3"/>
      <c r="H185" s="468"/>
      <c r="I185" s="468"/>
    </row>
    <row r="186">
      <c r="A186" s="119"/>
      <c r="B186" s="120" t="s">
        <v>754</v>
      </c>
      <c r="C186" s="120" t="s">
        <v>1117</v>
      </c>
      <c r="D186" s="120" t="s">
        <v>757</v>
      </c>
      <c r="E186" s="121">
        <v>1.0</v>
      </c>
      <c r="F186" s="467"/>
      <c r="G186" s="3"/>
      <c r="H186" s="468"/>
      <c r="I186" s="468"/>
    </row>
    <row r="187">
      <c r="A187" s="120" t="s">
        <v>761</v>
      </c>
      <c r="B187" s="123" t="s">
        <v>1617</v>
      </c>
      <c r="C187" s="2"/>
      <c r="D187" s="2"/>
      <c r="E187" s="2"/>
      <c r="F187" s="2"/>
      <c r="G187" s="3"/>
      <c r="H187" s="468"/>
      <c r="I187" s="468"/>
    </row>
    <row r="188">
      <c r="A188" s="124" t="s">
        <v>764</v>
      </c>
      <c r="B188" s="2"/>
      <c r="C188" s="2"/>
      <c r="D188" s="2"/>
      <c r="E188" s="2"/>
      <c r="F188" s="3"/>
      <c r="G188" s="125" t="s">
        <v>766</v>
      </c>
      <c r="H188" s="468"/>
      <c r="I188" s="468"/>
    </row>
    <row r="189">
      <c r="A189" s="126"/>
      <c r="B189" s="127" t="s">
        <v>1791</v>
      </c>
      <c r="C189" s="123" t="s">
        <v>1792</v>
      </c>
      <c r="D189" s="2"/>
      <c r="E189" s="3"/>
      <c r="F189" s="467"/>
      <c r="G189" s="3"/>
      <c r="H189" s="468"/>
      <c r="I189" s="468"/>
    </row>
    <row r="190">
      <c r="A190" s="20"/>
      <c r="B190" s="20"/>
      <c r="C190" s="120" t="s">
        <v>43</v>
      </c>
      <c r="D190" s="121">
        <v>1.0</v>
      </c>
      <c r="E190" s="121">
        <v>47.5</v>
      </c>
      <c r="F190" s="121">
        <f>D190*E190</f>
        <v>47.5</v>
      </c>
      <c r="G190" s="120" t="s">
        <v>772</v>
      </c>
      <c r="H190" s="468"/>
      <c r="I190" s="468"/>
    </row>
    <row r="191">
      <c r="A191" s="129" t="s">
        <v>1116</v>
      </c>
      <c r="B191" s="2"/>
      <c r="C191" s="3"/>
      <c r="D191" s="121">
        <v>1.0</v>
      </c>
      <c r="E191" s="130" t="s">
        <v>1117</v>
      </c>
      <c r="F191" s="121">
        <f>F190</f>
        <v>47.5</v>
      </c>
      <c r="G191" s="120"/>
      <c r="H191" s="468"/>
      <c r="I191" s="468"/>
    </row>
    <row r="192">
      <c r="A192" s="129" t="s">
        <v>800</v>
      </c>
      <c r="B192" s="2"/>
      <c r="C192" s="3"/>
      <c r="D192" s="121">
        <v>1.0</v>
      </c>
      <c r="E192" s="130" t="s">
        <v>1117</v>
      </c>
      <c r="F192" s="121">
        <f>F191/D191</f>
        <v>47.5</v>
      </c>
      <c r="G192" s="120"/>
      <c r="H192" s="468"/>
      <c r="I192" s="468"/>
    </row>
    <row r="193">
      <c r="A193" s="133" t="s">
        <v>802</v>
      </c>
      <c r="B193" s="2"/>
      <c r="C193" s="2"/>
      <c r="D193" s="3"/>
      <c r="E193" s="121"/>
      <c r="F193" s="121">
        <f>F192*1%</f>
        <v>0.475</v>
      </c>
      <c r="G193" s="120"/>
      <c r="H193" s="468"/>
      <c r="I193" s="468"/>
    </row>
    <row r="194">
      <c r="A194" s="133" t="s">
        <v>42</v>
      </c>
      <c r="B194" s="2"/>
      <c r="C194" s="2"/>
      <c r="D194" s="3"/>
      <c r="E194" s="131"/>
      <c r="F194" s="121">
        <f>F193+F192</f>
        <v>47.975</v>
      </c>
      <c r="G194" s="120"/>
      <c r="H194" s="468"/>
      <c r="I194" s="468"/>
    </row>
    <row r="195">
      <c r="A195" s="133" t="s">
        <v>806</v>
      </c>
      <c r="B195" s="2"/>
      <c r="C195" s="2"/>
      <c r="D195" s="3"/>
      <c r="E195" s="121"/>
      <c r="F195" s="121">
        <f>F194*15%</f>
        <v>7.19625</v>
      </c>
      <c r="G195" s="120"/>
      <c r="H195" s="468"/>
      <c r="I195" s="468"/>
    </row>
    <row r="196">
      <c r="A196" s="133" t="s">
        <v>42</v>
      </c>
      <c r="B196" s="2"/>
      <c r="C196" s="2"/>
      <c r="D196" s="3"/>
      <c r="E196" s="131"/>
      <c r="F196" s="300">
        <f>round(F195+F194,2)</f>
        <v>55.17</v>
      </c>
      <c r="G196" s="120"/>
      <c r="H196" s="468"/>
      <c r="I196" s="468"/>
    </row>
    <row r="197">
      <c r="A197" s="124" t="s">
        <v>843</v>
      </c>
      <c r="B197" s="2"/>
      <c r="C197" s="2"/>
      <c r="D197" s="2"/>
      <c r="E197" s="2"/>
      <c r="F197" s="3"/>
      <c r="G197" s="125" t="s">
        <v>778</v>
      </c>
      <c r="H197" s="468"/>
      <c r="I197" s="468"/>
    </row>
    <row r="198">
      <c r="A198" s="127">
        <v>9999.0</v>
      </c>
      <c r="B198" s="126"/>
      <c r="C198" s="123" t="s">
        <v>1755</v>
      </c>
      <c r="D198" s="2"/>
      <c r="E198" s="3"/>
      <c r="F198" s="467"/>
      <c r="G198" s="3"/>
      <c r="H198" s="468"/>
      <c r="I198" s="468"/>
    </row>
    <row r="199">
      <c r="A199" s="20"/>
      <c r="B199" s="20"/>
      <c r="C199" s="120" t="s">
        <v>107</v>
      </c>
      <c r="D199" s="121">
        <v>3.41</v>
      </c>
      <c r="E199" s="121">
        <v>2.12</v>
      </c>
      <c r="F199" s="121">
        <f>E199*D199</f>
        <v>7.2292</v>
      </c>
      <c r="G199" s="120" t="s">
        <v>846</v>
      </c>
      <c r="H199" s="468"/>
      <c r="I199" s="468"/>
    </row>
    <row r="200">
      <c r="A200" s="127">
        <v>9999.0</v>
      </c>
      <c r="B200" s="126"/>
      <c r="C200" s="123" t="s">
        <v>1629</v>
      </c>
      <c r="D200" s="2"/>
      <c r="E200" s="3"/>
      <c r="F200" s="467"/>
      <c r="G200" s="3"/>
      <c r="H200" s="468"/>
      <c r="I200" s="468"/>
    </row>
    <row r="201">
      <c r="A201" s="20"/>
      <c r="B201" s="20"/>
      <c r="C201" s="120" t="s">
        <v>107</v>
      </c>
      <c r="D201" s="121">
        <v>9.36</v>
      </c>
      <c r="E201" s="121">
        <v>2.12</v>
      </c>
      <c r="F201" s="121">
        <f>D201*E201</f>
        <v>19.8432</v>
      </c>
      <c r="G201" s="120" t="s">
        <v>850</v>
      </c>
      <c r="H201" s="468"/>
      <c r="I201" s="468"/>
    </row>
    <row r="202">
      <c r="A202" s="129" t="s">
        <v>1633</v>
      </c>
      <c r="B202" s="2"/>
      <c r="C202" s="3"/>
      <c r="D202" s="121">
        <v>1.0</v>
      </c>
      <c r="E202" s="130" t="s">
        <v>1117</v>
      </c>
      <c r="F202" s="121">
        <f>F201+F199</f>
        <v>27.0724</v>
      </c>
      <c r="G202" s="131"/>
      <c r="H202" s="468"/>
      <c r="I202" s="468"/>
    </row>
    <row r="203">
      <c r="A203" s="129" t="s">
        <v>800</v>
      </c>
      <c r="B203" s="2"/>
      <c r="C203" s="3"/>
      <c r="D203" s="121">
        <v>1.0</v>
      </c>
      <c r="E203" s="130" t="s">
        <v>1117</v>
      </c>
      <c r="F203" s="121">
        <f>F202/D202</f>
        <v>27.0724</v>
      </c>
      <c r="G203" s="131"/>
      <c r="H203" s="468"/>
      <c r="I203" s="468"/>
    </row>
    <row r="204">
      <c r="A204" s="133" t="s">
        <v>802</v>
      </c>
      <c r="B204" s="2"/>
      <c r="C204" s="2"/>
      <c r="D204" s="3"/>
      <c r="E204" s="121"/>
      <c r="F204" s="121">
        <f>F203*1%</f>
        <v>0.270724</v>
      </c>
      <c r="G204" s="131"/>
      <c r="H204" s="468"/>
      <c r="I204" s="468"/>
    </row>
    <row r="205">
      <c r="A205" s="133" t="s">
        <v>42</v>
      </c>
      <c r="B205" s="2"/>
      <c r="C205" s="2"/>
      <c r="D205" s="3"/>
      <c r="E205" s="131"/>
      <c r="F205" s="121">
        <f>F204+F203</f>
        <v>27.343124</v>
      </c>
      <c r="G205" s="131"/>
      <c r="H205" s="468"/>
      <c r="I205" s="468"/>
    </row>
    <row r="206">
      <c r="A206" s="133" t="s">
        <v>806</v>
      </c>
      <c r="B206" s="2"/>
      <c r="C206" s="2"/>
      <c r="D206" s="3"/>
      <c r="E206" s="121"/>
      <c r="F206" s="121">
        <f>F205*15%</f>
        <v>4.1014686</v>
      </c>
      <c r="G206" s="131"/>
      <c r="H206" s="468"/>
      <c r="I206" s="468"/>
    </row>
    <row r="207">
      <c r="A207" s="133" t="s">
        <v>42</v>
      </c>
      <c r="B207" s="2"/>
      <c r="C207" s="2"/>
      <c r="D207" s="3"/>
      <c r="E207" s="131"/>
      <c r="F207" s="300">
        <f>round(F206+F205,2)</f>
        <v>31.44</v>
      </c>
      <c r="G207" s="131"/>
      <c r="H207" s="468"/>
      <c r="I207" s="468"/>
    </row>
    <row r="208">
      <c r="A208" s="455" t="str">
        <f>CONCATENATE("Say ₹ ",F196," + ",F207," x Cost Index")</f>
        <v>Say ₹ 55.17 + 31.44 x Cost Index</v>
      </c>
      <c r="B208" s="2"/>
      <c r="C208" s="2"/>
      <c r="D208" s="2"/>
      <c r="E208" s="2"/>
      <c r="F208" s="2"/>
      <c r="G208" s="3"/>
      <c r="H208" s="474">
        <f>((F190*1.01*1.15))</f>
        <v>55.17125</v>
      </c>
      <c r="I208" s="474">
        <f>((SUM(F199,F201)*1.01*1.15))</f>
        <v>31.4445926</v>
      </c>
    </row>
    <row r="209">
      <c r="A209" s="111" t="s">
        <v>742</v>
      </c>
      <c r="B209" s="111" t="s">
        <v>745</v>
      </c>
      <c r="C209" s="112" t="s">
        <v>6</v>
      </c>
      <c r="D209" s="2"/>
      <c r="E209" s="3"/>
      <c r="F209" s="112" t="s">
        <v>746</v>
      </c>
      <c r="G209" s="3"/>
      <c r="H209" s="468"/>
      <c r="I209" s="468"/>
    </row>
    <row r="210">
      <c r="A210" s="20"/>
      <c r="B210" s="20"/>
      <c r="C210" s="115" t="s">
        <v>8</v>
      </c>
      <c r="D210" s="115" t="s">
        <v>9</v>
      </c>
      <c r="E210" s="115" t="s">
        <v>358</v>
      </c>
      <c r="F210" s="115" t="s">
        <v>11</v>
      </c>
      <c r="G210" s="115" t="s">
        <v>751</v>
      </c>
      <c r="H210" s="468"/>
      <c r="I210" s="468"/>
    </row>
    <row r="211">
      <c r="A211" s="513" t="s">
        <v>1802</v>
      </c>
      <c r="B211" s="2"/>
      <c r="C211" s="2"/>
      <c r="D211" s="2"/>
      <c r="E211" s="2"/>
      <c r="F211" s="2"/>
      <c r="G211" s="3"/>
      <c r="H211" s="468"/>
      <c r="I211" s="468"/>
    </row>
    <row r="212">
      <c r="A212" s="119"/>
      <c r="B212" s="120" t="s">
        <v>754</v>
      </c>
      <c r="C212" s="120" t="s">
        <v>1117</v>
      </c>
      <c r="D212" s="120" t="s">
        <v>757</v>
      </c>
      <c r="E212" s="121">
        <v>1.0</v>
      </c>
      <c r="F212" s="467"/>
      <c r="G212" s="3"/>
      <c r="H212" s="468"/>
      <c r="I212" s="468"/>
    </row>
    <row r="213">
      <c r="A213" s="120" t="s">
        <v>761</v>
      </c>
      <c r="B213" s="123" t="s">
        <v>1804</v>
      </c>
      <c r="C213" s="2"/>
      <c r="D213" s="2"/>
      <c r="E213" s="2"/>
      <c r="F213" s="2"/>
      <c r="G213" s="3"/>
      <c r="H213" s="468"/>
      <c r="I213" s="468"/>
    </row>
    <row r="214">
      <c r="A214" s="124" t="s">
        <v>764</v>
      </c>
      <c r="B214" s="2"/>
      <c r="C214" s="2"/>
      <c r="D214" s="2"/>
      <c r="E214" s="2"/>
      <c r="F214" s="3"/>
      <c r="G214" s="125" t="s">
        <v>766</v>
      </c>
      <c r="H214" s="468"/>
      <c r="I214" s="468"/>
    </row>
    <row r="215">
      <c r="A215" s="126"/>
      <c r="B215" s="127" t="s">
        <v>1805</v>
      </c>
      <c r="C215" s="123" t="s">
        <v>1806</v>
      </c>
      <c r="D215" s="2"/>
      <c r="E215" s="3"/>
      <c r="F215" s="467"/>
      <c r="G215" s="3"/>
      <c r="H215" s="468"/>
      <c r="I215" s="468"/>
    </row>
    <row r="216">
      <c r="A216" s="20"/>
      <c r="B216" s="20"/>
      <c r="C216" s="120" t="s">
        <v>43</v>
      </c>
      <c r="D216" s="121">
        <v>1.0</v>
      </c>
      <c r="E216" s="121">
        <v>112.0</v>
      </c>
      <c r="F216" s="121">
        <f>D216*E216</f>
        <v>112</v>
      </c>
      <c r="G216" s="120" t="s">
        <v>772</v>
      </c>
      <c r="H216" s="468"/>
      <c r="I216" s="468"/>
    </row>
    <row r="217">
      <c r="A217" s="129" t="s">
        <v>1116</v>
      </c>
      <c r="B217" s="2"/>
      <c r="C217" s="3"/>
      <c r="D217" s="121">
        <v>1.0</v>
      </c>
      <c r="E217" s="130" t="s">
        <v>1117</v>
      </c>
      <c r="F217" s="121">
        <f>F216</f>
        <v>112</v>
      </c>
      <c r="G217" s="120"/>
      <c r="H217" s="468"/>
      <c r="I217" s="468"/>
    </row>
    <row r="218">
      <c r="A218" s="129" t="s">
        <v>800</v>
      </c>
      <c r="B218" s="2"/>
      <c r="C218" s="3"/>
      <c r="D218" s="121">
        <v>1.0</v>
      </c>
      <c r="E218" s="130" t="s">
        <v>1117</v>
      </c>
      <c r="F218" s="121">
        <f>F217/D217</f>
        <v>112</v>
      </c>
      <c r="G218" s="120"/>
      <c r="H218" s="468"/>
      <c r="I218" s="468"/>
    </row>
    <row r="219">
      <c r="A219" s="133" t="s">
        <v>802</v>
      </c>
      <c r="B219" s="2"/>
      <c r="C219" s="2"/>
      <c r="D219" s="3"/>
      <c r="E219" s="121"/>
      <c r="F219" s="121">
        <f>F218*1%</f>
        <v>1.12</v>
      </c>
      <c r="G219" s="120"/>
      <c r="H219" s="468"/>
      <c r="I219" s="468"/>
    </row>
    <row r="220">
      <c r="A220" s="133" t="s">
        <v>42</v>
      </c>
      <c r="B220" s="2"/>
      <c r="C220" s="2"/>
      <c r="D220" s="3"/>
      <c r="E220" s="131"/>
      <c r="F220" s="121">
        <f>F219+F218</f>
        <v>113.12</v>
      </c>
      <c r="G220" s="120"/>
      <c r="H220" s="468"/>
      <c r="I220" s="468"/>
    </row>
    <row r="221">
      <c r="A221" s="133" t="s">
        <v>806</v>
      </c>
      <c r="B221" s="2"/>
      <c r="C221" s="2"/>
      <c r="D221" s="3"/>
      <c r="E221" s="121"/>
      <c r="F221" s="121">
        <f>F220*15%</f>
        <v>16.968</v>
      </c>
      <c r="G221" s="120"/>
      <c r="H221" s="468"/>
      <c r="I221" s="468"/>
    </row>
    <row r="222">
      <c r="A222" s="133" t="s">
        <v>42</v>
      </c>
      <c r="B222" s="2"/>
      <c r="C222" s="2"/>
      <c r="D222" s="3"/>
      <c r="E222" s="131"/>
      <c r="F222" s="300">
        <f>round(F221+F220,2)</f>
        <v>130.09</v>
      </c>
      <c r="G222" s="120"/>
      <c r="H222" s="468"/>
      <c r="I222" s="468"/>
    </row>
    <row r="223">
      <c r="A223" s="124" t="s">
        <v>843</v>
      </c>
      <c r="B223" s="2"/>
      <c r="C223" s="2"/>
      <c r="D223" s="2"/>
      <c r="E223" s="2"/>
      <c r="F223" s="3"/>
      <c r="G223" s="125" t="s">
        <v>778</v>
      </c>
      <c r="H223" s="468"/>
      <c r="I223" s="468"/>
    </row>
    <row r="224">
      <c r="A224" s="127">
        <v>9999.0</v>
      </c>
      <c r="B224" s="126"/>
      <c r="C224" s="123" t="s">
        <v>1626</v>
      </c>
      <c r="D224" s="2"/>
      <c r="E224" s="3"/>
      <c r="F224" s="467"/>
      <c r="G224" s="3"/>
      <c r="H224" s="468"/>
      <c r="I224" s="468"/>
    </row>
    <row r="225">
      <c r="A225" s="20"/>
      <c r="B225" s="20"/>
      <c r="C225" s="120" t="s">
        <v>107</v>
      </c>
      <c r="D225" s="121">
        <v>3.41</v>
      </c>
      <c r="E225" s="121">
        <v>2.12</v>
      </c>
      <c r="F225" s="121">
        <f>E225*D225</f>
        <v>7.2292</v>
      </c>
      <c r="G225" s="120" t="s">
        <v>846</v>
      </c>
      <c r="H225" s="468"/>
      <c r="I225" s="468"/>
    </row>
    <row r="226">
      <c r="A226" s="127">
        <v>9999.0</v>
      </c>
      <c r="B226" s="126"/>
      <c r="C226" s="123" t="s">
        <v>1629</v>
      </c>
      <c r="D226" s="2"/>
      <c r="E226" s="3"/>
      <c r="F226" s="467"/>
      <c r="G226" s="3"/>
      <c r="H226" s="468"/>
      <c r="I226" s="468"/>
    </row>
    <row r="227">
      <c r="A227" s="20"/>
      <c r="B227" s="20"/>
      <c r="C227" s="120" t="s">
        <v>107</v>
      </c>
      <c r="D227" s="121">
        <v>10.79</v>
      </c>
      <c r="E227" s="121">
        <v>2.12</v>
      </c>
      <c r="F227" s="121">
        <f>D227*E227</f>
        <v>22.8748</v>
      </c>
      <c r="G227" s="120" t="s">
        <v>850</v>
      </c>
      <c r="H227" s="468"/>
      <c r="I227" s="468"/>
    </row>
    <row r="228">
      <c r="A228" s="129" t="s">
        <v>1633</v>
      </c>
      <c r="B228" s="2"/>
      <c r="C228" s="3"/>
      <c r="D228" s="121">
        <v>1.0</v>
      </c>
      <c r="E228" s="130" t="s">
        <v>1117</v>
      </c>
      <c r="F228" s="121">
        <f>F227+F225</f>
        <v>30.104</v>
      </c>
      <c r="G228" s="131"/>
      <c r="H228" s="468"/>
      <c r="I228" s="468"/>
    </row>
    <row r="229">
      <c r="A229" s="129" t="s">
        <v>800</v>
      </c>
      <c r="B229" s="2"/>
      <c r="C229" s="3"/>
      <c r="D229" s="121">
        <v>1.0</v>
      </c>
      <c r="E229" s="130" t="s">
        <v>1117</v>
      </c>
      <c r="F229" s="121">
        <f>F228/D228</f>
        <v>30.104</v>
      </c>
      <c r="G229" s="131"/>
      <c r="H229" s="468"/>
      <c r="I229" s="468"/>
    </row>
    <row r="230">
      <c r="A230" s="133" t="s">
        <v>802</v>
      </c>
      <c r="B230" s="2"/>
      <c r="C230" s="2"/>
      <c r="D230" s="3"/>
      <c r="E230" s="121"/>
      <c r="F230" s="121">
        <f>F229*1%</f>
        <v>0.30104</v>
      </c>
      <c r="G230" s="131"/>
      <c r="H230" s="468"/>
      <c r="I230" s="468"/>
    </row>
    <row r="231">
      <c r="A231" s="133" t="s">
        <v>42</v>
      </c>
      <c r="B231" s="2"/>
      <c r="C231" s="2"/>
      <c r="D231" s="3"/>
      <c r="E231" s="131"/>
      <c r="F231" s="121">
        <f>F230+F229</f>
        <v>30.40504</v>
      </c>
      <c r="G231" s="131"/>
      <c r="H231" s="468"/>
      <c r="I231" s="468"/>
    </row>
    <row r="232">
      <c r="A232" s="133" t="s">
        <v>806</v>
      </c>
      <c r="B232" s="2"/>
      <c r="C232" s="2"/>
      <c r="D232" s="3"/>
      <c r="E232" s="121"/>
      <c r="F232" s="121">
        <f>F231*15%</f>
        <v>4.560756</v>
      </c>
      <c r="G232" s="131"/>
      <c r="H232" s="468"/>
      <c r="I232" s="468"/>
    </row>
    <row r="233">
      <c r="A233" s="133" t="s">
        <v>42</v>
      </c>
      <c r="B233" s="2"/>
      <c r="C233" s="2"/>
      <c r="D233" s="3"/>
      <c r="E233" s="131"/>
      <c r="F233" s="300">
        <f>round(F232+F231,2)</f>
        <v>34.97</v>
      </c>
      <c r="G233" s="131"/>
      <c r="H233" s="468"/>
      <c r="I233" s="468"/>
    </row>
    <row r="234">
      <c r="A234" s="455" t="str">
        <f>CONCATENATE("Say ₹ ",F222," + ",F233," x Cost Index")</f>
        <v>Say ₹ 130.09 + 34.97 x Cost Index</v>
      </c>
      <c r="B234" s="2"/>
      <c r="C234" s="2"/>
      <c r="D234" s="2"/>
      <c r="E234" s="2"/>
      <c r="F234" s="2"/>
      <c r="G234" s="3"/>
      <c r="H234" s="474">
        <f>((F216*1.01*1.15))</f>
        <v>130.088</v>
      </c>
      <c r="I234" s="474">
        <f>((SUM(F225,F227)*1.01*1.15))</f>
        <v>34.965796</v>
      </c>
    </row>
    <row r="235">
      <c r="A235" s="111" t="s">
        <v>742</v>
      </c>
      <c r="B235" s="111" t="s">
        <v>745</v>
      </c>
      <c r="C235" s="112" t="s">
        <v>6</v>
      </c>
      <c r="D235" s="2"/>
      <c r="E235" s="3"/>
      <c r="F235" s="112" t="s">
        <v>746</v>
      </c>
      <c r="G235" s="3"/>
      <c r="H235" s="468"/>
      <c r="I235" s="468"/>
    </row>
    <row r="236">
      <c r="A236" s="20"/>
      <c r="B236" s="20"/>
      <c r="C236" s="115" t="s">
        <v>8</v>
      </c>
      <c r="D236" s="115" t="s">
        <v>9</v>
      </c>
      <c r="E236" s="115" t="s">
        <v>358</v>
      </c>
      <c r="F236" s="115" t="s">
        <v>11</v>
      </c>
      <c r="G236" s="115" t="s">
        <v>751</v>
      </c>
      <c r="H236" s="468"/>
      <c r="I236" s="468"/>
    </row>
    <row r="237">
      <c r="A237" s="513" t="s">
        <v>1816</v>
      </c>
      <c r="B237" s="2"/>
      <c r="C237" s="2"/>
      <c r="D237" s="2"/>
      <c r="E237" s="2"/>
      <c r="F237" s="2"/>
      <c r="G237" s="3"/>
      <c r="H237" s="468"/>
      <c r="I237" s="468"/>
    </row>
    <row r="238">
      <c r="A238" s="119"/>
      <c r="B238" s="120" t="s">
        <v>754</v>
      </c>
      <c r="C238" s="120" t="s">
        <v>1117</v>
      </c>
      <c r="D238" s="120" t="s">
        <v>757</v>
      </c>
      <c r="E238" s="121">
        <v>1.0</v>
      </c>
      <c r="F238" s="467"/>
      <c r="G238" s="3"/>
      <c r="H238" s="468"/>
      <c r="I238" s="468"/>
    </row>
    <row r="239">
      <c r="A239" s="120" t="s">
        <v>761</v>
      </c>
      <c r="B239" s="123" t="s">
        <v>1617</v>
      </c>
      <c r="C239" s="2"/>
      <c r="D239" s="2"/>
      <c r="E239" s="2"/>
      <c r="F239" s="2"/>
      <c r="G239" s="3"/>
      <c r="H239" s="468"/>
      <c r="I239" s="468"/>
    </row>
    <row r="240">
      <c r="A240" s="124" t="s">
        <v>764</v>
      </c>
      <c r="B240" s="2"/>
      <c r="C240" s="2"/>
      <c r="D240" s="2"/>
      <c r="E240" s="2"/>
      <c r="F240" s="3"/>
      <c r="G240" s="125" t="s">
        <v>766</v>
      </c>
      <c r="H240" s="468"/>
      <c r="I240" s="468"/>
    </row>
    <row r="241">
      <c r="A241" s="126"/>
      <c r="B241" s="127" t="s">
        <v>1817</v>
      </c>
      <c r="C241" s="123" t="s">
        <v>1818</v>
      </c>
      <c r="D241" s="2"/>
      <c r="E241" s="3"/>
      <c r="F241" s="467"/>
      <c r="G241" s="3"/>
      <c r="H241" s="468"/>
      <c r="I241" s="468"/>
    </row>
    <row r="242">
      <c r="A242" s="20"/>
      <c r="B242" s="20"/>
      <c r="C242" s="120" t="s">
        <v>43</v>
      </c>
      <c r="D242" s="121">
        <v>1.0</v>
      </c>
      <c r="E242" s="121">
        <v>46.5</v>
      </c>
      <c r="F242" s="121">
        <f>D242*E242</f>
        <v>46.5</v>
      </c>
      <c r="G242" s="120" t="s">
        <v>772</v>
      </c>
      <c r="H242" s="468"/>
      <c r="I242" s="468"/>
    </row>
    <row r="243">
      <c r="A243" s="129" t="s">
        <v>1116</v>
      </c>
      <c r="B243" s="2"/>
      <c r="C243" s="3"/>
      <c r="D243" s="121">
        <v>1.0</v>
      </c>
      <c r="E243" s="130" t="s">
        <v>1117</v>
      </c>
      <c r="F243" s="121">
        <f>F242</f>
        <v>46.5</v>
      </c>
      <c r="G243" s="120"/>
      <c r="H243" s="468"/>
      <c r="I243" s="468"/>
    </row>
    <row r="244">
      <c r="A244" s="129" t="s">
        <v>800</v>
      </c>
      <c r="B244" s="2"/>
      <c r="C244" s="3"/>
      <c r="D244" s="121">
        <v>1.0</v>
      </c>
      <c r="E244" s="130" t="s">
        <v>1117</v>
      </c>
      <c r="F244" s="121">
        <f>F243/D243</f>
        <v>46.5</v>
      </c>
      <c r="G244" s="120"/>
      <c r="H244" s="468"/>
      <c r="I244" s="468"/>
    </row>
    <row r="245">
      <c r="A245" s="133" t="s">
        <v>802</v>
      </c>
      <c r="B245" s="2"/>
      <c r="C245" s="2"/>
      <c r="D245" s="3"/>
      <c r="E245" s="121"/>
      <c r="F245" s="121">
        <f>F244*1%</f>
        <v>0.465</v>
      </c>
      <c r="G245" s="120"/>
      <c r="H245" s="468"/>
      <c r="I245" s="468"/>
    </row>
    <row r="246">
      <c r="A246" s="133" t="s">
        <v>42</v>
      </c>
      <c r="B246" s="2"/>
      <c r="C246" s="2"/>
      <c r="D246" s="3"/>
      <c r="E246" s="131"/>
      <c r="F246" s="121">
        <f>F245+F244</f>
        <v>46.965</v>
      </c>
      <c r="G246" s="120"/>
      <c r="H246" s="468"/>
      <c r="I246" s="468"/>
    </row>
    <row r="247">
      <c r="A247" s="133" t="s">
        <v>806</v>
      </c>
      <c r="B247" s="2"/>
      <c r="C247" s="2"/>
      <c r="D247" s="3"/>
      <c r="E247" s="121"/>
      <c r="F247" s="121">
        <f>F246*15%</f>
        <v>7.04475</v>
      </c>
      <c r="G247" s="120"/>
      <c r="H247" s="468"/>
      <c r="I247" s="468"/>
    </row>
    <row r="248">
      <c r="A248" s="133" t="s">
        <v>42</v>
      </c>
      <c r="B248" s="2"/>
      <c r="C248" s="2"/>
      <c r="D248" s="3"/>
      <c r="E248" s="131"/>
      <c r="F248" s="300">
        <f>round(F247+F246,2)</f>
        <v>54.01</v>
      </c>
      <c r="G248" s="120"/>
      <c r="H248" s="468"/>
      <c r="I248" s="468"/>
    </row>
    <row r="249">
      <c r="A249" s="124" t="s">
        <v>843</v>
      </c>
      <c r="B249" s="2"/>
      <c r="C249" s="2"/>
      <c r="D249" s="2"/>
      <c r="E249" s="2"/>
      <c r="F249" s="3"/>
      <c r="G249" s="125" t="s">
        <v>778</v>
      </c>
      <c r="H249" s="468"/>
      <c r="I249" s="468"/>
    </row>
    <row r="250">
      <c r="A250" s="127">
        <v>9999.0</v>
      </c>
      <c r="B250" s="126"/>
      <c r="C250" s="123" t="s">
        <v>1755</v>
      </c>
      <c r="D250" s="2"/>
      <c r="E250" s="3"/>
      <c r="F250" s="467"/>
      <c r="G250" s="3"/>
      <c r="H250" s="468"/>
      <c r="I250" s="468"/>
    </row>
    <row r="251">
      <c r="A251" s="20"/>
      <c r="B251" s="20"/>
      <c r="C251" s="120" t="s">
        <v>107</v>
      </c>
      <c r="D251" s="121">
        <v>3.41</v>
      </c>
      <c r="E251" s="121">
        <v>2.12</v>
      </c>
      <c r="F251" s="121">
        <f>E251*D251</f>
        <v>7.2292</v>
      </c>
      <c r="G251" s="120" t="s">
        <v>846</v>
      </c>
      <c r="H251" s="468"/>
      <c r="I251" s="468"/>
    </row>
    <row r="252">
      <c r="A252" s="127">
        <v>9999.0</v>
      </c>
      <c r="B252" s="126"/>
      <c r="C252" s="123" t="s">
        <v>1629</v>
      </c>
      <c r="D252" s="2"/>
      <c r="E252" s="3"/>
      <c r="F252" s="467"/>
      <c r="G252" s="3"/>
      <c r="H252" s="468"/>
      <c r="I252" s="468"/>
    </row>
    <row r="253">
      <c r="A253" s="20"/>
      <c r="B253" s="20"/>
      <c r="C253" s="120" t="s">
        <v>107</v>
      </c>
      <c r="D253" s="121">
        <v>9.36</v>
      </c>
      <c r="E253" s="121">
        <v>2.12</v>
      </c>
      <c r="F253" s="121">
        <f>D253*E253</f>
        <v>19.8432</v>
      </c>
      <c r="G253" s="120" t="s">
        <v>850</v>
      </c>
      <c r="H253" s="468"/>
      <c r="I253" s="468"/>
    </row>
    <row r="254">
      <c r="A254" s="129" t="s">
        <v>1633</v>
      </c>
      <c r="B254" s="2"/>
      <c r="C254" s="3"/>
      <c r="D254" s="121">
        <v>1.0</v>
      </c>
      <c r="E254" s="130" t="s">
        <v>1117</v>
      </c>
      <c r="F254" s="121">
        <f>F253+F251</f>
        <v>27.0724</v>
      </c>
      <c r="G254" s="131"/>
      <c r="H254" s="468"/>
      <c r="I254" s="468"/>
    </row>
    <row r="255">
      <c r="A255" s="129" t="s">
        <v>800</v>
      </c>
      <c r="B255" s="2"/>
      <c r="C255" s="3"/>
      <c r="D255" s="121">
        <v>1.0</v>
      </c>
      <c r="E255" s="130" t="s">
        <v>1117</v>
      </c>
      <c r="F255" s="121">
        <f>F254/D254</f>
        <v>27.0724</v>
      </c>
      <c r="G255" s="131"/>
      <c r="H255" s="468"/>
      <c r="I255" s="468"/>
    </row>
    <row r="256">
      <c r="A256" s="133" t="s">
        <v>802</v>
      </c>
      <c r="B256" s="2"/>
      <c r="C256" s="2"/>
      <c r="D256" s="3"/>
      <c r="E256" s="121"/>
      <c r="F256" s="121">
        <f>F255*1%</f>
        <v>0.270724</v>
      </c>
      <c r="G256" s="131"/>
      <c r="H256" s="468"/>
      <c r="I256" s="468"/>
    </row>
    <row r="257">
      <c r="A257" s="133" t="s">
        <v>42</v>
      </c>
      <c r="B257" s="2"/>
      <c r="C257" s="2"/>
      <c r="D257" s="3"/>
      <c r="E257" s="131"/>
      <c r="F257" s="121">
        <f>F256+F255</f>
        <v>27.343124</v>
      </c>
      <c r="G257" s="131"/>
      <c r="H257" s="468"/>
      <c r="I257" s="468"/>
    </row>
    <row r="258">
      <c r="A258" s="133" t="s">
        <v>806</v>
      </c>
      <c r="B258" s="2"/>
      <c r="C258" s="2"/>
      <c r="D258" s="3"/>
      <c r="E258" s="121"/>
      <c r="F258" s="121">
        <f>F257*15%</f>
        <v>4.1014686</v>
      </c>
      <c r="G258" s="131"/>
      <c r="H258" s="468"/>
      <c r="I258" s="468"/>
    </row>
    <row r="259">
      <c r="A259" s="133" t="s">
        <v>42</v>
      </c>
      <c r="B259" s="2"/>
      <c r="C259" s="2"/>
      <c r="D259" s="3"/>
      <c r="E259" s="131"/>
      <c r="F259" s="300">
        <f>round(F258+F257,2)</f>
        <v>31.44</v>
      </c>
      <c r="G259" s="131"/>
      <c r="H259" s="468"/>
      <c r="I259" s="468"/>
    </row>
    <row r="260">
      <c r="A260" s="455" t="str">
        <f>CONCATENATE("Say ₹ ",F248," + ",F259," x Cost Index")</f>
        <v>Say ₹ 54.01 + 31.44 x Cost Index</v>
      </c>
      <c r="B260" s="2"/>
      <c r="C260" s="2"/>
      <c r="D260" s="2"/>
      <c r="E260" s="2"/>
      <c r="F260" s="2"/>
      <c r="G260" s="3"/>
      <c r="H260" s="474">
        <f>((F242*1.01*1.15))</f>
        <v>54.00975</v>
      </c>
      <c r="I260" s="474">
        <f>((SUM(F251,F253)*1.01*1.15))</f>
        <v>31.4445926</v>
      </c>
    </row>
    <row r="261">
      <c r="A261" s="111" t="s">
        <v>742</v>
      </c>
      <c r="B261" s="111" t="s">
        <v>745</v>
      </c>
      <c r="C261" s="112" t="s">
        <v>6</v>
      </c>
      <c r="D261" s="2"/>
      <c r="E261" s="3"/>
      <c r="F261" s="112" t="s">
        <v>746</v>
      </c>
      <c r="G261" s="3"/>
      <c r="H261" s="468"/>
      <c r="I261" s="468"/>
    </row>
    <row r="262">
      <c r="A262" s="20"/>
      <c r="B262" s="20"/>
      <c r="C262" s="115" t="s">
        <v>8</v>
      </c>
      <c r="D262" s="115" t="s">
        <v>9</v>
      </c>
      <c r="E262" s="115" t="s">
        <v>358</v>
      </c>
      <c r="F262" s="115" t="s">
        <v>11</v>
      </c>
      <c r="G262" s="115" t="s">
        <v>751</v>
      </c>
      <c r="H262" s="468"/>
      <c r="I262" s="468"/>
    </row>
    <row r="263">
      <c r="A263" s="513" t="s">
        <v>1833</v>
      </c>
      <c r="B263" s="2"/>
      <c r="C263" s="2"/>
      <c r="D263" s="2"/>
      <c r="E263" s="2"/>
      <c r="F263" s="2"/>
      <c r="G263" s="3"/>
      <c r="H263" s="468"/>
      <c r="I263" s="468"/>
    </row>
    <row r="264">
      <c r="A264" s="119"/>
      <c r="B264" s="120" t="s">
        <v>754</v>
      </c>
      <c r="C264" s="120" t="s">
        <v>1117</v>
      </c>
      <c r="D264" s="120" t="s">
        <v>757</v>
      </c>
      <c r="E264" s="121">
        <v>1.0</v>
      </c>
      <c r="F264" s="467"/>
      <c r="G264" s="3"/>
      <c r="H264" s="468"/>
      <c r="I264" s="468"/>
    </row>
    <row r="265">
      <c r="A265" s="120" t="s">
        <v>761</v>
      </c>
      <c r="B265" s="123" t="s">
        <v>1617</v>
      </c>
      <c r="C265" s="2"/>
      <c r="D265" s="2"/>
      <c r="E265" s="2"/>
      <c r="F265" s="2"/>
      <c r="G265" s="3"/>
      <c r="H265" s="468"/>
      <c r="I265" s="468"/>
    </row>
    <row r="266">
      <c r="A266" s="124" t="s">
        <v>764</v>
      </c>
      <c r="B266" s="2"/>
      <c r="C266" s="2"/>
      <c r="D266" s="2"/>
      <c r="E266" s="2"/>
      <c r="F266" s="3"/>
      <c r="G266" s="125" t="s">
        <v>766</v>
      </c>
      <c r="H266" s="468"/>
      <c r="I266" s="468"/>
    </row>
    <row r="267">
      <c r="A267" s="126"/>
      <c r="B267" s="127" t="s">
        <v>1834</v>
      </c>
      <c r="C267" s="123" t="s">
        <v>1835</v>
      </c>
      <c r="D267" s="2"/>
      <c r="E267" s="3"/>
      <c r="F267" s="467"/>
      <c r="G267" s="3"/>
      <c r="H267" s="468"/>
      <c r="I267" s="468"/>
    </row>
    <row r="268">
      <c r="A268" s="20"/>
      <c r="B268" s="20"/>
      <c r="C268" s="120" t="s">
        <v>43</v>
      </c>
      <c r="D268" s="121">
        <v>1.0</v>
      </c>
      <c r="E268" s="121">
        <v>57.5</v>
      </c>
      <c r="F268" s="121">
        <f>D268*E268</f>
        <v>57.5</v>
      </c>
      <c r="G268" s="120" t="s">
        <v>772</v>
      </c>
      <c r="H268" s="468"/>
      <c r="I268" s="468"/>
    </row>
    <row r="269">
      <c r="A269" s="129" t="s">
        <v>1116</v>
      </c>
      <c r="B269" s="2"/>
      <c r="C269" s="3"/>
      <c r="D269" s="121">
        <v>1.0</v>
      </c>
      <c r="E269" s="130" t="s">
        <v>1117</v>
      </c>
      <c r="F269" s="121">
        <f>F268</f>
        <v>57.5</v>
      </c>
      <c r="G269" s="120"/>
      <c r="H269" s="468"/>
      <c r="I269" s="468"/>
    </row>
    <row r="270">
      <c r="A270" s="129" t="s">
        <v>800</v>
      </c>
      <c r="B270" s="2"/>
      <c r="C270" s="3"/>
      <c r="D270" s="121">
        <v>1.0</v>
      </c>
      <c r="E270" s="130" t="s">
        <v>1117</v>
      </c>
      <c r="F270" s="121">
        <f>F269/D269</f>
        <v>57.5</v>
      </c>
      <c r="G270" s="120"/>
      <c r="H270" s="468"/>
      <c r="I270" s="468"/>
    </row>
    <row r="271">
      <c r="A271" s="133" t="s">
        <v>802</v>
      </c>
      <c r="B271" s="2"/>
      <c r="C271" s="2"/>
      <c r="D271" s="3"/>
      <c r="E271" s="121"/>
      <c r="F271" s="121">
        <f>F270*1%</f>
        <v>0.575</v>
      </c>
      <c r="G271" s="120"/>
      <c r="H271" s="468"/>
      <c r="I271" s="468"/>
    </row>
    <row r="272">
      <c r="A272" s="133" t="s">
        <v>42</v>
      </c>
      <c r="B272" s="2"/>
      <c r="C272" s="2"/>
      <c r="D272" s="3"/>
      <c r="E272" s="131"/>
      <c r="F272" s="121">
        <f>F271+F270</f>
        <v>58.075</v>
      </c>
      <c r="G272" s="120"/>
      <c r="H272" s="468"/>
      <c r="I272" s="468"/>
    </row>
    <row r="273">
      <c r="A273" s="133" t="s">
        <v>806</v>
      </c>
      <c r="B273" s="2"/>
      <c r="C273" s="2"/>
      <c r="D273" s="3"/>
      <c r="E273" s="121"/>
      <c r="F273" s="121">
        <f>F272*15%</f>
        <v>8.71125</v>
      </c>
      <c r="G273" s="120"/>
      <c r="H273" s="468"/>
      <c r="I273" s="468"/>
    </row>
    <row r="274">
      <c r="A274" s="133" t="s">
        <v>42</v>
      </c>
      <c r="B274" s="2"/>
      <c r="C274" s="2"/>
      <c r="D274" s="3"/>
      <c r="E274" s="131"/>
      <c r="F274" s="300">
        <f>round(F273+F272,2)</f>
        <v>66.79</v>
      </c>
      <c r="G274" s="120"/>
      <c r="H274" s="468"/>
      <c r="I274" s="468"/>
    </row>
    <row r="275">
      <c r="A275" s="124" t="s">
        <v>843</v>
      </c>
      <c r="B275" s="2"/>
      <c r="C275" s="2"/>
      <c r="D275" s="2"/>
      <c r="E275" s="2"/>
      <c r="F275" s="3"/>
      <c r="G275" s="125" t="s">
        <v>778</v>
      </c>
      <c r="H275" s="468"/>
      <c r="I275" s="468"/>
    </row>
    <row r="276">
      <c r="A276" s="127">
        <v>9999.0</v>
      </c>
      <c r="B276" s="126"/>
      <c r="C276" s="123" t="s">
        <v>1755</v>
      </c>
      <c r="D276" s="2"/>
      <c r="E276" s="3"/>
      <c r="F276" s="467"/>
      <c r="G276" s="3"/>
      <c r="H276" s="468"/>
      <c r="I276" s="468"/>
    </row>
    <row r="277">
      <c r="A277" s="20"/>
      <c r="B277" s="20"/>
      <c r="C277" s="120" t="s">
        <v>107</v>
      </c>
      <c r="D277" s="121">
        <v>3.41</v>
      </c>
      <c r="E277" s="121">
        <v>2.12</v>
      </c>
      <c r="F277" s="121">
        <f>E277*D277</f>
        <v>7.2292</v>
      </c>
      <c r="G277" s="120" t="s">
        <v>846</v>
      </c>
      <c r="H277" s="468"/>
      <c r="I277" s="468"/>
    </row>
    <row r="278">
      <c r="A278" s="127">
        <v>9999.0</v>
      </c>
      <c r="B278" s="126"/>
      <c r="C278" s="123" t="s">
        <v>1629</v>
      </c>
      <c r="D278" s="2"/>
      <c r="E278" s="3"/>
      <c r="F278" s="467"/>
      <c r="G278" s="3"/>
      <c r="H278" s="468"/>
      <c r="I278" s="468"/>
    </row>
    <row r="279">
      <c r="A279" s="20"/>
      <c r="B279" s="20"/>
      <c r="C279" s="120" t="s">
        <v>107</v>
      </c>
      <c r="D279" s="121">
        <v>9.36</v>
      </c>
      <c r="E279" s="121">
        <v>2.12</v>
      </c>
      <c r="F279" s="121">
        <f>D279*E279</f>
        <v>19.8432</v>
      </c>
      <c r="G279" s="120" t="s">
        <v>850</v>
      </c>
      <c r="H279" s="468"/>
      <c r="I279" s="468"/>
    </row>
    <row r="280">
      <c r="A280" s="129" t="s">
        <v>1633</v>
      </c>
      <c r="B280" s="2"/>
      <c r="C280" s="3"/>
      <c r="D280" s="121">
        <v>1.0</v>
      </c>
      <c r="E280" s="130" t="s">
        <v>1117</v>
      </c>
      <c r="F280" s="121">
        <f>F279+F277</f>
        <v>27.0724</v>
      </c>
      <c r="G280" s="131"/>
      <c r="H280" s="468"/>
      <c r="I280" s="468"/>
    </row>
    <row r="281">
      <c r="A281" s="129" t="s">
        <v>800</v>
      </c>
      <c r="B281" s="2"/>
      <c r="C281" s="3"/>
      <c r="D281" s="121">
        <v>1.0</v>
      </c>
      <c r="E281" s="130" t="s">
        <v>1117</v>
      </c>
      <c r="F281" s="121">
        <f>F280/D280</f>
        <v>27.0724</v>
      </c>
      <c r="G281" s="131"/>
      <c r="H281" s="468"/>
      <c r="I281" s="468"/>
    </row>
    <row r="282">
      <c r="A282" s="133" t="s">
        <v>802</v>
      </c>
      <c r="B282" s="2"/>
      <c r="C282" s="2"/>
      <c r="D282" s="3"/>
      <c r="E282" s="121"/>
      <c r="F282" s="121">
        <f>F281*1%</f>
        <v>0.270724</v>
      </c>
      <c r="G282" s="131"/>
      <c r="H282" s="468"/>
      <c r="I282" s="468"/>
    </row>
    <row r="283">
      <c r="A283" s="133" t="s">
        <v>42</v>
      </c>
      <c r="B283" s="2"/>
      <c r="C283" s="2"/>
      <c r="D283" s="3"/>
      <c r="E283" s="131"/>
      <c r="F283" s="121">
        <f>F282+F281</f>
        <v>27.343124</v>
      </c>
      <c r="G283" s="131"/>
      <c r="H283" s="468"/>
      <c r="I283" s="468"/>
    </row>
    <row r="284">
      <c r="A284" s="133" t="s">
        <v>806</v>
      </c>
      <c r="B284" s="2"/>
      <c r="C284" s="2"/>
      <c r="D284" s="3"/>
      <c r="E284" s="121"/>
      <c r="F284" s="121">
        <f>F283*15%</f>
        <v>4.1014686</v>
      </c>
      <c r="G284" s="131"/>
      <c r="H284" s="468"/>
      <c r="I284" s="468"/>
    </row>
    <row r="285">
      <c r="A285" s="133" t="s">
        <v>42</v>
      </c>
      <c r="B285" s="2"/>
      <c r="C285" s="2"/>
      <c r="D285" s="3"/>
      <c r="E285" s="131"/>
      <c r="F285" s="300">
        <f>round(F284+F283,2)</f>
        <v>31.44</v>
      </c>
      <c r="G285" s="131"/>
      <c r="H285" s="468"/>
      <c r="I285" s="468"/>
    </row>
    <row r="286">
      <c r="A286" s="455" t="str">
        <f>CONCATENATE("Say ₹ ",F274," + ",F285," x Cost Index")</f>
        <v>Say ₹ 66.79 + 31.44 x Cost Index</v>
      </c>
      <c r="B286" s="2"/>
      <c r="C286" s="2"/>
      <c r="D286" s="2"/>
      <c r="E286" s="2"/>
      <c r="F286" s="2"/>
      <c r="G286" s="3"/>
      <c r="H286" s="474">
        <f>((F268*1.01*1.15))</f>
        <v>66.78625</v>
      </c>
      <c r="I286" s="474">
        <f>((SUM(F277,F279)*1.01*1.15))</f>
        <v>31.4445926</v>
      </c>
    </row>
    <row r="287">
      <c r="A287" s="111" t="s">
        <v>742</v>
      </c>
      <c r="B287" s="111" t="s">
        <v>745</v>
      </c>
      <c r="C287" s="112" t="s">
        <v>6</v>
      </c>
      <c r="D287" s="2"/>
      <c r="E287" s="3"/>
      <c r="F287" s="112" t="s">
        <v>746</v>
      </c>
      <c r="G287" s="3"/>
      <c r="H287" s="468"/>
      <c r="I287" s="468"/>
    </row>
    <row r="288">
      <c r="A288" s="20"/>
      <c r="B288" s="20"/>
      <c r="C288" s="115" t="s">
        <v>8</v>
      </c>
      <c r="D288" s="115" t="s">
        <v>9</v>
      </c>
      <c r="E288" s="115" t="s">
        <v>358</v>
      </c>
      <c r="F288" s="115" t="s">
        <v>11</v>
      </c>
      <c r="G288" s="115" t="s">
        <v>751</v>
      </c>
      <c r="H288" s="468"/>
      <c r="I288" s="468"/>
    </row>
    <row r="289">
      <c r="A289" s="513" t="s">
        <v>1846</v>
      </c>
      <c r="B289" s="2"/>
      <c r="C289" s="2"/>
      <c r="D289" s="2"/>
      <c r="E289" s="2"/>
      <c r="F289" s="2"/>
      <c r="G289" s="3"/>
      <c r="H289" s="468"/>
      <c r="I289" s="468"/>
    </row>
    <row r="290">
      <c r="A290" s="119"/>
      <c r="B290" s="120" t="s">
        <v>754</v>
      </c>
      <c r="C290" s="120" t="s">
        <v>1117</v>
      </c>
      <c r="D290" s="120" t="s">
        <v>757</v>
      </c>
      <c r="E290" s="121">
        <v>1.0</v>
      </c>
      <c r="F290" s="467"/>
      <c r="G290" s="3"/>
      <c r="H290" s="468"/>
      <c r="I290" s="468"/>
    </row>
    <row r="291">
      <c r="A291" s="120" t="s">
        <v>761</v>
      </c>
      <c r="B291" s="123" t="s">
        <v>1804</v>
      </c>
      <c r="C291" s="2"/>
      <c r="D291" s="2"/>
      <c r="E291" s="2"/>
      <c r="F291" s="2"/>
      <c r="G291" s="3"/>
      <c r="H291" s="468"/>
      <c r="I291" s="468"/>
    </row>
    <row r="292">
      <c r="A292" s="124" t="s">
        <v>764</v>
      </c>
      <c r="B292" s="2"/>
      <c r="C292" s="2"/>
      <c r="D292" s="2"/>
      <c r="E292" s="2"/>
      <c r="F292" s="3"/>
      <c r="G292" s="125" t="s">
        <v>766</v>
      </c>
      <c r="H292" s="468"/>
      <c r="I292" s="468"/>
    </row>
    <row r="293">
      <c r="A293" s="126"/>
      <c r="B293" s="127" t="s">
        <v>1847</v>
      </c>
      <c r="C293" s="123" t="s">
        <v>1848</v>
      </c>
      <c r="D293" s="2"/>
      <c r="E293" s="3"/>
      <c r="F293" s="467"/>
      <c r="G293" s="3"/>
      <c r="H293" s="468"/>
      <c r="I293" s="468"/>
    </row>
    <row r="294">
      <c r="A294" s="20"/>
      <c r="B294" s="20"/>
      <c r="C294" s="120" t="s">
        <v>43</v>
      </c>
      <c r="D294" s="121">
        <v>1.0</v>
      </c>
      <c r="E294" s="121">
        <v>123.0</v>
      </c>
      <c r="F294" s="121">
        <f>D294*E294</f>
        <v>123</v>
      </c>
      <c r="G294" s="120" t="s">
        <v>772</v>
      </c>
      <c r="H294" s="468"/>
      <c r="I294" s="468"/>
    </row>
    <row r="295">
      <c r="A295" s="129" t="s">
        <v>1116</v>
      </c>
      <c r="B295" s="2"/>
      <c r="C295" s="3"/>
      <c r="D295" s="121">
        <v>1.0</v>
      </c>
      <c r="E295" s="130" t="s">
        <v>1117</v>
      </c>
      <c r="F295" s="121">
        <f>F294</f>
        <v>123</v>
      </c>
      <c r="G295" s="120"/>
      <c r="H295" s="468"/>
      <c r="I295" s="468"/>
    </row>
    <row r="296">
      <c r="A296" s="129" t="s">
        <v>800</v>
      </c>
      <c r="B296" s="2"/>
      <c r="C296" s="3"/>
      <c r="D296" s="121">
        <v>1.0</v>
      </c>
      <c r="E296" s="130" t="s">
        <v>1117</v>
      </c>
      <c r="F296" s="121">
        <f>F295/D295</f>
        <v>123</v>
      </c>
      <c r="G296" s="120"/>
      <c r="H296" s="468"/>
      <c r="I296" s="468"/>
    </row>
    <row r="297">
      <c r="A297" s="133" t="s">
        <v>802</v>
      </c>
      <c r="B297" s="2"/>
      <c r="C297" s="2"/>
      <c r="D297" s="3"/>
      <c r="E297" s="121"/>
      <c r="F297" s="121">
        <f>F296*1%</f>
        <v>1.23</v>
      </c>
      <c r="G297" s="120"/>
      <c r="H297" s="468"/>
      <c r="I297" s="468"/>
    </row>
    <row r="298">
      <c r="A298" s="133" t="s">
        <v>42</v>
      </c>
      <c r="B298" s="2"/>
      <c r="C298" s="2"/>
      <c r="D298" s="3"/>
      <c r="E298" s="131"/>
      <c r="F298" s="121">
        <f>F297+F296</f>
        <v>124.23</v>
      </c>
      <c r="G298" s="120"/>
      <c r="H298" s="468"/>
      <c r="I298" s="468"/>
    </row>
    <row r="299">
      <c r="A299" s="133" t="s">
        <v>806</v>
      </c>
      <c r="B299" s="2"/>
      <c r="C299" s="2"/>
      <c r="D299" s="3"/>
      <c r="E299" s="121"/>
      <c r="F299" s="121">
        <f>F298*15%</f>
        <v>18.6345</v>
      </c>
      <c r="G299" s="120"/>
      <c r="H299" s="468"/>
      <c r="I299" s="468"/>
    </row>
    <row r="300">
      <c r="A300" s="133" t="s">
        <v>42</v>
      </c>
      <c r="B300" s="2"/>
      <c r="C300" s="2"/>
      <c r="D300" s="3"/>
      <c r="E300" s="131"/>
      <c r="F300" s="300">
        <f>round(F299+F298,2)</f>
        <v>142.86</v>
      </c>
      <c r="G300" s="120"/>
      <c r="H300" s="468"/>
      <c r="I300" s="468"/>
    </row>
    <row r="301">
      <c r="A301" s="124" t="s">
        <v>843</v>
      </c>
      <c r="B301" s="2"/>
      <c r="C301" s="2"/>
      <c r="D301" s="2"/>
      <c r="E301" s="2"/>
      <c r="F301" s="3"/>
      <c r="G301" s="125" t="s">
        <v>778</v>
      </c>
      <c r="H301" s="468"/>
      <c r="I301" s="468"/>
    </row>
    <row r="302">
      <c r="A302" s="127">
        <v>9999.0</v>
      </c>
      <c r="B302" s="126"/>
      <c r="C302" s="123" t="s">
        <v>1626</v>
      </c>
      <c r="D302" s="2"/>
      <c r="E302" s="3"/>
      <c r="F302" s="467"/>
      <c r="G302" s="3"/>
      <c r="H302" s="468"/>
      <c r="I302" s="468"/>
    </row>
    <row r="303">
      <c r="A303" s="20"/>
      <c r="B303" s="20"/>
      <c r="C303" s="120" t="s">
        <v>107</v>
      </c>
      <c r="D303" s="121">
        <v>3.41</v>
      </c>
      <c r="E303" s="121">
        <v>2.12</v>
      </c>
      <c r="F303" s="121">
        <f>E303*D303</f>
        <v>7.2292</v>
      </c>
      <c r="G303" s="120" t="s">
        <v>846</v>
      </c>
      <c r="H303" s="468"/>
      <c r="I303" s="468"/>
    </row>
    <row r="304">
      <c r="A304" s="127">
        <v>9999.0</v>
      </c>
      <c r="B304" s="126"/>
      <c r="C304" s="123" t="s">
        <v>1629</v>
      </c>
      <c r="D304" s="2"/>
      <c r="E304" s="3"/>
      <c r="F304" s="467"/>
      <c r="G304" s="3"/>
      <c r="H304" s="468"/>
      <c r="I304" s="468"/>
    </row>
    <row r="305">
      <c r="A305" s="20"/>
      <c r="B305" s="20"/>
      <c r="C305" s="120" t="s">
        <v>107</v>
      </c>
      <c r="D305" s="121">
        <v>10.79</v>
      </c>
      <c r="E305" s="121">
        <v>2.12</v>
      </c>
      <c r="F305" s="121">
        <f>D305*E305</f>
        <v>22.8748</v>
      </c>
      <c r="G305" s="120" t="s">
        <v>850</v>
      </c>
      <c r="H305" s="468"/>
      <c r="I305" s="468"/>
    </row>
    <row r="306">
      <c r="A306" s="129" t="s">
        <v>1633</v>
      </c>
      <c r="B306" s="2"/>
      <c r="C306" s="3"/>
      <c r="D306" s="121">
        <v>1.0</v>
      </c>
      <c r="E306" s="130" t="s">
        <v>1117</v>
      </c>
      <c r="F306" s="121">
        <f>F305+F303</f>
        <v>30.104</v>
      </c>
      <c r="G306" s="131"/>
      <c r="H306" s="468"/>
      <c r="I306" s="468"/>
    </row>
    <row r="307">
      <c r="A307" s="129" t="s">
        <v>800</v>
      </c>
      <c r="B307" s="2"/>
      <c r="C307" s="3"/>
      <c r="D307" s="121">
        <v>1.0</v>
      </c>
      <c r="E307" s="130" t="s">
        <v>1117</v>
      </c>
      <c r="F307" s="121">
        <f>F306/D306</f>
        <v>30.104</v>
      </c>
      <c r="G307" s="131"/>
      <c r="H307" s="468"/>
      <c r="I307" s="468"/>
    </row>
    <row r="308">
      <c r="A308" s="133" t="s">
        <v>802</v>
      </c>
      <c r="B308" s="2"/>
      <c r="C308" s="2"/>
      <c r="D308" s="3"/>
      <c r="E308" s="121"/>
      <c r="F308" s="121">
        <f>F307*1%</f>
        <v>0.30104</v>
      </c>
      <c r="G308" s="131"/>
      <c r="H308" s="468"/>
      <c r="I308" s="468"/>
    </row>
    <row r="309">
      <c r="A309" s="133" t="s">
        <v>42</v>
      </c>
      <c r="B309" s="2"/>
      <c r="C309" s="2"/>
      <c r="D309" s="3"/>
      <c r="E309" s="131"/>
      <c r="F309" s="121">
        <f>F308+F307</f>
        <v>30.40504</v>
      </c>
      <c r="G309" s="131"/>
      <c r="H309" s="468"/>
      <c r="I309" s="468"/>
    </row>
    <row r="310">
      <c r="A310" s="133" t="s">
        <v>806</v>
      </c>
      <c r="B310" s="2"/>
      <c r="C310" s="2"/>
      <c r="D310" s="3"/>
      <c r="E310" s="121"/>
      <c r="F310" s="121">
        <f>F309*15%</f>
        <v>4.560756</v>
      </c>
      <c r="G310" s="131"/>
      <c r="H310" s="468"/>
      <c r="I310" s="468"/>
    </row>
    <row r="311">
      <c r="A311" s="133" t="s">
        <v>42</v>
      </c>
      <c r="B311" s="2"/>
      <c r="C311" s="2"/>
      <c r="D311" s="3"/>
      <c r="E311" s="131"/>
      <c r="F311" s="300">
        <f>round(F310+F309,2)</f>
        <v>34.97</v>
      </c>
      <c r="G311" s="131"/>
      <c r="H311" s="468"/>
      <c r="I311" s="468"/>
    </row>
    <row r="312">
      <c r="A312" s="455" t="str">
        <f>CONCATENATE("Say ₹ ",F300," + ",F311," x Cost Index")</f>
        <v>Say ₹ 142.86 + 34.97 x Cost Index</v>
      </c>
      <c r="B312" s="2"/>
      <c r="C312" s="2"/>
      <c r="D312" s="2"/>
      <c r="E312" s="2"/>
      <c r="F312" s="2"/>
      <c r="G312" s="3"/>
      <c r="H312" s="474">
        <f>((F294*1.01*1.15))</f>
        <v>142.8645</v>
      </c>
      <c r="I312" s="474">
        <f>((SUM(F303,F305)*1.01*1.15))</f>
        <v>34.965796</v>
      </c>
    </row>
    <row r="313">
      <c r="A313" s="111" t="s">
        <v>742</v>
      </c>
      <c r="B313" s="111" t="s">
        <v>745</v>
      </c>
      <c r="C313" s="112" t="s">
        <v>6</v>
      </c>
      <c r="D313" s="2"/>
      <c r="E313" s="3"/>
      <c r="F313" s="112" t="s">
        <v>746</v>
      </c>
      <c r="G313" s="3"/>
      <c r="H313" s="468"/>
      <c r="I313" s="468"/>
    </row>
    <row r="314">
      <c r="A314" s="20"/>
      <c r="B314" s="20"/>
      <c r="C314" s="115" t="s">
        <v>8</v>
      </c>
      <c r="D314" s="115" t="s">
        <v>9</v>
      </c>
      <c r="E314" s="115" t="s">
        <v>358</v>
      </c>
      <c r="F314" s="115" t="s">
        <v>11</v>
      </c>
      <c r="G314" s="115" t="s">
        <v>751</v>
      </c>
      <c r="H314" s="468"/>
      <c r="I314" s="468"/>
    </row>
    <row r="315">
      <c r="A315" s="513" t="s">
        <v>1856</v>
      </c>
      <c r="B315" s="2"/>
      <c r="C315" s="2"/>
      <c r="D315" s="2"/>
      <c r="E315" s="2"/>
      <c r="F315" s="2"/>
      <c r="G315" s="3"/>
      <c r="H315" s="468"/>
      <c r="I315" s="468"/>
    </row>
    <row r="316">
      <c r="A316" s="119"/>
      <c r="B316" s="120" t="s">
        <v>754</v>
      </c>
      <c r="C316" s="120" t="s">
        <v>1117</v>
      </c>
      <c r="D316" s="120" t="s">
        <v>757</v>
      </c>
      <c r="E316" s="121">
        <v>1.0</v>
      </c>
      <c r="F316" s="467"/>
      <c r="G316" s="3"/>
      <c r="H316" s="468"/>
      <c r="I316" s="468"/>
    </row>
    <row r="317">
      <c r="A317" s="120" t="s">
        <v>761</v>
      </c>
      <c r="B317" s="123" t="s">
        <v>1804</v>
      </c>
      <c r="C317" s="2"/>
      <c r="D317" s="2"/>
      <c r="E317" s="2"/>
      <c r="F317" s="2"/>
      <c r="G317" s="3"/>
      <c r="H317" s="468"/>
      <c r="I317" s="468"/>
    </row>
    <row r="318">
      <c r="A318" s="124" t="s">
        <v>764</v>
      </c>
      <c r="B318" s="2"/>
      <c r="C318" s="2"/>
      <c r="D318" s="2"/>
      <c r="E318" s="2"/>
      <c r="F318" s="3"/>
      <c r="G318" s="125" t="s">
        <v>766</v>
      </c>
      <c r="H318" s="468"/>
      <c r="I318" s="468"/>
    </row>
    <row r="319">
      <c r="A319" s="126"/>
      <c r="B319" s="127" t="s">
        <v>1857</v>
      </c>
      <c r="C319" s="123" t="s">
        <v>1858</v>
      </c>
      <c r="D319" s="2"/>
      <c r="E319" s="3"/>
      <c r="F319" s="467"/>
      <c r="G319" s="3"/>
      <c r="H319" s="468"/>
      <c r="I319" s="468"/>
    </row>
    <row r="320">
      <c r="A320" s="20"/>
      <c r="B320" s="20"/>
      <c r="C320" s="120" t="s">
        <v>43</v>
      </c>
      <c r="D320" s="121">
        <v>1.0</v>
      </c>
      <c r="E320" s="121">
        <v>117.0</v>
      </c>
      <c r="F320" s="121">
        <f>D320*E320</f>
        <v>117</v>
      </c>
      <c r="G320" s="120" t="s">
        <v>772</v>
      </c>
      <c r="H320" s="468"/>
      <c r="I320" s="468"/>
    </row>
    <row r="321">
      <c r="A321" s="129" t="s">
        <v>1116</v>
      </c>
      <c r="B321" s="2"/>
      <c r="C321" s="3"/>
      <c r="D321" s="121">
        <v>1.0</v>
      </c>
      <c r="E321" s="130" t="s">
        <v>1117</v>
      </c>
      <c r="F321" s="121">
        <f>F320</f>
        <v>117</v>
      </c>
      <c r="G321" s="120"/>
      <c r="H321" s="468"/>
      <c r="I321" s="468"/>
    </row>
    <row r="322">
      <c r="A322" s="129" t="s">
        <v>800</v>
      </c>
      <c r="B322" s="2"/>
      <c r="C322" s="3"/>
      <c r="D322" s="121">
        <v>1.0</v>
      </c>
      <c r="E322" s="130" t="s">
        <v>1117</v>
      </c>
      <c r="F322" s="121">
        <f>F321/D321</f>
        <v>117</v>
      </c>
      <c r="G322" s="120"/>
      <c r="H322" s="468"/>
      <c r="I322" s="468"/>
    </row>
    <row r="323">
      <c r="A323" s="133" t="s">
        <v>802</v>
      </c>
      <c r="B323" s="2"/>
      <c r="C323" s="2"/>
      <c r="D323" s="3"/>
      <c r="E323" s="121"/>
      <c r="F323" s="121">
        <f>F322*1%</f>
        <v>1.17</v>
      </c>
      <c r="G323" s="120"/>
      <c r="H323" s="468"/>
      <c r="I323" s="468"/>
    </row>
    <row r="324">
      <c r="A324" s="133" t="s">
        <v>42</v>
      </c>
      <c r="B324" s="2"/>
      <c r="C324" s="2"/>
      <c r="D324" s="3"/>
      <c r="E324" s="131"/>
      <c r="F324" s="121">
        <f>F323+F322</f>
        <v>118.17</v>
      </c>
      <c r="G324" s="120"/>
      <c r="H324" s="468"/>
      <c r="I324" s="468"/>
    </row>
    <row r="325">
      <c r="A325" s="133" t="s">
        <v>806</v>
      </c>
      <c r="B325" s="2"/>
      <c r="C325" s="2"/>
      <c r="D325" s="3"/>
      <c r="E325" s="121"/>
      <c r="F325" s="121">
        <f>F324*15%</f>
        <v>17.7255</v>
      </c>
      <c r="G325" s="120"/>
      <c r="H325" s="468"/>
      <c r="I325" s="468"/>
    </row>
    <row r="326">
      <c r="A326" s="133" t="s">
        <v>42</v>
      </c>
      <c r="B326" s="2"/>
      <c r="C326" s="2"/>
      <c r="D326" s="3"/>
      <c r="E326" s="131"/>
      <c r="F326" s="300">
        <f>round(F325+F324,2)</f>
        <v>135.9</v>
      </c>
      <c r="G326" s="120"/>
      <c r="H326" s="468"/>
      <c r="I326" s="468"/>
    </row>
    <row r="327">
      <c r="A327" s="124" t="s">
        <v>843</v>
      </c>
      <c r="B327" s="2"/>
      <c r="C327" s="2"/>
      <c r="D327" s="2"/>
      <c r="E327" s="2"/>
      <c r="F327" s="3"/>
      <c r="G327" s="125" t="s">
        <v>778</v>
      </c>
      <c r="H327" s="468"/>
      <c r="I327" s="468"/>
    </row>
    <row r="328">
      <c r="A328" s="127">
        <v>9999.0</v>
      </c>
      <c r="B328" s="126"/>
      <c r="C328" s="123" t="s">
        <v>1626</v>
      </c>
      <c r="D328" s="2"/>
      <c r="E328" s="3"/>
      <c r="F328" s="467"/>
      <c r="G328" s="3"/>
      <c r="H328" s="468"/>
      <c r="I328" s="468"/>
    </row>
    <row r="329">
      <c r="A329" s="20"/>
      <c r="B329" s="20"/>
      <c r="C329" s="120" t="s">
        <v>107</v>
      </c>
      <c r="D329" s="121">
        <v>3.41</v>
      </c>
      <c r="E329" s="121">
        <v>2.12</v>
      </c>
      <c r="F329" s="121">
        <f>E329*D329</f>
        <v>7.2292</v>
      </c>
      <c r="G329" s="120" t="s">
        <v>846</v>
      </c>
      <c r="H329" s="468"/>
      <c r="I329" s="468"/>
    </row>
    <row r="330">
      <c r="A330" s="127">
        <v>9999.0</v>
      </c>
      <c r="B330" s="126"/>
      <c r="C330" s="123" t="s">
        <v>1629</v>
      </c>
      <c r="D330" s="2"/>
      <c r="E330" s="3"/>
      <c r="F330" s="467"/>
      <c r="G330" s="3"/>
      <c r="H330" s="468"/>
      <c r="I330" s="468"/>
    </row>
    <row r="331">
      <c r="A331" s="20"/>
      <c r="B331" s="20"/>
      <c r="C331" s="120" t="s">
        <v>107</v>
      </c>
      <c r="D331" s="121">
        <v>10.79</v>
      </c>
      <c r="E331" s="121">
        <v>2.12</v>
      </c>
      <c r="F331" s="121">
        <f>D331*E331</f>
        <v>22.8748</v>
      </c>
      <c r="G331" s="120" t="s">
        <v>850</v>
      </c>
      <c r="H331" s="468"/>
      <c r="I331" s="468"/>
    </row>
    <row r="332">
      <c r="A332" s="129" t="s">
        <v>1633</v>
      </c>
      <c r="B332" s="2"/>
      <c r="C332" s="3"/>
      <c r="D332" s="121">
        <v>1.0</v>
      </c>
      <c r="E332" s="130" t="s">
        <v>1117</v>
      </c>
      <c r="F332" s="121">
        <f>F331+F329</f>
        <v>30.104</v>
      </c>
      <c r="G332" s="131"/>
      <c r="H332" s="468"/>
      <c r="I332" s="468"/>
    </row>
    <row r="333">
      <c r="A333" s="129" t="s">
        <v>800</v>
      </c>
      <c r="B333" s="2"/>
      <c r="C333" s="3"/>
      <c r="D333" s="121">
        <v>1.0</v>
      </c>
      <c r="E333" s="130" t="s">
        <v>1117</v>
      </c>
      <c r="F333" s="121">
        <f>F332/D332</f>
        <v>30.104</v>
      </c>
      <c r="G333" s="131"/>
      <c r="H333" s="468"/>
      <c r="I333" s="468"/>
    </row>
    <row r="334">
      <c r="A334" s="133" t="s">
        <v>802</v>
      </c>
      <c r="B334" s="2"/>
      <c r="C334" s="2"/>
      <c r="D334" s="3"/>
      <c r="E334" s="121"/>
      <c r="F334" s="121">
        <f>F333*1%</f>
        <v>0.30104</v>
      </c>
      <c r="G334" s="131"/>
      <c r="H334" s="468"/>
      <c r="I334" s="468"/>
    </row>
    <row r="335">
      <c r="A335" s="133" t="s">
        <v>42</v>
      </c>
      <c r="B335" s="2"/>
      <c r="C335" s="2"/>
      <c r="D335" s="3"/>
      <c r="E335" s="131"/>
      <c r="F335" s="121">
        <f>F334+F333</f>
        <v>30.40504</v>
      </c>
      <c r="G335" s="131"/>
      <c r="H335" s="468"/>
      <c r="I335" s="468"/>
    </row>
    <row r="336">
      <c r="A336" s="133" t="s">
        <v>806</v>
      </c>
      <c r="B336" s="2"/>
      <c r="C336" s="2"/>
      <c r="D336" s="3"/>
      <c r="E336" s="121"/>
      <c r="F336" s="121">
        <f>F335*15%</f>
        <v>4.560756</v>
      </c>
      <c r="G336" s="131"/>
      <c r="H336" s="468"/>
      <c r="I336" s="468"/>
    </row>
    <row r="337">
      <c r="A337" s="133" t="s">
        <v>42</v>
      </c>
      <c r="B337" s="2"/>
      <c r="C337" s="2"/>
      <c r="D337" s="3"/>
      <c r="E337" s="131"/>
      <c r="F337" s="300">
        <f>round(F336+F335,2)</f>
        <v>34.97</v>
      </c>
      <c r="G337" s="131"/>
      <c r="H337" s="468"/>
      <c r="I337" s="468"/>
    </row>
    <row r="338">
      <c r="A338" s="455" t="str">
        <f>CONCATENATE("Say ₹ ",F326," + ",F337," x Cost Index")</f>
        <v>Say ₹ 135.9 + 34.97 x Cost Index</v>
      </c>
      <c r="B338" s="2"/>
      <c r="C338" s="2"/>
      <c r="D338" s="2"/>
      <c r="E338" s="2"/>
      <c r="F338" s="2"/>
      <c r="G338" s="3"/>
      <c r="H338" s="474">
        <f>((F320*1.01*1.15))</f>
        <v>135.8955</v>
      </c>
      <c r="I338" s="474">
        <f>((SUM(F329,F331)*1.01*1.15))</f>
        <v>34.965796</v>
      </c>
    </row>
    <row r="339">
      <c r="A339" s="111" t="s">
        <v>742</v>
      </c>
      <c r="B339" s="111" t="s">
        <v>745</v>
      </c>
      <c r="C339" s="112" t="s">
        <v>6</v>
      </c>
      <c r="D339" s="2"/>
      <c r="E339" s="3"/>
      <c r="F339" s="112" t="s">
        <v>746</v>
      </c>
      <c r="G339" s="3"/>
      <c r="H339" s="468"/>
      <c r="I339" s="468"/>
    </row>
    <row r="340">
      <c r="A340" s="20"/>
      <c r="B340" s="20"/>
      <c r="C340" s="115" t="s">
        <v>8</v>
      </c>
      <c r="D340" s="115" t="s">
        <v>9</v>
      </c>
      <c r="E340" s="115" t="s">
        <v>358</v>
      </c>
      <c r="F340" s="115" t="s">
        <v>11</v>
      </c>
      <c r="G340" s="115" t="s">
        <v>751</v>
      </c>
      <c r="H340" s="468"/>
      <c r="I340" s="468"/>
    </row>
    <row r="341">
      <c r="A341" s="469" t="s">
        <v>1864</v>
      </c>
      <c r="B341" s="2"/>
      <c r="C341" s="2"/>
      <c r="D341" s="2"/>
      <c r="E341" s="2"/>
      <c r="F341" s="2"/>
      <c r="G341" s="3"/>
      <c r="H341" s="468"/>
      <c r="I341" s="468"/>
    </row>
    <row r="342">
      <c r="A342" s="119"/>
      <c r="B342" s="120" t="s">
        <v>754</v>
      </c>
      <c r="C342" s="120" t="s">
        <v>1117</v>
      </c>
      <c r="D342" s="120" t="s">
        <v>757</v>
      </c>
      <c r="E342" s="121">
        <v>1.0</v>
      </c>
      <c r="F342" s="467"/>
      <c r="G342" s="3"/>
      <c r="H342" s="468"/>
      <c r="I342" s="468"/>
    </row>
    <row r="343">
      <c r="A343" s="120" t="s">
        <v>761</v>
      </c>
      <c r="B343" s="123" t="s">
        <v>1865</v>
      </c>
      <c r="C343" s="2"/>
      <c r="D343" s="2"/>
      <c r="E343" s="2"/>
      <c r="F343" s="2"/>
      <c r="G343" s="3"/>
      <c r="H343" s="468"/>
      <c r="I343" s="468"/>
    </row>
    <row r="344">
      <c r="A344" s="124" t="s">
        <v>764</v>
      </c>
      <c r="B344" s="2"/>
      <c r="C344" s="2"/>
      <c r="D344" s="2"/>
      <c r="E344" s="2"/>
      <c r="F344" s="3"/>
      <c r="G344" s="125" t="s">
        <v>766</v>
      </c>
      <c r="H344" s="468"/>
      <c r="I344" s="468"/>
    </row>
    <row r="345">
      <c r="A345" s="126"/>
      <c r="B345" s="127" t="s">
        <v>1866</v>
      </c>
      <c r="C345" s="123" t="s">
        <v>1867</v>
      </c>
      <c r="D345" s="2"/>
      <c r="E345" s="3"/>
      <c r="F345" s="467"/>
      <c r="G345" s="3"/>
      <c r="H345" s="468"/>
      <c r="I345" s="468"/>
    </row>
    <row r="346">
      <c r="A346" s="20"/>
      <c r="B346" s="20"/>
      <c r="C346" s="120" t="s">
        <v>43</v>
      </c>
      <c r="D346" s="121">
        <v>1.0</v>
      </c>
      <c r="E346" s="121">
        <v>30.0</v>
      </c>
      <c r="F346" s="121">
        <f>D346*E346</f>
        <v>30</v>
      </c>
      <c r="G346" s="120" t="s">
        <v>772</v>
      </c>
      <c r="H346" s="468"/>
      <c r="I346" s="468"/>
    </row>
    <row r="347">
      <c r="A347" s="129" t="s">
        <v>1116</v>
      </c>
      <c r="B347" s="2"/>
      <c r="C347" s="3"/>
      <c r="D347" s="121">
        <v>1.0</v>
      </c>
      <c r="E347" s="130" t="s">
        <v>1117</v>
      </c>
      <c r="F347" s="121">
        <f>F346</f>
        <v>30</v>
      </c>
      <c r="G347" s="120"/>
      <c r="H347" s="468"/>
      <c r="I347" s="468"/>
    </row>
    <row r="348">
      <c r="A348" s="129" t="s">
        <v>800</v>
      </c>
      <c r="B348" s="2"/>
      <c r="C348" s="3"/>
      <c r="D348" s="121">
        <v>1.0</v>
      </c>
      <c r="E348" s="130" t="s">
        <v>1117</v>
      </c>
      <c r="F348" s="121">
        <f>F347/D347</f>
        <v>30</v>
      </c>
      <c r="G348" s="120"/>
      <c r="H348" s="468"/>
      <c r="I348" s="468"/>
    </row>
    <row r="349">
      <c r="A349" s="133" t="s">
        <v>802</v>
      </c>
      <c r="B349" s="2"/>
      <c r="C349" s="2"/>
      <c r="D349" s="3"/>
      <c r="E349" s="121"/>
      <c r="F349" s="121">
        <f>F348*1%</f>
        <v>0.3</v>
      </c>
      <c r="G349" s="120"/>
      <c r="H349" s="468"/>
      <c r="I349" s="468"/>
    </row>
    <row r="350">
      <c r="A350" s="133" t="s">
        <v>42</v>
      </c>
      <c r="B350" s="2"/>
      <c r="C350" s="2"/>
      <c r="D350" s="3"/>
      <c r="E350" s="131"/>
      <c r="F350" s="121">
        <f>F349+F348</f>
        <v>30.3</v>
      </c>
      <c r="G350" s="120"/>
      <c r="H350" s="468"/>
      <c r="I350" s="468"/>
    </row>
    <row r="351">
      <c r="A351" s="133" t="s">
        <v>806</v>
      </c>
      <c r="B351" s="2"/>
      <c r="C351" s="2"/>
      <c r="D351" s="3"/>
      <c r="E351" s="121"/>
      <c r="F351" s="121">
        <f>F350*15%</f>
        <v>4.545</v>
      </c>
      <c r="G351" s="120"/>
      <c r="H351" s="468"/>
      <c r="I351" s="468"/>
    </row>
    <row r="352">
      <c r="A352" s="133" t="s">
        <v>42</v>
      </c>
      <c r="B352" s="2"/>
      <c r="C352" s="2"/>
      <c r="D352" s="3"/>
      <c r="E352" s="131"/>
      <c r="F352" s="300">
        <f>round(F351+F350,2)</f>
        <v>34.85</v>
      </c>
      <c r="G352" s="120"/>
      <c r="H352" s="468"/>
      <c r="I352" s="468"/>
    </row>
    <row r="353">
      <c r="A353" s="124" t="s">
        <v>843</v>
      </c>
      <c r="B353" s="2"/>
      <c r="C353" s="2"/>
      <c r="D353" s="2"/>
      <c r="E353" s="2"/>
      <c r="F353" s="3"/>
      <c r="G353" s="125" t="s">
        <v>778</v>
      </c>
      <c r="H353" s="468"/>
      <c r="I353" s="468"/>
    </row>
    <row r="354">
      <c r="A354" s="127">
        <v>9999.0</v>
      </c>
      <c r="B354" s="126"/>
      <c r="C354" s="123" t="s">
        <v>1755</v>
      </c>
      <c r="D354" s="2"/>
      <c r="E354" s="3"/>
      <c r="F354" s="467"/>
      <c r="G354" s="3"/>
      <c r="H354" s="468"/>
      <c r="I354" s="468"/>
    </row>
    <row r="355">
      <c r="A355" s="20"/>
      <c r="B355" s="20"/>
      <c r="C355" s="120" t="s">
        <v>107</v>
      </c>
      <c r="D355" s="121">
        <v>2.73</v>
      </c>
      <c r="E355" s="121">
        <v>2.12</v>
      </c>
      <c r="F355" s="121">
        <f>D355*E355</f>
        <v>5.7876</v>
      </c>
      <c r="G355" s="120" t="s">
        <v>846</v>
      </c>
      <c r="H355" s="468"/>
      <c r="I355" s="468"/>
    </row>
    <row r="356">
      <c r="A356" s="127">
        <v>9999.0</v>
      </c>
      <c r="B356" s="126"/>
      <c r="C356" s="123" t="s">
        <v>1629</v>
      </c>
      <c r="D356" s="2"/>
      <c r="E356" s="3"/>
      <c r="F356" s="467"/>
      <c r="G356" s="3"/>
      <c r="H356" s="468"/>
      <c r="I356" s="468"/>
    </row>
    <row r="357">
      <c r="A357" s="20"/>
      <c r="B357" s="20"/>
      <c r="C357" s="120" t="s">
        <v>107</v>
      </c>
      <c r="D357" s="121">
        <v>9.36</v>
      </c>
      <c r="E357" s="121">
        <v>2.12</v>
      </c>
      <c r="F357" s="121">
        <f>D357*E357</f>
        <v>19.8432</v>
      </c>
      <c r="G357" s="120" t="s">
        <v>850</v>
      </c>
      <c r="H357" s="468"/>
      <c r="I357" s="468"/>
    </row>
    <row r="358">
      <c r="A358" s="129" t="s">
        <v>1633</v>
      </c>
      <c r="B358" s="2"/>
      <c r="C358" s="3"/>
      <c r="D358" s="121">
        <v>1.0</v>
      </c>
      <c r="E358" s="130" t="s">
        <v>1117</v>
      </c>
      <c r="F358" s="121">
        <f>F357+F355</f>
        <v>25.6308</v>
      </c>
      <c r="G358" s="131"/>
      <c r="H358" s="468"/>
      <c r="I358" s="468"/>
    </row>
    <row r="359">
      <c r="A359" s="129" t="s">
        <v>800</v>
      </c>
      <c r="B359" s="2"/>
      <c r="C359" s="3"/>
      <c r="D359" s="121">
        <v>1.0</v>
      </c>
      <c r="E359" s="130" t="s">
        <v>1117</v>
      </c>
      <c r="F359" s="121">
        <f>F358/D358</f>
        <v>25.6308</v>
      </c>
      <c r="G359" s="131"/>
      <c r="H359" s="468"/>
      <c r="I359" s="468"/>
    </row>
    <row r="360">
      <c r="A360" s="133" t="s">
        <v>802</v>
      </c>
      <c r="B360" s="2"/>
      <c r="C360" s="2"/>
      <c r="D360" s="3"/>
      <c r="E360" s="121"/>
      <c r="F360" s="121">
        <f>F359*1%</f>
        <v>0.256308</v>
      </c>
      <c r="G360" s="131"/>
      <c r="H360" s="468"/>
      <c r="I360" s="468"/>
    </row>
    <row r="361">
      <c r="A361" s="133" t="s">
        <v>42</v>
      </c>
      <c r="B361" s="2"/>
      <c r="C361" s="2"/>
      <c r="D361" s="3"/>
      <c r="E361" s="131"/>
      <c r="F361" s="121">
        <f>F360+F359</f>
        <v>25.887108</v>
      </c>
      <c r="G361" s="131"/>
      <c r="H361" s="468"/>
      <c r="I361" s="468"/>
    </row>
    <row r="362">
      <c r="A362" s="133" t="s">
        <v>806</v>
      </c>
      <c r="B362" s="2"/>
      <c r="C362" s="2"/>
      <c r="D362" s="3"/>
      <c r="E362" s="121"/>
      <c r="F362" s="121">
        <f>F361*15%</f>
        <v>3.8830662</v>
      </c>
      <c r="G362" s="131"/>
      <c r="H362" s="468"/>
      <c r="I362" s="468"/>
    </row>
    <row r="363">
      <c r="A363" s="133" t="s">
        <v>42</v>
      </c>
      <c r="B363" s="2"/>
      <c r="C363" s="2"/>
      <c r="D363" s="3"/>
      <c r="E363" s="131"/>
      <c r="F363" s="300">
        <f>round(F362+F361,2)</f>
        <v>29.77</v>
      </c>
      <c r="G363" s="131"/>
      <c r="H363" s="468"/>
      <c r="I363" s="468"/>
    </row>
    <row r="364">
      <c r="A364" s="455" t="str">
        <f>CONCATENATE("Say ₹ ",F352," + ",F363," x Cost Index")</f>
        <v>Say ₹ 34.85 + 29.77 x Cost Index</v>
      </c>
      <c r="B364" s="2"/>
      <c r="C364" s="2"/>
      <c r="D364" s="2"/>
      <c r="E364" s="2"/>
      <c r="F364" s="2"/>
      <c r="G364" s="3"/>
      <c r="H364" s="474">
        <f>((F346*1.01*1.15))</f>
        <v>34.845</v>
      </c>
      <c r="I364" s="474">
        <f>((SUM(F355,F357)*1.01*1.15))</f>
        <v>29.7701742</v>
      </c>
    </row>
    <row r="365">
      <c r="A365" s="551" t="s">
        <v>742</v>
      </c>
      <c r="B365" s="551" t="s">
        <v>745</v>
      </c>
      <c r="C365" s="552" t="s">
        <v>6</v>
      </c>
      <c r="D365" s="2"/>
      <c r="E365" s="3"/>
      <c r="F365" s="552" t="s">
        <v>746</v>
      </c>
      <c r="G365" s="3"/>
      <c r="H365" s="553"/>
      <c r="I365" s="553"/>
    </row>
    <row r="366">
      <c r="A366" s="20"/>
      <c r="B366" s="20"/>
      <c r="C366" s="554" t="s">
        <v>8</v>
      </c>
      <c r="D366" s="554" t="s">
        <v>9</v>
      </c>
      <c r="E366" s="554" t="s">
        <v>358</v>
      </c>
      <c r="F366" s="554" t="s">
        <v>11</v>
      </c>
      <c r="G366" s="554" t="s">
        <v>751</v>
      </c>
      <c r="H366" s="553"/>
      <c r="I366" s="553"/>
    </row>
    <row r="367">
      <c r="A367" s="555" t="s">
        <v>1881</v>
      </c>
      <c r="B367" s="2"/>
      <c r="C367" s="2"/>
      <c r="D367" s="2"/>
      <c r="E367" s="2"/>
      <c r="F367" s="2"/>
      <c r="G367" s="3"/>
      <c r="H367" s="553"/>
      <c r="I367" s="553"/>
    </row>
    <row r="368">
      <c r="A368" s="556"/>
      <c r="B368" s="480" t="s">
        <v>754</v>
      </c>
      <c r="C368" s="480" t="s">
        <v>1117</v>
      </c>
      <c r="D368" s="480" t="s">
        <v>757</v>
      </c>
      <c r="E368" s="481">
        <v>1.0</v>
      </c>
      <c r="F368" s="557"/>
      <c r="G368" s="3"/>
      <c r="H368" s="553"/>
      <c r="I368" s="553"/>
    </row>
    <row r="369">
      <c r="A369" s="480" t="s">
        <v>761</v>
      </c>
      <c r="B369" s="477" t="s">
        <v>1865</v>
      </c>
      <c r="C369" s="2"/>
      <c r="D369" s="2"/>
      <c r="E369" s="2"/>
      <c r="F369" s="2"/>
      <c r="G369" s="3"/>
      <c r="H369" s="553"/>
      <c r="I369" s="553"/>
    </row>
    <row r="370">
      <c r="A370" s="558" t="s">
        <v>764</v>
      </c>
      <c r="B370" s="2"/>
      <c r="C370" s="2"/>
      <c r="D370" s="2"/>
      <c r="E370" s="2"/>
      <c r="F370" s="3"/>
      <c r="G370" s="559" t="s">
        <v>766</v>
      </c>
      <c r="H370" s="553"/>
      <c r="I370" s="553"/>
    </row>
    <row r="371">
      <c r="A371" s="560"/>
      <c r="B371" s="483" t="s">
        <v>1883</v>
      </c>
      <c r="C371" s="477" t="s">
        <v>1884</v>
      </c>
      <c r="D371" s="2"/>
      <c r="E371" s="3"/>
      <c r="F371" s="557"/>
      <c r="G371" s="3"/>
      <c r="H371" s="553"/>
      <c r="I371" s="553"/>
    </row>
    <row r="372">
      <c r="A372" s="20"/>
      <c r="B372" s="20"/>
      <c r="C372" s="480" t="s">
        <v>43</v>
      </c>
      <c r="D372" s="481">
        <v>1.0</v>
      </c>
      <c r="E372" s="481">
        <v>22.5</v>
      </c>
      <c r="F372" s="481">
        <f>D372*E372</f>
        <v>22.5</v>
      </c>
      <c r="G372" s="480" t="s">
        <v>772</v>
      </c>
      <c r="H372" s="553"/>
      <c r="I372" s="553"/>
    </row>
    <row r="373">
      <c r="A373" s="561" t="s">
        <v>1116</v>
      </c>
      <c r="B373" s="2"/>
      <c r="C373" s="3"/>
      <c r="D373" s="481">
        <v>1.0</v>
      </c>
      <c r="E373" s="562" t="s">
        <v>1117</v>
      </c>
      <c r="F373" s="481">
        <f>F372</f>
        <v>22.5</v>
      </c>
      <c r="G373" s="556"/>
      <c r="H373" s="553"/>
      <c r="I373" s="553"/>
    </row>
    <row r="374">
      <c r="A374" s="561" t="s">
        <v>800</v>
      </c>
      <c r="B374" s="2"/>
      <c r="C374" s="3"/>
      <c r="D374" s="481">
        <v>1.0</v>
      </c>
      <c r="E374" s="562" t="s">
        <v>1117</v>
      </c>
      <c r="F374" s="481">
        <f>F373/D373</f>
        <v>22.5</v>
      </c>
      <c r="G374" s="556"/>
      <c r="H374" s="553"/>
      <c r="I374" s="553"/>
    </row>
    <row r="375">
      <c r="A375" s="563" t="s">
        <v>802</v>
      </c>
      <c r="B375" s="2"/>
      <c r="C375" s="2"/>
      <c r="D375" s="3"/>
      <c r="E375" s="556"/>
      <c r="F375" s="481">
        <f>F374*1%</f>
        <v>0.225</v>
      </c>
      <c r="G375" s="556"/>
      <c r="H375" s="553"/>
      <c r="I375" s="553"/>
    </row>
    <row r="376">
      <c r="A376" s="563" t="s">
        <v>42</v>
      </c>
      <c r="B376" s="2"/>
      <c r="C376" s="2"/>
      <c r="D376" s="3"/>
      <c r="E376" s="556"/>
      <c r="F376" s="481">
        <f>F375+F374</f>
        <v>22.725</v>
      </c>
      <c r="G376" s="556"/>
      <c r="H376" s="553"/>
      <c r="I376" s="553"/>
    </row>
    <row r="377">
      <c r="A377" s="563" t="s">
        <v>806</v>
      </c>
      <c r="B377" s="2"/>
      <c r="C377" s="2"/>
      <c r="D377" s="3"/>
      <c r="E377" s="556"/>
      <c r="F377" s="481">
        <f>F376*15%</f>
        <v>3.40875</v>
      </c>
      <c r="G377" s="556"/>
      <c r="H377" s="553"/>
      <c r="I377" s="553"/>
    </row>
    <row r="378">
      <c r="A378" s="563" t="s">
        <v>42</v>
      </c>
      <c r="B378" s="2"/>
      <c r="C378" s="2"/>
      <c r="D378" s="3"/>
      <c r="E378" s="556"/>
      <c r="F378" s="564">
        <f>round(F377+F376,2)</f>
        <v>26.13</v>
      </c>
      <c r="G378" s="556"/>
      <c r="H378" s="553"/>
      <c r="I378" s="553"/>
    </row>
    <row r="379">
      <c r="A379" s="558" t="s">
        <v>843</v>
      </c>
      <c r="B379" s="2"/>
      <c r="C379" s="2"/>
      <c r="D379" s="2"/>
      <c r="E379" s="2"/>
      <c r="F379" s="3"/>
      <c r="G379" s="559" t="s">
        <v>778</v>
      </c>
      <c r="H379" s="553"/>
      <c r="I379" s="553"/>
    </row>
    <row r="380">
      <c r="A380" s="483">
        <v>9999.0</v>
      </c>
      <c r="B380" s="560"/>
      <c r="C380" s="477" t="s">
        <v>1755</v>
      </c>
      <c r="D380" s="2"/>
      <c r="E380" s="3"/>
      <c r="F380" s="557"/>
      <c r="G380" s="3"/>
      <c r="H380" s="553"/>
      <c r="I380" s="553"/>
    </row>
    <row r="381">
      <c r="A381" s="20"/>
      <c r="B381" s="20"/>
      <c r="C381" s="480" t="s">
        <v>107</v>
      </c>
      <c r="D381" s="481">
        <v>2.73</v>
      </c>
      <c r="E381" s="481">
        <v>2.12</v>
      </c>
      <c r="F381" s="481">
        <f>D381*E381</f>
        <v>5.7876</v>
      </c>
      <c r="G381" s="480" t="s">
        <v>846</v>
      </c>
      <c r="H381" s="553"/>
      <c r="I381" s="553"/>
    </row>
    <row r="382">
      <c r="A382" s="483">
        <v>9999.0</v>
      </c>
      <c r="B382" s="560"/>
      <c r="C382" s="477" t="s">
        <v>1629</v>
      </c>
      <c r="D382" s="2"/>
      <c r="E382" s="3"/>
      <c r="F382" s="557"/>
      <c r="G382" s="3"/>
      <c r="H382" s="553"/>
      <c r="I382" s="553"/>
    </row>
    <row r="383">
      <c r="A383" s="20"/>
      <c r="B383" s="20"/>
      <c r="C383" s="480" t="s">
        <v>107</v>
      </c>
      <c r="D383" s="481">
        <v>9.36</v>
      </c>
      <c r="E383" s="481">
        <v>2.12</v>
      </c>
      <c r="F383" s="481">
        <f>D383*E383</f>
        <v>19.8432</v>
      </c>
      <c r="G383" s="480" t="s">
        <v>850</v>
      </c>
      <c r="H383" s="553"/>
      <c r="I383" s="553"/>
    </row>
    <row r="384">
      <c r="A384" s="561" t="s">
        <v>1633</v>
      </c>
      <c r="B384" s="2"/>
      <c r="C384" s="3"/>
      <c r="D384" s="481">
        <v>1.0</v>
      </c>
      <c r="E384" s="562" t="s">
        <v>1117</v>
      </c>
      <c r="F384" s="481">
        <f>F383+F381</f>
        <v>25.6308</v>
      </c>
      <c r="G384" s="556"/>
      <c r="H384" s="553"/>
      <c r="I384" s="553"/>
    </row>
    <row r="385">
      <c r="A385" s="561" t="s">
        <v>800</v>
      </c>
      <c r="B385" s="2"/>
      <c r="C385" s="3"/>
      <c r="D385" s="481">
        <v>1.0</v>
      </c>
      <c r="E385" s="562" t="s">
        <v>1117</v>
      </c>
      <c r="F385" s="481">
        <f>F384/D384</f>
        <v>25.6308</v>
      </c>
      <c r="G385" s="556"/>
      <c r="H385" s="553"/>
      <c r="I385" s="553"/>
    </row>
    <row r="386">
      <c r="A386" s="563" t="s">
        <v>802</v>
      </c>
      <c r="B386" s="2"/>
      <c r="C386" s="2"/>
      <c r="D386" s="3"/>
      <c r="E386" s="556"/>
      <c r="F386" s="481">
        <f>F385*1%</f>
        <v>0.256308</v>
      </c>
      <c r="G386" s="556"/>
      <c r="H386" s="553"/>
      <c r="I386" s="553"/>
    </row>
    <row r="387">
      <c r="A387" s="563" t="s">
        <v>42</v>
      </c>
      <c r="B387" s="2"/>
      <c r="C387" s="2"/>
      <c r="D387" s="3"/>
      <c r="E387" s="556"/>
      <c r="F387" s="481">
        <f>F386+F385</f>
        <v>25.887108</v>
      </c>
      <c r="G387" s="556"/>
      <c r="H387" s="553"/>
      <c r="I387" s="553"/>
    </row>
    <row r="388">
      <c r="A388" s="563" t="s">
        <v>806</v>
      </c>
      <c r="B388" s="2"/>
      <c r="C388" s="2"/>
      <c r="D388" s="3"/>
      <c r="E388" s="556"/>
      <c r="F388" s="481">
        <f>F387*15%</f>
        <v>3.8830662</v>
      </c>
      <c r="G388" s="556"/>
      <c r="H388" s="553"/>
      <c r="I388" s="553"/>
    </row>
    <row r="389">
      <c r="A389" s="563" t="s">
        <v>42</v>
      </c>
      <c r="B389" s="2"/>
      <c r="C389" s="2"/>
      <c r="D389" s="3"/>
      <c r="E389" s="556"/>
      <c r="F389" s="564">
        <f>round(F388+F387,2)</f>
        <v>29.77</v>
      </c>
      <c r="G389" s="556"/>
      <c r="H389" s="553"/>
      <c r="I389" s="553"/>
    </row>
    <row r="390">
      <c r="A390" s="565" t="str">
        <f>CONCATENATE("Say ₹ ",F378," + ",F389," x Cost Index")</f>
        <v>Say ₹ 26.13 + 29.77 x Cost Index</v>
      </c>
      <c r="B390" s="2"/>
      <c r="C390" s="2"/>
      <c r="D390" s="2"/>
      <c r="E390" s="2"/>
      <c r="F390" s="2"/>
      <c r="G390" s="3"/>
      <c r="H390" s="567">
        <f>((F372*1.01*1.15))</f>
        <v>26.13375</v>
      </c>
      <c r="I390" s="567">
        <f>((SUM(F381,F383)*1.01*1.15))</f>
        <v>29.7701742</v>
      </c>
    </row>
    <row r="391">
      <c r="A391" s="551" t="s">
        <v>742</v>
      </c>
      <c r="B391" s="551" t="s">
        <v>745</v>
      </c>
      <c r="C391" s="552" t="s">
        <v>6</v>
      </c>
      <c r="D391" s="2"/>
      <c r="E391" s="3"/>
      <c r="F391" s="552" t="s">
        <v>746</v>
      </c>
      <c r="G391" s="3"/>
      <c r="H391" s="553"/>
      <c r="I391" s="553"/>
    </row>
    <row r="392">
      <c r="A392" s="20"/>
      <c r="B392" s="20"/>
      <c r="C392" s="554" t="s">
        <v>8</v>
      </c>
      <c r="D392" s="554" t="s">
        <v>9</v>
      </c>
      <c r="E392" s="554" t="s">
        <v>358</v>
      </c>
      <c r="F392" s="554" t="s">
        <v>11</v>
      </c>
      <c r="G392" s="554" t="s">
        <v>751</v>
      </c>
      <c r="H392" s="553"/>
      <c r="I392" s="553"/>
    </row>
    <row r="393">
      <c r="A393" s="576" t="s">
        <v>1896</v>
      </c>
      <c r="B393" s="2"/>
      <c r="C393" s="2"/>
      <c r="D393" s="2"/>
      <c r="E393" s="2"/>
      <c r="F393" s="2"/>
      <c r="G393" s="3"/>
      <c r="H393" s="553"/>
      <c r="I393" s="553"/>
    </row>
    <row r="394">
      <c r="A394" s="556"/>
      <c r="B394" s="480" t="s">
        <v>754</v>
      </c>
      <c r="C394" s="480" t="s">
        <v>1117</v>
      </c>
      <c r="D394" s="480" t="s">
        <v>757</v>
      </c>
      <c r="E394" s="481">
        <v>1.0</v>
      </c>
      <c r="F394" s="557"/>
      <c r="G394" s="3"/>
      <c r="H394" s="553"/>
      <c r="I394" s="553"/>
    </row>
    <row r="395">
      <c r="A395" s="480" t="s">
        <v>761</v>
      </c>
      <c r="B395" s="477" t="s">
        <v>1865</v>
      </c>
      <c r="C395" s="2"/>
      <c r="D395" s="2"/>
      <c r="E395" s="2"/>
      <c r="F395" s="2"/>
      <c r="G395" s="3"/>
      <c r="H395" s="553"/>
      <c r="I395" s="553"/>
    </row>
    <row r="396">
      <c r="A396" s="558" t="s">
        <v>764</v>
      </c>
      <c r="B396" s="2"/>
      <c r="C396" s="2"/>
      <c r="D396" s="2"/>
      <c r="E396" s="2"/>
      <c r="F396" s="3"/>
      <c r="G396" s="559" t="s">
        <v>766</v>
      </c>
      <c r="H396" s="553"/>
      <c r="I396" s="553"/>
    </row>
    <row r="397">
      <c r="A397" s="560"/>
      <c r="B397" s="577" t="s">
        <v>1897</v>
      </c>
      <c r="C397" s="541" t="s">
        <v>1899</v>
      </c>
      <c r="D397" s="2"/>
      <c r="E397" s="3"/>
      <c r="F397" s="557"/>
      <c r="G397" s="3"/>
      <c r="H397" s="553"/>
      <c r="I397" s="553"/>
    </row>
    <row r="398">
      <c r="A398" s="20"/>
      <c r="B398" s="20"/>
      <c r="C398" s="480" t="s">
        <v>43</v>
      </c>
      <c r="D398" s="481">
        <v>1.0</v>
      </c>
      <c r="E398" s="542">
        <v>36.5</v>
      </c>
      <c r="F398" s="481">
        <f>D398*E398</f>
        <v>36.5</v>
      </c>
      <c r="G398" s="480" t="s">
        <v>772</v>
      </c>
      <c r="H398" s="553"/>
      <c r="I398" s="553"/>
    </row>
    <row r="399">
      <c r="A399" s="561" t="s">
        <v>1116</v>
      </c>
      <c r="B399" s="2"/>
      <c r="C399" s="3"/>
      <c r="D399" s="481">
        <v>1.0</v>
      </c>
      <c r="E399" s="562" t="s">
        <v>1117</v>
      </c>
      <c r="F399" s="481">
        <f>F398</f>
        <v>36.5</v>
      </c>
      <c r="G399" s="556"/>
      <c r="H399" s="553"/>
      <c r="I399" s="553"/>
    </row>
    <row r="400">
      <c r="A400" s="561" t="s">
        <v>800</v>
      </c>
      <c r="B400" s="2"/>
      <c r="C400" s="3"/>
      <c r="D400" s="481">
        <v>1.0</v>
      </c>
      <c r="E400" s="562" t="s">
        <v>1117</v>
      </c>
      <c r="F400" s="481">
        <f>F399/D399</f>
        <v>36.5</v>
      </c>
      <c r="G400" s="556"/>
      <c r="H400" s="553"/>
      <c r="I400" s="553"/>
    </row>
    <row r="401">
      <c r="A401" s="563" t="s">
        <v>802</v>
      </c>
      <c r="B401" s="2"/>
      <c r="C401" s="2"/>
      <c r="D401" s="3"/>
      <c r="E401" s="556"/>
      <c r="F401" s="481">
        <f>F400*1%</f>
        <v>0.365</v>
      </c>
      <c r="G401" s="556"/>
      <c r="H401" s="553"/>
      <c r="I401" s="553"/>
    </row>
    <row r="402">
      <c r="A402" s="563" t="s">
        <v>42</v>
      </c>
      <c r="B402" s="2"/>
      <c r="C402" s="2"/>
      <c r="D402" s="3"/>
      <c r="E402" s="556"/>
      <c r="F402" s="481">
        <f>F401+F400</f>
        <v>36.865</v>
      </c>
      <c r="G402" s="556"/>
      <c r="H402" s="553"/>
      <c r="I402" s="553"/>
    </row>
    <row r="403">
      <c r="A403" s="563" t="s">
        <v>806</v>
      </c>
      <c r="B403" s="2"/>
      <c r="C403" s="2"/>
      <c r="D403" s="3"/>
      <c r="E403" s="556"/>
      <c r="F403" s="481">
        <f>F402*15%</f>
        <v>5.52975</v>
      </c>
      <c r="G403" s="556"/>
      <c r="H403" s="553"/>
      <c r="I403" s="553"/>
    </row>
    <row r="404">
      <c r="A404" s="563" t="s">
        <v>42</v>
      </c>
      <c r="B404" s="2"/>
      <c r="C404" s="2"/>
      <c r="D404" s="3"/>
      <c r="E404" s="556"/>
      <c r="F404" s="564">
        <f>round(F403+F402,2)</f>
        <v>42.39</v>
      </c>
      <c r="G404" s="556"/>
      <c r="H404" s="553"/>
      <c r="I404" s="553"/>
    </row>
    <row r="405">
      <c r="A405" s="558" t="s">
        <v>843</v>
      </c>
      <c r="B405" s="2"/>
      <c r="C405" s="2"/>
      <c r="D405" s="2"/>
      <c r="E405" s="2"/>
      <c r="F405" s="3"/>
      <c r="G405" s="559" t="s">
        <v>778</v>
      </c>
      <c r="H405" s="553"/>
      <c r="I405" s="553"/>
    </row>
    <row r="406">
      <c r="A406" s="483">
        <v>9999.0</v>
      </c>
      <c r="B406" s="560"/>
      <c r="C406" s="477" t="s">
        <v>1755</v>
      </c>
      <c r="D406" s="2"/>
      <c r="E406" s="3"/>
      <c r="F406" s="557"/>
      <c r="G406" s="3"/>
      <c r="H406" s="553"/>
      <c r="I406" s="553"/>
    </row>
    <row r="407">
      <c r="A407" s="20"/>
      <c r="B407" s="20"/>
      <c r="C407" s="480" t="s">
        <v>107</v>
      </c>
      <c r="D407" s="481">
        <v>2.73</v>
      </c>
      <c r="E407" s="481">
        <v>2.12</v>
      </c>
      <c r="F407" s="481">
        <f>D407*E407</f>
        <v>5.7876</v>
      </c>
      <c r="G407" s="480" t="s">
        <v>846</v>
      </c>
      <c r="H407" s="553"/>
      <c r="I407" s="553"/>
    </row>
    <row r="408">
      <c r="A408" s="483">
        <v>9999.0</v>
      </c>
      <c r="B408" s="560"/>
      <c r="C408" s="477" t="s">
        <v>1629</v>
      </c>
      <c r="D408" s="2"/>
      <c r="E408" s="3"/>
      <c r="F408" s="557"/>
      <c r="G408" s="3"/>
      <c r="H408" s="553"/>
      <c r="I408" s="553"/>
    </row>
    <row r="409">
      <c r="A409" s="20"/>
      <c r="B409" s="20"/>
      <c r="C409" s="480" t="s">
        <v>107</v>
      </c>
      <c r="D409" s="481">
        <v>9.36</v>
      </c>
      <c r="E409" s="481">
        <v>2.12</v>
      </c>
      <c r="F409" s="481">
        <f>D409*E409</f>
        <v>19.8432</v>
      </c>
      <c r="G409" s="480" t="s">
        <v>850</v>
      </c>
      <c r="H409" s="553"/>
      <c r="I409" s="553"/>
    </row>
    <row r="410">
      <c r="A410" s="561" t="s">
        <v>1633</v>
      </c>
      <c r="B410" s="2"/>
      <c r="C410" s="3"/>
      <c r="D410" s="481">
        <v>1.0</v>
      </c>
      <c r="E410" s="562" t="s">
        <v>1117</v>
      </c>
      <c r="F410" s="481">
        <f>F409+F407</f>
        <v>25.6308</v>
      </c>
      <c r="G410" s="556"/>
      <c r="H410" s="553"/>
      <c r="I410" s="553"/>
    </row>
    <row r="411">
      <c r="A411" s="561" t="s">
        <v>800</v>
      </c>
      <c r="B411" s="2"/>
      <c r="C411" s="3"/>
      <c r="D411" s="481">
        <v>1.0</v>
      </c>
      <c r="E411" s="562" t="s">
        <v>1117</v>
      </c>
      <c r="F411" s="481">
        <f>F410/D410</f>
        <v>25.6308</v>
      </c>
      <c r="G411" s="556"/>
      <c r="H411" s="553"/>
      <c r="I411" s="553"/>
    </row>
    <row r="412">
      <c r="A412" s="563" t="s">
        <v>802</v>
      </c>
      <c r="B412" s="2"/>
      <c r="C412" s="2"/>
      <c r="D412" s="3"/>
      <c r="E412" s="556"/>
      <c r="F412" s="481">
        <f>F411*1%</f>
        <v>0.256308</v>
      </c>
      <c r="G412" s="556"/>
      <c r="H412" s="553"/>
      <c r="I412" s="553"/>
    </row>
    <row r="413">
      <c r="A413" s="563" t="s">
        <v>42</v>
      </c>
      <c r="B413" s="2"/>
      <c r="C413" s="2"/>
      <c r="D413" s="3"/>
      <c r="E413" s="556"/>
      <c r="F413" s="481">
        <f>F412+F411</f>
        <v>25.887108</v>
      </c>
      <c r="G413" s="556"/>
      <c r="H413" s="553"/>
      <c r="I413" s="553"/>
    </row>
    <row r="414">
      <c r="A414" s="563" t="s">
        <v>806</v>
      </c>
      <c r="B414" s="2"/>
      <c r="C414" s="2"/>
      <c r="D414" s="3"/>
      <c r="E414" s="556"/>
      <c r="F414" s="481">
        <f>F413*15%</f>
        <v>3.8830662</v>
      </c>
      <c r="G414" s="556"/>
      <c r="H414" s="553"/>
      <c r="I414" s="553"/>
    </row>
    <row r="415">
      <c r="A415" s="563" t="s">
        <v>42</v>
      </c>
      <c r="B415" s="2"/>
      <c r="C415" s="2"/>
      <c r="D415" s="3"/>
      <c r="E415" s="556"/>
      <c r="F415" s="564">
        <f>round(F414+F413,2)</f>
        <v>29.77</v>
      </c>
      <c r="G415" s="556"/>
      <c r="H415" s="553"/>
      <c r="I415" s="553"/>
    </row>
    <row r="416">
      <c r="A416" s="565" t="str">
        <f>CONCATENATE("Say ₹ ",F404," + ",F415," x Cost Index")</f>
        <v>Say ₹ 42.39 + 29.77 x Cost Index</v>
      </c>
      <c r="B416" s="2"/>
      <c r="C416" s="2"/>
      <c r="D416" s="2"/>
      <c r="E416" s="2"/>
      <c r="F416" s="2"/>
      <c r="G416" s="3"/>
      <c r="H416" s="567">
        <f>((F398*1.01*1.15))</f>
        <v>42.39475</v>
      </c>
      <c r="I416" s="567">
        <f>((SUM(F407,F409)*1.01*1.15))</f>
        <v>29.7701742</v>
      </c>
    </row>
    <row r="417">
      <c r="A417" s="551" t="s">
        <v>742</v>
      </c>
      <c r="B417" s="551" t="s">
        <v>745</v>
      </c>
      <c r="C417" s="552" t="s">
        <v>6</v>
      </c>
      <c r="D417" s="2"/>
      <c r="E417" s="3"/>
      <c r="F417" s="552" t="s">
        <v>746</v>
      </c>
      <c r="G417" s="3"/>
      <c r="H417" s="584"/>
      <c r="I417" s="584"/>
    </row>
    <row r="418">
      <c r="A418" s="20"/>
      <c r="B418" s="20"/>
      <c r="C418" s="554" t="s">
        <v>8</v>
      </c>
      <c r="D418" s="554" t="s">
        <v>9</v>
      </c>
      <c r="E418" s="554" t="s">
        <v>358</v>
      </c>
      <c r="F418" s="554" t="s">
        <v>11</v>
      </c>
      <c r="G418" s="554" t="s">
        <v>751</v>
      </c>
      <c r="H418" s="584"/>
      <c r="I418" s="584"/>
    </row>
    <row r="419">
      <c r="A419" s="576" t="s">
        <v>1907</v>
      </c>
      <c r="B419" s="2"/>
      <c r="C419" s="2"/>
      <c r="D419" s="2"/>
      <c r="E419" s="2"/>
      <c r="F419" s="2"/>
      <c r="G419" s="3"/>
      <c r="H419" s="584"/>
      <c r="I419" s="584"/>
    </row>
    <row r="420">
      <c r="A420" s="556"/>
      <c r="B420" s="480" t="s">
        <v>754</v>
      </c>
      <c r="C420" s="480" t="s">
        <v>1117</v>
      </c>
      <c r="D420" s="480" t="s">
        <v>757</v>
      </c>
      <c r="E420" s="481">
        <v>1.0</v>
      </c>
      <c r="F420" s="557"/>
      <c r="G420" s="3"/>
      <c r="H420" s="584"/>
      <c r="I420" s="584"/>
    </row>
    <row r="421">
      <c r="A421" s="480" t="s">
        <v>761</v>
      </c>
      <c r="B421" s="477" t="s">
        <v>1865</v>
      </c>
      <c r="C421" s="2"/>
      <c r="D421" s="2"/>
      <c r="E421" s="2"/>
      <c r="F421" s="2"/>
      <c r="G421" s="3"/>
      <c r="H421" s="584"/>
      <c r="I421" s="584"/>
    </row>
    <row r="422">
      <c r="A422" s="558" t="s">
        <v>764</v>
      </c>
      <c r="B422" s="2"/>
      <c r="C422" s="2"/>
      <c r="D422" s="2"/>
      <c r="E422" s="2"/>
      <c r="F422" s="3"/>
      <c r="G422" s="559" t="s">
        <v>766</v>
      </c>
      <c r="H422" s="584"/>
      <c r="I422" s="584"/>
    </row>
    <row r="423">
      <c r="A423" s="560"/>
      <c r="B423" s="577" t="s">
        <v>1908</v>
      </c>
      <c r="C423" s="541" t="s">
        <v>1909</v>
      </c>
      <c r="D423" s="2"/>
      <c r="E423" s="3"/>
      <c r="F423" s="557"/>
      <c r="G423" s="3"/>
      <c r="H423" s="584"/>
      <c r="I423" s="584"/>
    </row>
    <row r="424">
      <c r="A424" s="20"/>
      <c r="B424" s="20"/>
      <c r="C424" s="480" t="s">
        <v>43</v>
      </c>
      <c r="D424" s="481">
        <v>1.0</v>
      </c>
      <c r="E424" s="542">
        <v>49.0</v>
      </c>
      <c r="F424" s="481">
        <f>D424*E424</f>
        <v>49</v>
      </c>
      <c r="G424" s="480" t="s">
        <v>772</v>
      </c>
      <c r="H424" s="584"/>
      <c r="I424" s="584"/>
    </row>
    <row r="425">
      <c r="A425" s="561" t="s">
        <v>1116</v>
      </c>
      <c r="B425" s="2"/>
      <c r="C425" s="3"/>
      <c r="D425" s="481">
        <v>1.0</v>
      </c>
      <c r="E425" s="562" t="s">
        <v>1117</v>
      </c>
      <c r="F425" s="481">
        <f>F424</f>
        <v>49</v>
      </c>
      <c r="G425" s="556"/>
      <c r="H425" s="584"/>
      <c r="I425" s="584"/>
    </row>
    <row r="426">
      <c r="A426" s="561" t="s">
        <v>800</v>
      </c>
      <c r="B426" s="2"/>
      <c r="C426" s="3"/>
      <c r="D426" s="481">
        <v>1.0</v>
      </c>
      <c r="E426" s="562" t="s">
        <v>1117</v>
      </c>
      <c r="F426" s="481">
        <f>F425/D425</f>
        <v>49</v>
      </c>
      <c r="G426" s="556"/>
      <c r="H426" s="584"/>
      <c r="I426" s="584"/>
    </row>
    <row r="427">
      <c r="A427" s="563" t="s">
        <v>802</v>
      </c>
      <c r="B427" s="2"/>
      <c r="C427" s="2"/>
      <c r="D427" s="3"/>
      <c r="E427" s="556"/>
      <c r="F427" s="481">
        <f>F426*1%</f>
        <v>0.49</v>
      </c>
      <c r="G427" s="556"/>
      <c r="H427" s="584"/>
      <c r="I427" s="584"/>
    </row>
    <row r="428">
      <c r="A428" s="563" t="s">
        <v>42</v>
      </c>
      <c r="B428" s="2"/>
      <c r="C428" s="2"/>
      <c r="D428" s="3"/>
      <c r="E428" s="556"/>
      <c r="F428" s="481">
        <f>F427+F426</f>
        <v>49.49</v>
      </c>
      <c r="G428" s="556"/>
      <c r="H428" s="584"/>
      <c r="I428" s="584"/>
    </row>
    <row r="429">
      <c r="A429" s="563" t="s">
        <v>806</v>
      </c>
      <c r="B429" s="2"/>
      <c r="C429" s="2"/>
      <c r="D429" s="3"/>
      <c r="E429" s="556"/>
      <c r="F429" s="481">
        <f>F428*15%</f>
        <v>7.4235</v>
      </c>
      <c r="G429" s="556"/>
      <c r="H429" s="584"/>
      <c r="I429" s="584"/>
    </row>
    <row r="430">
      <c r="A430" s="563" t="s">
        <v>42</v>
      </c>
      <c r="B430" s="2"/>
      <c r="C430" s="2"/>
      <c r="D430" s="3"/>
      <c r="E430" s="556"/>
      <c r="F430" s="564">
        <f>round(F429+F428,2)</f>
        <v>56.91</v>
      </c>
      <c r="G430" s="556"/>
      <c r="H430" s="584"/>
      <c r="I430" s="584"/>
    </row>
    <row r="431">
      <c r="A431" s="558" t="s">
        <v>843</v>
      </c>
      <c r="B431" s="2"/>
      <c r="C431" s="2"/>
      <c r="D431" s="2"/>
      <c r="E431" s="2"/>
      <c r="F431" s="3"/>
      <c r="G431" s="559" t="s">
        <v>778</v>
      </c>
      <c r="H431" s="584"/>
      <c r="I431" s="584"/>
    </row>
    <row r="432">
      <c r="A432" s="483">
        <v>9999.0</v>
      </c>
      <c r="B432" s="560"/>
      <c r="C432" s="477" t="s">
        <v>1755</v>
      </c>
      <c r="D432" s="2"/>
      <c r="E432" s="3"/>
      <c r="F432" s="557"/>
      <c r="G432" s="3"/>
      <c r="H432" s="584"/>
      <c r="I432" s="584"/>
    </row>
    <row r="433">
      <c r="A433" s="20"/>
      <c r="B433" s="20"/>
      <c r="C433" s="480" t="s">
        <v>107</v>
      </c>
      <c r="D433" s="481">
        <v>2.73</v>
      </c>
      <c r="E433" s="481">
        <v>2.12</v>
      </c>
      <c r="F433" s="481">
        <f>D433*E433</f>
        <v>5.7876</v>
      </c>
      <c r="G433" s="480" t="s">
        <v>846</v>
      </c>
      <c r="H433" s="584"/>
      <c r="I433" s="584"/>
    </row>
    <row r="434">
      <c r="A434" s="483">
        <v>9999.0</v>
      </c>
      <c r="B434" s="560"/>
      <c r="C434" s="477" t="s">
        <v>1629</v>
      </c>
      <c r="D434" s="2"/>
      <c r="E434" s="3"/>
      <c r="F434" s="557"/>
      <c r="G434" s="3"/>
      <c r="H434" s="584"/>
      <c r="I434" s="584"/>
    </row>
    <row r="435">
      <c r="A435" s="20"/>
      <c r="B435" s="20"/>
      <c r="C435" s="480" t="s">
        <v>107</v>
      </c>
      <c r="D435" s="481">
        <v>9.36</v>
      </c>
      <c r="E435" s="481">
        <v>2.12</v>
      </c>
      <c r="F435" s="481">
        <f>D435*E435</f>
        <v>19.8432</v>
      </c>
      <c r="G435" s="480" t="s">
        <v>850</v>
      </c>
      <c r="H435" s="584"/>
      <c r="I435" s="584"/>
    </row>
    <row r="436">
      <c r="A436" s="561" t="s">
        <v>1633</v>
      </c>
      <c r="B436" s="2"/>
      <c r="C436" s="3"/>
      <c r="D436" s="481">
        <v>1.0</v>
      </c>
      <c r="E436" s="562" t="s">
        <v>1117</v>
      </c>
      <c r="F436" s="481">
        <f>F435+F433</f>
        <v>25.6308</v>
      </c>
      <c r="G436" s="556"/>
      <c r="H436" s="584"/>
      <c r="I436" s="584"/>
    </row>
    <row r="437">
      <c r="A437" s="561" t="s">
        <v>800</v>
      </c>
      <c r="B437" s="2"/>
      <c r="C437" s="3"/>
      <c r="D437" s="481">
        <v>1.0</v>
      </c>
      <c r="E437" s="562" t="s">
        <v>1117</v>
      </c>
      <c r="F437" s="481">
        <f>F436/D436</f>
        <v>25.6308</v>
      </c>
      <c r="G437" s="556"/>
      <c r="H437" s="584"/>
      <c r="I437" s="584"/>
    </row>
    <row r="438">
      <c r="A438" s="563" t="s">
        <v>802</v>
      </c>
      <c r="B438" s="2"/>
      <c r="C438" s="2"/>
      <c r="D438" s="3"/>
      <c r="E438" s="556"/>
      <c r="F438" s="481">
        <f>F437*1%</f>
        <v>0.256308</v>
      </c>
      <c r="G438" s="556"/>
      <c r="H438" s="584"/>
      <c r="I438" s="584"/>
    </row>
    <row r="439">
      <c r="A439" s="563" t="s">
        <v>42</v>
      </c>
      <c r="B439" s="2"/>
      <c r="C439" s="2"/>
      <c r="D439" s="3"/>
      <c r="E439" s="556"/>
      <c r="F439" s="481">
        <f>F438+F437</f>
        <v>25.887108</v>
      </c>
      <c r="G439" s="556"/>
      <c r="H439" s="584"/>
      <c r="I439" s="584"/>
    </row>
    <row r="440">
      <c r="A440" s="563" t="s">
        <v>806</v>
      </c>
      <c r="B440" s="2"/>
      <c r="C440" s="2"/>
      <c r="D440" s="3"/>
      <c r="E440" s="556"/>
      <c r="F440" s="481">
        <f>F439*15%</f>
        <v>3.8830662</v>
      </c>
      <c r="G440" s="556"/>
      <c r="H440" s="584"/>
      <c r="I440" s="584"/>
    </row>
    <row r="441">
      <c r="A441" s="563" t="s">
        <v>42</v>
      </c>
      <c r="B441" s="2"/>
      <c r="C441" s="2"/>
      <c r="D441" s="3"/>
      <c r="E441" s="556"/>
      <c r="F441" s="564">
        <f>round(F440+F439,2)</f>
        <v>29.77</v>
      </c>
      <c r="G441" s="556"/>
      <c r="H441" s="584"/>
      <c r="I441" s="584"/>
    </row>
    <row r="442">
      <c r="A442" s="565" t="str">
        <f>CONCATENATE("Say ₹ ",F430," + ",F441," x Cost Index")</f>
        <v>Say ₹ 56.91 + 29.77 x Cost Index</v>
      </c>
      <c r="B442" s="2"/>
      <c r="C442" s="2"/>
      <c r="D442" s="2"/>
      <c r="E442" s="2"/>
      <c r="F442" s="2"/>
      <c r="G442" s="3"/>
      <c r="H442" s="567">
        <f>((F424*1.01*1.15))</f>
        <v>56.9135</v>
      </c>
      <c r="I442" s="567">
        <f>((SUM(F433,F435)*1.01*1.15))</f>
        <v>29.7701742</v>
      </c>
    </row>
    <row r="443">
      <c r="A443" s="111" t="s">
        <v>742</v>
      </c>
      <c r="B443" s="111" t="s">
        <v>745</v>
      </c>
      <c r="C443" s="112" t="s">
        <v>6</v>
      </c>
      <c r="D443" s="2"/>
      <c r="E443" s="3"/>
      <c r="F443" s="112" t="s">
        <v>746</v>
      </c>
      <c r="G443" s="3"/>
      <c r="H443" s="468"/>
      <c r="I443" s="468"/>
    </row>
    <row r="444">
      <c r="A444" s="20"/>
      <c r="B444" s="20"/>
      <c r="C444" s="115" t="s">
        <v>8</v>
      </c>
      <c r="D444" s="115" t="s">
        <v>9</v>
      </c>
      <c r="E444" s="115" t="s">
        <v>358</v>
      </c>
      <c r="F444" s="115" t="s">
        <v>11</v>
      </c>
      <c r="G444" s="115" t="s">
        <v>751</v>
      </c>
      <c r="H444" s="468"/>
      <c r="I444" s="468"/>
    </row>
    <row r="445">
      <c r="A445" s="469" t="s">
        <v>1915</v>
      </c>
      <c r="B445" s="2"/>
      <c r="C445" s="2"/>
      <c r="D445" s="2"/>
      <c r="E445" s="2"/>
      <c r="F445" s="2"/>
      <c r="G445" s="3"/>
      <c r="H445" s="468"/>
      <c r="I445" s="468"/>
    </row>
    <row r="446">
      <c r="A446" s="119"/>
      <c r="B446" s="120" t="s">
        <v>754</v>
      </c>
      <c r="C446" s="120" t="s">
        <v>1117</v>
      </c>
      <c r="D446" s="120" t="s">
        <v>757</v>
      </c>
      <c r="E446" s="121">
        <v>1.0</v>
      </c>
      <c r="F446" s="467"/>
      <c r="G446" s="3"/>
      <c r="H446" s="468"/>
      <c r="I446" s="468"/>
    </row>
    <row r="447">
      <c r="A447" s="120" t="s">
        <v>761</v>
      </c>
      <c r="B447" s="123" t="s">
        <v>1865</v>
      </c>
      <c r="C447" s="2"/>
      <c r="D447" s="2"/>
      <c r="E447" s="2"/>
      <c r="F447" s="2"/>
      <c r="G447" s="3"/>
      <c r="H447" s="468"/>
      <c r="I447" s="468"/>
    </row>
    <row r="448">
      <c r="A448" s="124" t="s">
        <v>764</v>
      </c>
      <c r="B448" s="2"/>
      <c r="C448" s="2"/>
      <c r="D448" s="2"/>
      <c r="E448" s="2"/>
      <c r="F448" s="3"/>
      <c r="G448" s="125" t="s">
        <v>766</v>
      </c>
      <c r="H448" s="468"/>
      <c r="I448" s="468"/>
    </row>
    <row r="449">
      <c r="A449" s="126"/>
      <c r="B449" s="127" t="s">
        <v>1916</v>
      </c>
      <c r="C449" s="123" t="s">
        <v>1917</v>
      </c>
      <c r="D449" s="2"/>
      <c r="E449" s="3"/>
      <c r="F449" s="467"/>
      <c r="G449" s="3"/>
      <c r="H449" s="468"/>
      <c r="I449" s="468"/>
    </row>
    <row r="450">
      <c r="A450" s="20"/>
      <c r="B450" s="20"/>
      <c r="C450" s="120" t="s">
        <v>43</v>
      </c>
      <c r="D450" s="121">
        <v>1.0</v>
      </c>
      <c r="E450" s="121">
        <v>28.0</v>
      </c>
      <c r="F450" s="121">
        <f>D450*E450</f>
        <v>28</v>
      </c>
      <c r="G450" s="120" t="s">
        <v>772</v>
      </c>
      <c r="H450" s="468"/>
      <c r="I450" s="468"/>
    </row>
    <row r="451">
      <c r="A451" s="129" t="s">
        <v>1116</v>
      </c>
      <c r="B451" s="2"/>
      <c r="C451" s="3"/>
      <c r="D451" s="121">
        <v>1.0</v>
      </c>
      <c r="E451" s="130" t="s">
        <v>1117</v>
      </c>
      <c r="F451" s="121">
        <f>F450</f>
        <v>28</v>
      </c>
      <c r="G451" s="120"/>
      <c r="H451" s="468"/>
      <c r="I451" s="468"/>
    </row>
    <row r="452">
      <c r="A452" s="129" t="s">
        <v>800</v>
      </c>
      <c r="B452" s="2"/>
      <c r="C452" s="3"/>
      <c r="D452" s="121">
        <v>1.0</v>
      </c>
      <c r="E452" s="130" t="s">
        <v>1117</v>
      </c>
      <c r="F452" s="121">
        <f>F451/D451</f>
        <v>28</v>
      </c>
      <c r="G452" s="120"/>
      <c r="H452" s="468"/>
      <c r="I452" s="468"/>
    </row>
    <row r="453">
      <c r="A453" s="133" t="s">
        <v>802</v>
      </c>
      <c r="B453" s="2"/>
      <c r="C453" s="2"/>
      <c r="D453" s="3"/>
      <c r="E453" s="121"/>
      <c r="F453" s="121">
        <f>F452*1%</f>
        <v>0.28</v>
      </c>
      <c r="G453" s="120"/>
      <c r="H453" s="468"/>
      <c r="I453" s="468"/>
    </row>
    <row r="454">
      <c r="A454" s="133" t="s">
        <v>42</v>
      </c>
      <c r="B454" s="2"/>
      <c r="C454" s="2"/>
      <c r="D454" s="3"/>
      <c r="E454" s="131"/>
      <c r="F454" s="121">
        <f>F453+F452</f>
        <v>28.28</v>
      </c>
      <c r="G454" s="120"/>
      <c r="H454" s="468"/>
      <c r="I454" s="468"/>
    </row>
    <row r="455">
      <c r="A455" s="133" t="s">
        <v>806</v>
      </c>
      <c r="B455" s="2"/>
      <c r="C455" s="2"/>
      <c r="D455" s="3"/>
      <c r="E455" s="121"/>
      <c r="F455" s="121">
        <f>F454*15%</f>
        <v>4.242</v>
      </c>
      <c r="G455" s="120"/>
      <c r="H455" s="468"/>
      <c r="I455" s="468"/>
    </row>
    <row r="456">
      <c r="A456" s="133" t="s">
        <v>42</v>
      </c>
      <c r="B456" s="2"/>
      <c r="C456" s="2"/>
      <c r="D456" s="3"/>
      <c r="E456" s="131"/>
      <c r="F456" s="300">
        <f>round(F455+F454,2)</f>
        <v>32.52</v>
      </c>
      <c r="G456" s="120"/>
      <c r="H456" s="468"/>
      <c r="I456" s="468"/>
    </row>
    <row r="457">
      <c r="A457" s="124" t="s">
        <v>843</v>
      </c>
      <c r="B457" s="2"/>
      <c r="C457" s="2"/>
      <c r="D457" s="2"/>
      <c r="E457" s="2"/>
      <c r="F457" s="3"/>
      <c r="G457" s="125" t="s">
        <v>778</v>
      </c>
      <c r="H457" s="468"/>
      <c r="I457" s="468"/>
    </row>
    <row r="458">
      <c r="A458" s="127">
        <v>9999.0</v>
      </c>
      <c r="B458" s="126"/>
      <c r="C458" s="123" t="s">
        <v>1755</v>
      </c>
      <c r="D458" s="2"/>
      <c r="E458" s="3"/>
      <c r="F458" s="467"/>
      <c r="G458" s="3"/>
      <c r="H458" s="468"/>
      <c r="I458" s="468"/>
    </row>
    <row r="459">
      <c r="A459" s="20"/>
      <c r="B459" s="20"/>
      <c r="C459" s="120" t="s">
        <v>107</v>
      </c>
      <c r="D459" s="121">
        <v>2.73</v>
      </c>
      <c r="E459" s="121">
        <v>2.12</v>
      </c>
      <c r="F459" s="121">
        <f>D459*E459</f>
        <v>5.7876</v>
      </c>
      <c r="G459" s="120" t="s">
        <v>846</v>
      </c>
      <c r="H459" s="468"/>
      <c r="I459" s="468"/>
    </row>
    <row r="460">
      <c r="A460" s="127">
        <v>9999.0</v>
      </c>
      <c r="B460" s="126"/>
      <c r="C460" s="123" t="s">
        <v>1629</v>
      </c>
      <c r="D460" s="2"/>
      <c r="E460" s="3"/>
      <c r="F460" s="467"/>
      <c r="G460" s="3"/>
      <c r="H460" s="468"/>
      <c r="I460" s="468"/>
    </row>
    <row r="461">
      <c r="A461" s="20"/>
      <c r="B461" s="20"/>
      <c r="C461" s="120" t="s">
        <v>107</v>
      </c>
      <c r="D461" s="121">
        <v>9.36</v>
      </c>
      <c r="E461" s="121">
        <v>2.12</v>
      </c>
      <c r="F461" s="121">
        <f>D461*E461</f>
        <v>19.8432</v>
      </c>
      <c r="G461" s="120" t="s">
        <v>850</v>
      </c>
      <c r="H461" s="468"/>
      <c r="I461" s="468"/>
    </row>
    <row r="462">
      <c r="A462" s="129" t="s">
        <v>1633</v>
      </c>
      <c r="B462" s="2"/>
      <c r="C462" s="3"/>
      <c r="D462" s="121">
        <v>1.0</v>
      </c>
      <c r="E462" s="130" t="s">
        <v>1117</v>
      </c>
      <c r="F462" s="121">
        <f>F461+F459</f>
        <v>25.6308</v>
      </c>
      <c r="G462" s="131"/>
      <c r="H462" s="468"/>
      <c r="I462" s="468"/>
    </row>
    <row r="463">
      <c r="A463" s="129" t="s">
        <v>800</v>
      </c>
      <c r="B463" s="2"/>
      <c r="C463" s="3"/>
      <c r="D463" s="121">
        <v>1.0</v>
      </c>
      <c r="E463" s="130" t="s">
        <v>1117</v>
      </c>
      <c r="F463" s="121">
        <f>F462/D462</f>
        <v>25.6308</v>
      </c>
      <c r="G463" s="131"/>
      <c r="H463" s="468"/>
      <c r="I463" s="468"/>
    </row>
    <row r="464">
      <c r="A464" s="133" t="s">
        <v>802</v>
      </c>
      <c r="B464" s="2"/>
      <c r="C464" s="2"/>
      <c r="D464" s="3"/>
      <c r="E464" s="121"/>
      <c r="F464" s="121">
        <f>F463*1%</f>
        <v>0.256308</v>
      </c>
      <c r="G464" s="131"/>
      <c r="H464" s="468"/>
      <c r="I464" s="468"/>
    </row>
    <row r="465">
      <c r="A465" s="133" t="s">
        <v>42</v>
      </c>
      <c r="B465" s="2"/>
      <c r="C465" s="2"/>
      <c r="D465" s="3"/>
      <c r="E465" s="131"/>
      <c r="F465" s="121">
        <f>F464+F463</f>
        <v>25.887108</v>
      </c>
      <c r="G465" s="131"/>
      <c r="H465" s="468"/>
      <c r="I465" s="468"/>
    </row>
    <row r="466">
      <c r="A466" s="133" t="s">
        <v>806</v>
      </c>
      <c r="B466" s="2"/>
      <c r="C466" s="2"/>
      <c r="D466" s="3"/>
      <c r="E466" s="121"/>
      <c r="F466" s="121">
        <f>F465*15%</f>
        <v>3.8830662</v>
      </c>
      <c r="G466" s="131"/>
      <c r="H466" s="468"/>
      <c r="I466" s="468"/>
    </row>
    <row r="467">
      <c r="A467" s="133" t="s">
        <v>42</v>
      </c>
      <c r="B467" s="2"/>
      <c r="C467" s="2"/>
      <c r="D467" s="3"/>
      <c r="E467" s="131"/>
      <c r="F467" s="300">
        <f>round(F466+F465,2)</f>
        <v>29.77</v>
      </c>
      <c r="G467" s="131"/>
      <c r="H467" s="468"/>
      <c r="I467" s="468"/>
    </row>
    <row r="468">
      <c r="A468" s="455" t="str">
        <f>CONCATENATE("Say ₹ ",F456," + ",F467," x Cost Index")</f>
        <v>Say ₹ 32.52 + 29.77 x Cost Index</v>
      </c>
      <c r="B468" s="2"/>
      <c r="C468" s="2"/>
      <c r="D468" s="2"/>
      <c r="E468" s="2"/>
      <c r="F468" s="2"/>
      <c r="G468" s="3"/>
      <c r="H468" s="474">
        <f>((F450*1.01*1.15))</f>
        <v>32.522</v>
      </c>
      <c r="I468" s="474">
        <f>((SUM(F459,F461)*1.01*1.15))</f>
        <v>29.7701742</v>
      </c>
    </row>
    <row r="469">
      <c r="A469" s="551" t="s">
        <v>742</v>
      </c>
      <c r="B469" s="551" t="s">
        <v>745</v>
      </c>
      <c r="C469" s="552" t="s">
        <v>6</v>
      </c>
      <c r="D469" s="2"/>
      <c r="E469" s="3"/>
      <c r="F469" s="552" t="s">
        <v>746</v>
      </c>
      <c r="G469" s="3"/>
      <c r="H469" s="553"/>
      <c r="I469" s="553"/>
    </row>
    <row r="470">
      <c r="A470" s="20"/>
      <c r="B470" s="20"/>
      <c r="C470" s="554" t="s">
        <v>8</v>
      </c>
      <c r="D470" s="554" t="s">
        <v>9</v>
      </c>
      <c r="E470" s="554" t="s">
        <v>358</v>
      </c>
      <c r="F470" s="554" t="s">
        <v>11</v>
      </c>
      <c r="G470" s="554" t="s">
        <v>751</v>
      </c>
      <c r="H470" s="553"/>
      <c r="I470" s="553"/>
    </row>
    <row r="471">
      <c r="A471" s="576" t="s">
        <v>1978</v>
      </c>
      <c r="B471" s="2"/>
      <c r="C471" s="2"/>
      <c r="D471" s="2"/>
      <c r="E471" s="2"/>
      <c r="F471" s="2"/>
      <c r="G471" s="3"/>
      <c r="H471" s="553"/>
      <c r="I471" s="553"/>
    </row>
    <row r="472">
      <c r="A472" s="556"/>
      <c r="B472" s="480" t="s">
        <v>754</v>
      </c>
      <c r="C472" s="480" t="s">
        <v>1117</v>
      </c>
      <c r="D472" s="480" t="s">
        <v>757</v>
      </c>
      <c r="E472" s="481">
        <v>1.0</v>
      </c>
      <c r="F472" s="557"/>
      <c r="G472" s="3"/>
      <c r="H472" s="553"/>
      <c r="I472" s="553"/>
    </row>
    <row r="473">
      <c r="A473" s="480" t="s">
        <v>761</v>
      </c>
      <c r="B473" s="477" t="s">
        <v>1865</v>
      </c>
      <c r="C473" s="2"/>
      <c r="D473" s="2"/>
      <c r="E473" s="2"/>
      <c r="F473" s="2"/>
      <c r="G473" s="3"/>
      <c r="H473" s="553"/>
      <c r="I473" s="553"/>
    </row>
    <row r="474">
      <c r="A474" s="558" t="s">
        <v>764</v>
      </c>
      <c r="B474" s="2"/>
      <c r="C474" s="2"/>
      <c r="D474" s="2"/>
      <c r="E474" s="2"/>
      <c r="F474" s="3"/>
      <c r="G474" s="559" t="s">
        <v>766</v>
      </c>
      <c r="H474" s="553"/>
      <c r="I474" s="553"/>
    </row>
    <row r="475">
      <c r="A475" s="560"/>
      <c r="B475" s="577" t="s">
        <v>1981</v>
      </c>
      <c r="C475" s="541" t="s">
        <v>1982</v>
      </c>
      <c r="D475" s="2"/>
      <c r="E475" s="3"/>
      <c r="F475" s="557"/>
      <c r="G475" s="3"/>
      <c r="H475" s="553"/>
      <c r="I475" s="553"/>
    </row>
    <row r="476">
      <c r="A476" s="20"/>
      <c r="B476" s="20"/>
      <c r="C476" s="480" t="s">
        <v>43</v>
      </c>
      <c r="D476" s="481">
        <v>1.0</v>
      </c>
      <c r="E476" s="542">
        <v>49.0</v>
      </c>
      <c r="F476" s="481">
        <f>D476*E476</f>
        <v>49</v>
      </c>
      <c r="G476" s="480" t="s">
        <v>772</v>
      </c>
      <c r="H476" s="553"/>
      <c r="I476" s="553"/>
    </row>
    <row r="477">
      <c r="A477" s="561" t="s">
        <v>1116</v>
      </c>
      <c r="B477" s="2"/>
      <c r="C477" s="3"/>
      <c r="D477" s="481">
        <v>1.0</v>
      </c>
      <c r="E477" s="562" t="s">
        <v>1117</v>
      </c>
      <c r="F477" s="481">
        <f>F476</f>
        <v>49</v>
      </c>
      <c r="G477" s="556"/>
      <c r="H477" s="553"/>
      <c r="I477" s="553"/>
    </row>
    <row r="478">
      <c r="A478" s="561" t="s">
        <v>800</v>
      </c>
      <c r="B478" s="2"/>
      <c r="C478" s="3"/>
      <c r="D478" s="481">
        <v>1.0</v>
      </c>
      <c r="E478" s="562" t="s">
        <v>1117</v>
      </c>
      <c r="F478" s="481">
        <f>F477/D477</f>
        <v>49</v>
      </c>
      <c r="G478" s="556"/>
      <c r="H478" s="553"/>
      <c r="I478" s="553"/>
    </row>
    <row r="479">
      <c r="A479" s="563" t="s">
        <v>802</v>
      </c>
      <c r="B479" s="2"/>
      <c r="C479" s="2"/>
      <c r="D479" s="3"/>
      <c r="E479" s="556"/>
      <c r="F479" s="481">
        <f>F478*1%</f>
        <v>0.49</v>
      </c>
      <c r="G479" s="556"/>
      <c r="H479" s="553"/>
      <c r="I479" s="553"/>
    </row>
    <row r="480">
      <c r="A480" s="563" t="s">
        <v>42</v>
      </c>
      <c r="B480" s="2"/>
      <c r="C480" s="2"/>
      <c r="D480" s="3"/>
      <c r="E480" s="556"/>
      <c r="F480" s="481">
        <f>F479+F478</f>
        <v>49.49</v>
      </c>
      <c r="G480" s="556"/>
      <c r="H480" s="553"/>
      <c r="I480" s="553"/>
    </row>
    <row r="481">
      <c r="A481" s="563" t="s">
        <v>806</v>
      </c>
      <c r="B481" s="2"/>
      <c r="C481" s="2"/>
      <c r="D481" s="3"/>
      <c r="E481" s="556"/>
      <c r="F481" s="481">
        <f>F480*15%</f>
        <v>7.4235</v>
      </c>
      <c r="G481" s="556"/>
      <c r="H481" s="553"/>
      <c r="I481" s="553"/>
    </row>
    <row r="482">
      <c r="A482" s="563" t="s">
        <v>42</v>
      </c>
      <c r="B482" s="2"/>
      <c r="C482" s="2"/>
      <c r="D482" s="3"/>
      <c r="E482" s="556"/>
      <c r="F482" s="564">
        <f>round(F481+F480,2)</f>
        <v>56.91</v>
      </c>
      <c r="G482" s="556"/>
      <c r="H482" s="553"/>
      <c r="I482" s="553"/>
    </row>
    <row r="483">
      <c r="A483" s="558" t="s">
        <v>843</v>
      </c>
      <c r="B483" s="2"/>
      <c r="C483" s="2"/>
      <c r="D483" s="2"/>
      <c r="E483" s="2"/>
      <c r="F483" s="3"/>
      <c r="G483" s="559" t="s">
        <v>778</v>
      </c>
      <c r="H483" s="553"/>
      <c r="I483" s="553"/>
    </row>
    <row r="484">
      <c r="A484" s="483">
        <v>9999.0</v>
      </c>
      <c r="B484" s="560"/>
      <c r="C484" s="477" t="s">
        <v>1755</v>
      </c>
      <c r="D484" s="2"/>
      <c r="E484" s="3"/>
      <c r="F484" s="557"/>
      <c r="G484" s="3"/>
      <c r="H484" s="553"/>
      <c r="I484" s="553"/>
    </row>
    <row r="485">
      <c r="A485" s="20"/>
      <c r="B485" s="20"/>
      <c r="C485" s="480" t="s">
        <v>107</v>
      </c>
      <c r="D485" s="481">
        <v>2.73</v>
      </c>
      <c r="E485" s="481">
        <v>2.12</v>
      </c>
      <c r="F485" s="481">
        <f>D485*E485</f>
        <v>5.7876</v>
      </c>
      <c r="G485" s="480" t="s">
        <v>846</v>
      </c>
      <c r="H485" s="553"/>
      <c r="I485" s="553"/>
    </row>
    <row r="486">
      <c r="A486" s="483">
        <v>9999.0</v>
      </c>
      <c r="B486" s="560"/>
      <c r="C486" s="477" t="s">
        <v>1629</v>
      </c>
      <c r="D486" s="2"/>
      <c r="E486" s="3"/>
      <c r="F486" s="557"/>
      <c r="G486" s="3"/>
      <c r="H486" s="553"/>
      <c r="I486" s="553"/>
    </row>
    <row r="487">
      <c r="A487" s="20"/>
      <c r="B487" s="20"/>
      <c r="C487" s="480" t="s">
        <v>107</v>
      </c>
      <c r="D487" s="481">
        <v>9.36</v>
      </c>
      <c r="E487" s="481">
        <v>2.12</v>
      </c>
      <c r="F487" s="481">
        <f>D487*E487</f>
        <v>19.8432</v>
      </c>
      <c r="G487" s="480" t="s">
        <v>850</v>
      </c>
      <c r="H487" s="553"/>
      <c r="I487" s="553"/>
    </row>
    <row r="488">
      <c r="A488" s="561" t="s">
        <v>1633</v>
      </c>
      <c r="B488" s="2"/>
      <c r="C488" s="3"/>
      <c r="D488" s="481">
        <v>1.0</v>
      </c>
      <c r="E488" s="562" t="s">
        <v>1117</v>
      </c>
      <c r="F488" s="481">
        <f>F487+F485</f>
        <v>25.6308</v>
      </c>
      <c r="G488" s="556"/>
      <c r="H488" s="553"/>
      <c r="I488" s="553"/>
    </row>
    <row r="489">
      <c r="A489" s="561" t="s">
        <v>800</v>
      </c>
      <c r="B489" s="2"/>
      <c r="C489" s="3"/>
      <c r="D489" s="481">
        <v>1.0</v>
      </c>
      <c r="E489" s="562" t="s">
        <v>1117</v>
      </c>
      <c r="F489" s="481">
        <f>F488/D488</f>
        <v>25.6308</v>
      </c>
      <c r="G489" s="556"/>
      <c r="H489" s="553"/>
      <c r="I489" s="553"/>
    </row>
    <row r="490">
      <c r="A490" s="563" t="s">
        <v>802</v>
      </c>
      <c r="B490" s="2"/>
      <c r="C490" s="2"/>
      <c r="D490" s="3"/>
      <c r="E490" s="556"/>
      <c r="F490" s="481">
        <f>F489*1%</f>
        <v>0.256308</v>
      </c>
      <c r="G490" s="556"/>
      <c r="H490" s="553"/>
      <c r="I490" s="553"/>
    </row>
    <row r="491">
      <c r="A491" s="563" t="s">
        <v>42</v>
      </c>
      <c r="B491" s="2"/>
      <c r="C491" s="2"/>
      <c r="D491" s="3"/>
      <c r="E491" s="556"/>
      <c r="F491" s="481">
        <f>F490+F489</f>
        <v>25.887108</v>
      </c>
      <c r="G491" s="556"/>
      <c r="H491" s="553"/>
      <c r="I491" s="553"/>
    </row>
    <row r="492">
      <c r="A492" s="563" t="s">
        <v>806</v>
      </c>
      <c r="B492" s="2"/>
      <c r="C492" s="2"/>
      <c r="D492" s="3"/>
      <c r="E492" s="556"/>
      <c r="F492" s="481">
        <f>F491*15%</f>
        <v>3.8830662</v>
      </c>
      <c r="G492" s="556"/>
      <c r="H492" s="553"/>
      <c r="I492" s="553"/>
    </row>
    <row r="493">
      <c r="A493" s="563" t="s">
        <v>42</v>
      </c>
      <c r="B493" s="2"/>
      <c r="C493" s="2"/>
      <c r="D493" s="3"/>
      <c r="E493" s="556"/>
      <c r="F493" s="564">
        <f>round(F492+F491,2)</f>
        <v>29.77</v>
      </c>
      <c r="G493" s="556"/>
      <c r="H493" s="553"/>
      <c r="I493" s="553"/>
    </row>
    <row r="494">
      <c r="A494" s="565" t="str">
        <f>CONCATENATE("Say ₹ ",F482," + ",F493," x Cost Index")</f>
        <v>Say ₹ 56.91 + 29.77 x Cost Index</v>
      </c>
      <c r="B494" s="2"/>
      <c r="C494" s="2"/>
      <c r="D494" s="2"/>
      <c r="E494" s="2"/>
      <c r="F494" s="2"/>
      <c r="G494" s="3"/>
      <c r="H494" s="567">
        <f>((F476*1.01*1.15))</f>
        <v>56.9135</v>
      </c>
      <c r="I494" s="567">
        <f>((SUM(F485,F487)*1.01*1.15))</f>
        <v>29.7701742</v>
      </c>
    </row>
    <row r="495">
      <c r="A495" s="551" t="s">
        <v>742</v>
      </c>
      <c r="B495" s="551" t="s">
        <v>745</v>
      </c>
      <c r="C495" s="552" t="s">
        <v>6</v>
      </c>
      <c r="D495" s="2"/>
      <c r="E495" s="3"/>
      <c r="F495" s="552" t="s">
        <v>746</v>
      </c>
      <c r="G495" s="3"/>
      <c r="H495" s="584"/>
      <c r="I495" s="584"/>
    </row>
    <row r="496">
      <c r="A496" s="20"/>
      <c r="B496" s="20"/>
      <c r="C496" s="554" t="s">
        <v>8</v>
      </c>
      <c r="D496" s="554" t="s">
        <v>9</v>
      </c>
      <c r="E496" s="554" t="s">
        <v>358</v>
      </c>
      <c r="F496" s="554" t="s">
        <v>11</v>
      </c>
      <c r="G496" s="554" t="s">
        <v>751</v>
      </c>
      <c r="H496" s="584"/>
      <c r="I496" s="584"/>
    </row>
    <row r="497">
      <c r="A497" s="576" t="s">
        <v>1997</v>
      </c>
      <c r="B497" s="2"/>
      <c r="C497" s="2"/>
      <c r="D497" s="2"/>
      <c r="E497" s="2"/>
      <c r="F497" s="2"/>
      <c r="G497" s="3"/>
      <c r="H497" s="584"/>
      <c r="I497" s="584"/>
    </row>
    <row r="498">
      <c r="A498" s="556"/>
      <c r="B498" s="480" t="s">
        <v>754</v>
      </c>
      <c r="C498" s="480" t="s">
        <v>1117</v>
      </c>
      <c r="D498" s="480" t="s">
        <v>757</v>
      </c>
      <c r="E498" s="481">
        <v>1.0</v>
      </c>
      <c r="F498" s="557"/>
      <c r="G498" s="3"/>
      <c r="H498" s="584"/>
      <c r="I498" s="584"/>
    </row>
    <row r="499">
      <c r="A499" s="480" t="s">
        <v>761</v>
      </c>
      <c r="B499" s="477" t="s">
        <v>1617</v>
      </c>
      <c r="C499" s="2"/>
      <c r="D499" s="2"/>
      <c r="E499" s="2"/>
      <c r="F499" s="2"/>
      <c r="G499" s="3"/>
      <c r="H499" s="584"/>
      <c r="I499" s="584"/>
    </row>
    <row r="500">
      <c r="A500" s="558" t="s">
        <v>764</v>
      </c>
      <c r="B500" s="2"/>
      <c r="C500" s="2"/>
      <c r="D500" s="2"/>
      <c r="E500" s="2"/>
      <c r="F500" s="3"/>
      <c r="G500" s="559" t="s">
        <v>766</v>
      </c>
      <c r="H500" s="584"/>
      <c r="I500" s="584"/>
    </row>
    <row r="501">
      <c r="A501" s="560"/>
      <c r="B501" s="577" t="s">
        <v>1999</v>
      </c>
      <c r="C501" s="541" t="s">
        <v>2000</v>
      </c>
      <c r="D501" s="2"/>
      <c r="E501" s="3"/>
      <c r="F501" s="557"/>
      <c r="G501" s="3"/>
      <c r="H501" s="584"/>
      <c r="I501" s="584"/>
    </row>
    <row r="502">
      <c r="A502" s="20"/>
      <c r="B502" s="20"/>
      <c r="C502" s="480" t="s">
        <v>43</v>
      </c>
      <c r="D502" s="481">
        <v>1.0</v>
      </c>
      <c r="E502" s="542">
        <v>56.0</v>
      </c>
      <c r="F502" s="481">
        <f>D502*E502</f>
        <v>56</v>
      </c>
      <c r="G502" s="480" t="s">
        <v>772</v>
      </c>
      <c r="H502" s="584"/>
      <c r="I502" s="584"/>
    </row>
    <row r="503">
      <c r="A503" s="561" t="s">
        <v>1116</v>
      </c>
      <c r="B503" s="2"/>
      <c r="C503" s="3"/>
      <c r="D503" s="481">
        <v>1.0</v>
      </c>
      <c r="E503" s="562" t="s">
        <v>1117</v>
      </c>
      <c r="F503" s="481">
        <f>F502</f>
        <v>56</v>
      </c>
      <c r="G503" s="556"/>
      <c r="H503" s="584"/>
      <c r="I503" s="584"/>
    </row>
    <row r="504">
      <c r="A504" s="561" t="s">
        <v>800</v>
      </c>
      <c r="B504" s="2"/>
      <c r="C504" s="3"/>
      <c r="D504" s="481">
        <v>1.0</v>
      </c>
      <c r="E504" s="562" t="s">
        <v>1117</v>
      </c>
      <c r="F504" s="481">
        <f>F503/D503</f>
        <v>56</v>
      </c>
      <c r="G504" s="556"/>
      <c r="H504" s="584"/>
      <c r="I504" s="584"/>
    </row>
    <row r="505">
      <c r="A505" s="563" t="s">
        <v>802</v>
      </c>
      <c r="B505" s="2"/>
      <c r="C505" s="2"/>
      <c r="D505" s="3"/>
      <c r="E505" s="556"/>
      <c r="F505" s="481">
        <f>F504*1%</f>
        <v>0.56</v>
      </c>
      <c r="G505" s="556"/>
      <c r="H505" s="584"/>
      <c r="I505" s="584"/>
    </row>
    <row r="506">
      <c r="A506" s="563" t="s">
        <v>42</v>
      </c>
      <c r="B506" s="2"/>
      <c r="C506" s="2"/>
      <c r="D506" s="3"/>
      <c r="E506" s="556"/>
      <c r="F506" s="481">
        <f>F505+F504</f>
        <v>56.56</v>
      </c>
      <c r="G506" s="556"/>
      <c r="H506" s="584"/>
      <c r="I506" s="584"/>
    </row>
    <row r="507">
      <c r="A507" s="563" t="s">
        <v>806</v>
      </c>
      <c r="B507" s="2"/>
      <c r="C507" s="2"/>
      <c r="D507" s="3"/>
      <c r="E507" s="556"/>
      <c r="F507" s="481">
        <f>F506*15%</f>
        <v>8.484</v>
      </c>
      <c r="G507" s="556"/>
      <c r="H507" s="584"/>
      <c r="I507" s="584"/>
    </row>
    <row r="508">
      <c r="A508" s="563" t="s">
        <v>42</v>
      </c>
      <c r="B508" s="2"/>
      <c r="C508" s="2"/>
      <c r="D508" s="3"/>
      <c r="E508" s="556"/>
      <c r="F508" s="564">
        <f>round(F507+F506,2)</f>
        <v>65.04</v>
      </c>
      <c r="G508" s="556"/>
      <c r="H508" s="584"/>
      <c r="I508" s="584"/>
    </row>
    <row r="509">
      <c r="A509" s="558" t="s">
        <v>843</v>
      </c>
      <c r="B509" s="2"/>
      <c r="C509" s="2"/>
      <c r="D509" s="2"/>
      <c r="E509" s="2"/>
      <c r="F509" s="3"/>
      <c r="G509" s="559" t="s">
        <v>778</v>
      </c>
      <c r="H509" s="584"/>
      <c r="I509" s="584"/>
    </row>
    <row r="510">
      <c r="A510" s="483">
        <v>9999.0</v>
      </c>
      <c r="B510" s="560"/>
      <c r="C510" s="477" t="s">
        <v>1626</v>
      </c>
      <c r="D510" s="2"/>
      <c r="E510" s="3"/>
      <c r="F510" s="557"/>
      <c r="G510" s="3"/>
      <c r="H510" s="584"/>
      <c r="I510" s="584"/>
    </row>
    <row r="511">
      <c r="A511" s="20"/>
      <c r="B511" s="20"/>
      <c r="C511" s="480" t="s">
        <v>107</v>
      </c>
      <c r="D511" s="481">
        <v>2.73</v>
      </c>
      <c r="E511" s="481">
        <v>2.12</v>
      </c>
      <c r="F511" s="481">
        <f>E511*D511</f>
        <v>5.7876</v>
      </c>
      <c r="G511" s="480" t="s">
        <v>846</v>
      </c>
      <c r="H511" s="584"/>
      <c r="I511" s="584"/>
    </row>
    <row r="512">
      <c r="A512" s="483">
        <v>9999.0</v>
      </c>
      <c r="B512" s="560"/>
      <c r="C512" s="477" t="s">
        <v>1629</v>
      </c>
      <c r="D512" s="2"/>
      <c r="E512" s="3"/>
      <c r="F512" s="557"/>
      <c r="G512" s="3"/>
      <c r="H512" s="584"/>
      <c r="I512" s="584"/>
    </row>
    <row r="513">
      <c r="A513" s="20"/>
      <c r="B513" s="20"/>
      <c r="C513" s="480" t="s">
        <v>107</v>
      </c>
      <c r="D513" s="481">
        <v>10.79</v>
      </c>
      <c r="E513" s="481">
        <v>2.12</v>
      </c>
      <c r="F513" s="481">
        <f>D513*E513</f>
        <v>22.8748</v>
      </c>
      <c r="G513" s="480" t="s">
        <v>850</v>
      </c>
      <c r="H513" s="584"/>
      <c r="I513" s="584"/>
    </row>
    <row r="514">
      <c r="A514" s="561" t="s">
        <v>1633</v>
      </c>
      <c r="B514" s="2"/>
      <c r="C514" s="3"/>
      <c r="D514" s="481">
        <v>1.0</v>
      </c>
      <c r="E514" s="562" t="s">
        <v>1117</v>
      </c>
      <c r="F514" s="481">
        <f>F513+F511</f>
        <v>28.6624</v>
      </c>
      <c r="G514" s="556"/>
      <c r="H514" s="584"/>
      <c r="I514" s="584"/>
    </row>
    <row r="515">
      <c r="A515" s="561" t="s">
        <v>800</v>
      </c>
      <c r="B515" s="2"/>
      <c r="C515" s="3"/>
      <c r="D515" s="481">
        <v>1.0</v>
      </c>
      <c r="E515" s="562" t="s">
        <v>1117</v>
      </c>
      <c r="F515" s="481">
        <f>F514/D514</f>
        <v>28.6624</v>
      </c>
      <c r="G515" s="556"/>
      <c r="H515" s="584"/>
      <c r="I515" s="584"/>
    </row>
    <row r="516">
      <c r="A516" s="563" t="s">
        <v>802</v>
      </c>
      <c r="B516" s="2"/>
      <c r="C516" s="2"/>
      <c r="D516" s="3"/>
      <c r="E516" s="556"/>
      <c r="F516" s="481">
        <f>F515*1%</f>
        <v>0.286624</v>
      </c>
      <c r="G516" s="556"/>
      <c r="H516" s="584"/>
      <c r="I516" s="584"/>
    </row>
    <row r="517">
      <c r="A517" s="563" t="s">
        <v>42</v>
      </c>
      <c r="B517" s="2"/>
      <c r="C517" s="2"/>
      <c r="D517" s="3"/>
      <c r="E517" s="556"/>
      <c r="F517" s="481">
        <f>F516+F515</f>
        <v>28.949024</v>
      </c>
      <c r="G517" s="556"/>
      <c r="H517" s="584"/>
      <c r="I517" s="584"/>
    </row>
    <row r="518">
      <c r="A518" s="563" t="s">
        <v>806</v>
      </c>
      <c r="B518" s="2"/>
      <c r="C518" s="2"/>
      <c r="D518" s="3"/>
      <c r="E518" s="556"/>
      <c r="F518" s="481">
        <f>F517*15%</f>
        <v>4.3423536</v>
      </c>
      <c r="G518" s="556"/>
      <c r="H518" s="584"/>
      <c r="I518" s="584"/>
    </row>
    <row r="519">
      <c r="A519" s="563" t="s">
        <v>42</v>
      </c>
      <c r="B519" s="2"/>
      <c r="C519" s="2"/>
      <c r="D519" s="3"/>
      <c r="E519" s="556"/>
      <c r="F519" s="564">
        <f>round(F518+F517,2)</f>
        <v>33.29</v>
      </c>
      <c r="G519" s="556"/>
      <c r="H519" s="584"/>
      <c r="I519" s="584"/>
    </row>
    <row r="520">
      <c r="A520" s="565" t="str">
        <f>CONCATENATE("Say ₹ ",F508," + ",F519," x Cost Index")</f>
        <v>Say ₹ 65.04 + 33.29 x Cost Index</v>
      </c>
      <c r="B520" s="2"/>
      <c r="C520" s="2"/>
      <c r="D520" s="2"/>
      <c r="E520" s="2"/>
      <c r="F520" s="2"/>
      <c r="G520" s="3"/>
      <c r="H520" s="567">
        <f>((F502*1.01*1.15))</f>
        <v>65.044</v>
      </c>
      <c r="I520" s="567">
        <f>((SUM(F511,F513)*1.01*1.15))</f>
        <v>33.2913776</v>
      </c>
    </row>
    <row r="521">
      <c r="A521" s="111" t="s">
        <v>742</v>
      </c>
      <c r="B521" s="111" t="s">
        <v>745</v>
      </c>
      <c r="C521" s="112" t="s">
        <v>6</v>
      </c>
      <c r="D521" s="2"/>
      <c r="E521" s="3"/>
      <c r="F521" s="112" t="s">
        <v>746</v>
      </c>
      <c r="G521" s="3"/>
      <c r="H521" s="468"/>
      <c r="I521" s="468"/>
    </row>
    <row r="522">
      <c r="A522" s="20"/>
      <c r="B522" s="20"/>
      <c r="C522" s="115" t="s">
        <v>8</v>
      </c>
      <c r="D522" s="115" t="s">
        <v>9</v>
      </c>
      <c r="E522" s="115" t="s">
        <v>358</v>
      </c>
      <c r="F522" s="115" t="s">
        <v>11</v>
      </c>
      <c r="G522" s="115" t="s">
        <v>751</v>
      </c>
      <c r="H522" s="468"/>
      <c r="I522" s="468"/>
    </row>
    <row r="523">
      <c r="A523" s="469" t="s">
        <v>2008</v>
      </c>
      <c r="B523" s="2"/>
      <c r="C523" s="2"/>
      <c r="D523" s="2"/>
      <c r="E523" s="2"/>
      <c r="F523" s="2"/>
      <c r="G523" s="3"/>
      <c r="H523" s="468"/>
      <c r="I523" s="468"/>
    </row>
    <row r="524">
      <c r="A524" s="119"/>
      <c r="B524" s="120" t="s">
        <v>754</v>
      </c>
      <c r="C524" s="120" t="s">
        <v>1117</v>
      </c>
      <c r="D524" s="120" t="s">
        <v>757</v>
      </c>
      <c r="E524" s="121">
        <v>1.0</v>
      </c>
      <c r="F524" s="467"/>
      <c r="G524" s="3"/>
      <c r="H524" s="468"/>
      <c r="I524" s="468"/>
    </row>
    <row r="525">
      <c r="A525" s="120" t="s">
        <v>761</v>
      </c>
      <c r="B525" s="123" t="s">
        <v>1617</v>
      </c>
      <c r="C525" s="2"/>
      <c r="D525" s="2"/>
      <c r="E525" s="2"/>
      <c r="F525" s="2"/>
      <c r="G525" s="3"/>
      <c r="H525" s="468"/>
      <c r="I525" s="468"/>
    </row>
    <row r="526">
      <c r="A526" s="124" t="s">
        <v>764</v>
      </c>
      <c r="B526" s="2"/>
      <c r="C526" s="2"/>
      <c r="D526" s="2"/>
      <c r="E526" s="2"/>
      <c r="F526" s="3"/>
      <c r="G526" s="125" t="s">
        <v>766</v>
      </c>
      <c r="H526" s="468"/>
      <c r="I526" s="468"/>
    </row>
    <row r="527">
      <c r="A527" s="126"/>
      <c r="B527" s="127" t="s">
        <v>2013</v>
      </c>
      <c r="C527" s="123" t="s">
        <v>2014</v>
      </c>
      <c r="D527" s="2"/>
      <c r="E527" s="3"/>
      <c r="F527" s="467"/>
      <c r="G527" s="3"/>
      <c r="H527" s="468"/>
      <c r="I527" s="468"/>
    </row>
    <row r="528">
      <c r="A528" s="20"/>
      <c r="B528" s="20"/>
      <c r="C528" s="120" t="s">
        <v>43</v>
      </c>
      <c r="D528" s="121">
        <v>1.0</v>
      </c>
      <c r="E528" s="121">
        <v>54.0</v>
      </c>
      <c r="F528" s="121">
        <f>D528*E528</f>
        <v>54</v>
      </c>
      <c r="G528" s="120" t="s">
        <v>772</v>
      </c>
      <c r="H528" s="468"/>
      <c r="I528" s="468"/>
    </row>
    <row r="529">
      <c r="A529" s="129" t="s">
        <v>1116</v>
      </c>
      <c r="B529" s="2"/>
      <c r="C529" s="3"/>
      <c r="D529" s="121">
        <v>1.0</v>
      </c>
      <c r="E529" s="130" t="s">
        <v>1117</v>
      </c>
      <c r="F529" s="121">
        <f>F528</f>
        <v>54</v>
      </c>
      <c r="G529" s="120"/>
      <c r="H529" s="468"/>
      <c r="I529" s="468"/>
    </row>
    <row r="530">
      <c r="A530" s="129" t="s">
        <v>800</v>
      </c>
      <c r="B530" s="2"/>
      <c r="C530" s="3"/>
      <c r="D530" s="121">
        <v>1.0</v>
      </c>
      <c r="E530" s="130" t="s">
        <v>1117</v>
      </c>
      <c r="F530" s="121">
        <f>F529/D529</f>
        <v>54</v>
      </c>
      <c r="G530" s="120"/>
      <c r="H530" s="468"/>
      <c r="I530" s="468"/>
    </row>
    <row r="531">
      <c r="A531" s="133" t="s">
        <v>802</v>
      </c>
      <c r="B531" s="2"/>
      <c r="C531" s="2"/>
      <c r="D531" s="3"/>
      <c r="E531" s="121"/>
      <c r="F531" s="121">
        <f>F530*1%</f>
        <v>0.54</v>
      </c>
      <c r="G531" s="120"/>
      <c r="H531" s="468"/>
      <c r="I531" s="468"/>
    </row>
    <row r="532">
      <c r="A532" s="133" t="s">
        <v>42</v>
      </c>
      <c r="B532" s="2"/>
      <c r="C532" s="2"/>
      <c r="D532" s="3"/>
      <c r="E532" s="131"/>
      <c r="F532" s="121">
        <f>F531+F530</f>
        <v>54.54</v>
      </c>
      <c r="G532" s="120"/>
      <c r="H532" s="468"/>
      <c r="I532" s="468"/>
    </row>
    <row r="533">
      <c r="A533" s="133" t="s">
        <v>806</v>
      </c>
      <c r="B533" s="2"/>
      <c r="C533" s="2"/>
      <c r="D533" s="3"/>
      <c r="E533" s="121"/>
      <c r="F533" s="121">
        <f>F532*15%</f>
        <v>8.181</v>
      </c>
      <c r="G533" s="120"/>
      <c r="H533" s="468"/>
      <c r="I533" s="468"/>
    </row>
    <row r="534">
      <c r="A534" s="133" t="s">
        <v>42</v>
      </c>
      <c r="B534" s="2"/>
      <c r="C534" s="2"/>
      <c r="D534" s="3"/>
      <c r="E534" s="131"/>
      <c r="F534" s="300">
        <f>round(F533+F532,2)</f>
        <v>62.72</v>
      </c>
      <c r="G534" s="120"/>
      <c r="H534" s="468"/>
      <c r="I534" s="468"/>
    </row>
    <row r="535">
      <c r="A535" s="124" t="s">
        <v>843</v>
      </c>
      <c r="B535" s="2"/>
      <c r="C535" s="2"/>
      <c r="D535" s="2"/>
      <c r="E535" s="2"/>
      <c r="F535" s="3"/>
      <c r="G535" s="125" t="s">
        <v>778</v>
      </c>
      <c r="H535" s="468"/>
      <c r="I535" s="468"/>
    </row>
    <row r="536">
      <c r="A536" s="127">
        <v>9999.0</v>
      </c>
      <c r="B536" s="126"/>
      <c r="C536" s="123" t="s">
        <v>1626</v>
      </c>
      <c r="D536" s="2"/>
      <c r="E536" s="3"/>
      <c r="F536" s="467"/>
      <c r="G536" s="3"/>
      <c r="H536" s="468"/>
      <c r="I536" s="468"/>
    </row>
    <row r="537">
      <c r="A537" s="20"/>
      <c r="B537" s="20"/>
      <c r="C537" s="120" t="s">
        <v>107</v>
      </c>
      <c r="D537" s="121">
        <v>2.73</v>
      </c>
      <c r="E537" s="121">
        <v>2.12</v>
      </c>
      <c r="F537" s="121">
        <f>E537*D537</f>
        <v>5.7876</v>
      </c>
      <c r="G537" s="120" t="s">
        <v>846</v>
      </c>
      <c r="H537" s="468"/>
      <c r="I537" s="468"/>
    </row>
    <row r="538">
      <c r="A538" s="127">
        <v>9999.0</v>
      </c>
      <c r="B538" s="126"/>
      <c r="C538" s="123" t="s">
        <v>1629</v>
      </c>
      <c r="D538" s="2"/>
      <c r="E538" s="3"/>
      <c r="F538" s="467"/>
      <c r="G538" s="3"/>
      <c r="H538" s="468"/>
      <c r="I538" s="468"/>
    </row>
    <row r="539">
      <c r="A539" s="20"/>
      <c r="B539" s="20"/>
      <c r="C539" s="120" t="s">
        <v>107</v>
      </c>
      <c r="D539" s="121">
        <v>10.79</v>
      </c>
      <c r="E539" s="121">
        <v>2.12</v>
      </c>
      <c r="F539" s="121">
        <f>D539*E539</f>
        <v>22.8748</v>
      </c>
      <c r="G539" s="120" t="s">
        <v>850</v>
      </c>
      <c r="H539" s="468"/>
      <c r="I539" s="468"/>
    </row>
    <row r="540">
      <c r="A540" s="129" t="s">
        <v>1633</v>
      </c>
      <c r="B540" s="2"/>
      <c r="C540" s="3"/>
      <c r="D540" s="121">
        <v>1.0</v>
      </c>
      <c r="E540" s="130" t="s">
        <v>1117</v>
      </c>
      <c r="F540" s="121">
        <f>F539+F537</f>
        <v>28.6624</v>
      </c>
      <c r="G540" s="131"/>
      <c r="H540" s="468"/>
      <c r="I540" s="468"/>
    </row>
    <row r="541">
      <c r="A541" s="129" t="s">
        <v>800</v>
      </c>
      <c r="B541" s="2"/>
      <c r="C541" s="3"/>
      <c r="D541" s="121">
        <v>1.0</v>
      </c>
      <c r="E541" s="130" t="s">
        <v>1117</v>
      </c>
      <c r="F541" s="121">
        <f>F540/D540</f>
        <v>28.6624</v>
      </c>
      <c r="G541" s="131"/>
      <c r="H541" s="468"/>
      <c r="I541" s="468"/>
    </row>
    <row r="542">
      <c r="A542" s="133" t="s">
        <v>802</v>
      </c>
      <c r="B542" s="2"/>
      <c r="C542" s="2"/>
      <c r="D542" s="3"/>
      <c r="E542" s="121"/>
      <c r="F542" s="121">
        <f>F541*1%</f>
        <v>0.286624</v>
      </c>
      <c r="G542" s="131"/>
      <c r="H542" s="468"/>
      <c r="I542" s="468"/>
    </row>
    <row r="543">
      <c r="A543" s="133" t="s">
        <v>42</v>
      </c>
      <c r="B543" s="2"/>
      <c r="C543" s="2"/>
      <c r="D543" s="3"/>
      <c r="E543" s="131"/>
      <c r="F543" s="121">
        <f>F542+F541</f>
        <v>28.949024</v>
      </c>
      <c r="G543" s="131"/>
      <c r="H543" s="468"/>
      <c r="I543" s="468"/>
    </row>
    <row r="544">
      <c r="A544" s="133" t="s">
        <v>806</v>
      </c>
      <c r="B544" s="2"/>
      <c r="C544" s="2"/>
      <c r="D544" s="3"/>
      <c r="E544" s="121"/>
      <c r="F544" s="121">
        <f>F543*15%</f>
        <v>4.3423536</v>
      </c>
      <c r="G544" s="131"/>
      <c r="H544" s="468"/>
      <c r="I544" s="468"/>
    </row>
    <row r="545">
      <c r="A545" s="133" t="s">
        <v>42</v>
      </c>
      <c r="B545" s="2"/>
      <c r="C545" s="2"/>
      <c r="D545" s="3"/>
      <c r="E545" s="131"/>
      <c r="F545" s="300">
        <f>round(F544+F543,2)</f>
        <v>33.29</v>
      </c>
      <c r="G545" s="131"/>
      <c r="H545" s="468"/>
      <c r="I545" s="468"/>
    </row>
    <row r="546">
      <c r="A546" s="455" t="str">
        <f>CONCATENATE("Say ₹ ",F534," + ",F545," x Cost Index")</f>
        <v>Say ₹ 62.72 + 33.29 x Cost Index</v>
      </c>
      <c r="B546" s="2"/>
      <c r="C546" s="2"/>
      <c r="D546" s="2"/>
      <c r="E546" s="2"/>
      <c r="F546" s="2"/>
      <c r="G546" s="3"/>
      <c r="H546" s="474">
        <f>((F528*1.01*1.15))</f>
        <v>62.721</v>
      </c>
      <c r="I546" s="474">
        <f>((SUM(F537,F539)*1.01*1.15))</f>
        <v>33.2913776</v>
      </c>
    </row>
    <row r="547">
      <c r="A547" s="551" t="s">
        <v>742</v>
      </c>
      <c r="B547" s="551" t="s">
        <v>745</v>
      </c>
      <c r="C547" s="552" t="s">
        <v>6</v>
      </c>
      <c r="D547" s="2"/>
      <c r="E547" s="3"/>
      <c r="F547" s="552" t="s">
        <v>746</v>
      </c>
      <c r="G547" s="3"/>
      <c r="H547" s="553"/>
      <c r="I547" s="553"/>
    </row>
    <row r="548">
      <c r="A548" s="20"/>
      <c r="B548" s="20"/>
      <c r="C548" s="554" t="s">
        <v>8</v>
      </c>
      <c r="D548" s="554" t="s">
        <v>9</v>
      </c>
      <c r="E548" s="554" t="s">
        <v>358</v>
      </c>
      <c r="F548" s="554" t="s">
        <v>11</v>
      </c>
      <c r="G548" s="554" t="s">
        <v>751</v>
      </c>
      <c r="H548" s="553"/>
      <c r="I548" s="553"/>
    </row>
    <row r="549">
      <c r="A549" s="576" t="s">
        <v>2022</v>
      </c>
      <c r="B549" s="2"/>
      <c r="C549" s="2"/>
      <c r="D549" s="2"/>
      <c r="E549" s="2"/>
      <c r="F549" s="2"/>
      <c r="G549" s="3"/>
      <c r="H549" s="553"/>
      <c r="I549" s="553"/>
    </row>
    <row r="550">
      <c r="A550" s="556"/>
      <c r="B550" s="480" t="s">
        <v>754</v>
      </c>
      <c r="C550" s="480" t="s">
        <v>1117</v>
      </c>
      <c r="D550" s="480" t="s">
        <v>757</v>
      </c>
      <c r="E550" s="481">
        <v>1.0</v>
      </c>
      <c r="F550" s="557"/>
      <c r="G550" s="3"/>
      <c r="H550" s="553"/>
      <c r="I550" s="553"/>
    </row>
    <row r="551">
      <c r="A551" s="480" t="s">
        <v>761</v>
      </c>
      <c r="B551" s="477" t="s">
        <v>1617</v>
      </c>
      <c r="C551" s="2"/>
      <c r="D551" s="2"/>
      <c r="E551" s="2"/>
      <c r="F551" s="2"/>
      <c r="G551" s="3"/>
      <c r="H551" s="553"/>
      <c r="I551" s="553"/>
    </row>
    <row r="552">
      <c r="A552" s="558" t="s">
        <v>764</v>
      </c>
      <c r="B552" s="2"/>
      <c r="C552" s="2"/>
      <c r="D552" s="2"/>
      <c r="E552" s="2"/>
      <c r="F552" s="3"/>
      <c r="G552" s="559" t="s">
        <v>766</v>
      </c>
      <c r="H552" s="553"/>
      <c r="I552" s="553"/>
    </row>
    <row r="553">
      <c r="A553" s="560"/>
      <c r="B553" s="577" t="s">
        <v>2023</v>
      </c>
      <c r="C553" s="541" t="s">
        <v>2025</v>
      </c>
      <c r="D553" s="2"/>
      <c r="E553" s="3"/>
      <c r="F553" s="557"/>
      <c r="G553" s="3"/>
      <c r="H553" s="553"/>
      <c r="I553" s="553"/>
    </row>
    <row r="554">
      <c r="A554" s="20"/>
      <c r="B554" s="20"/>
      <c r="C554" s="480" t="s">
        <v>43</v>
      </c>
      <c r="D554" s="481">
        <v>1.0</v>
      </c>
      <c r="E554" s="542">
        <v>77.0</v>
      </c>
      <c r="F554" s="481">
        <f>D554*E554</f>
        <v>77</v>
      </c>
      <c r="G554" s="480" t="s">
        <v>772</v>
      </c>
      <c r="H554" s="553"/>
      <c r="I554" s="553"/>
    </row>
    <row r="555">
      <c r="A555" s="561" t="s">
        <v>1116</v>
      </c>
      <c r="B555" s="2"/>
      <c r="C555" s="3"/>
      <c r="D555" s="481">
        <v>1.0</v>
      </c>
      <c r="E555" s="562" t="s">
        <v>1117</v>
      </c>
      <c r="F555" s="481">
        <f>F554</f>
        <v>77</v>
      </c>
      <c r="G555" s="556"/>
      <c r="H555" s="553"/>
      <c r="I555" s="553"/>
    </row>
    <row r="556">
      <c r="A556" s="561" t="s">
        <v>800</v>
      </c>
      <c r="B556" s="2"/>
      <c r="C556" s="3"/>
      <c r="D556" s="481">
        <v>1.0</v>
      </c>
      <c r="E556" s="562" t="s">
        <v>1117</v>
      </c>
      <c r="F556" s="481">
        <f>F555/D555</f>
        <v>77</v>
      </c>
      <c r="G556" s="556"/>
      <c r="H556" s="553"/>
      <c r="I556" s="553"/>
    </row>
    <row r="557">
      <c r="A557" s="563" t="s">
        <v>802</v>
      </c>
      <c r="B557" s="2"/>
      <c r="C557" s="2"/>
      <c r="D557" s="3"/>
      <c r="E557" s="556"/>
      <c r="F557" s="481">
        <f>F556*1%</f>
        <v>0.77</v>
      </c>
      <c r="G557" s="556"/>
      <c r="H557" s="553"/>
      <c r="I557" s="553"/>
    </row>
    <row r="558">
      <c r="A558" s="563" t="s">
        <v>42</v>
      </c>
      <c r="B558" s="2"/>
      <c r="C558" s="2"/>
      <c r="D558" s="3"/>
      <c r="E558" s="556"/>
      <c r="F558" s="481">
        <f>F557+F556</f>
        <v>77.77</v>
      </c>
      <c r="G558" s="556"/>
      <c r="H558" s="553"/>
      <c r="I558" s="553"/>
    </row>
    <row r="559">
      <c r="A559" s="563" t="s">
        <v>806</v>
      </c>
      <c r="B559" s="2"/>
      <c r="C559" s="2"/>
      <c r="D559" s="3"/>
      <c r="E559" s="556"/>
      <c r="F559" s="481">
        <f>F558*15%</f>
        <v>11.6655</v>
      </c>
      <c r="G559" s="556"/>
      <c r="H559" s="553"/>
      <c r="I559" s="553"/>
    </row>
    <row r="560">
      <c r="A560" s="563" t="s">
        <v>42</v>
      </c>
      <c r="B560" s="2"/>
      <c r="C560" s="2"/>
      <c r="D560" s="3"/>
      <c r="E560" s="556"/>
      <c r="F560" s="564">
        <f>round(F559+F558,2)</f>
        <v>89.44</v>
      </c>
      <c r="G560" s="556"/>
      <c r="H560" s="553"/>
      <c r="I560" s="553"/>
    </row>
    <row r="561">
      <c r="A561" s="558" t="s">
        <v>843</v>
      </c>
      <c r="B561" s="2"/>
      <c r="C561" s="2"/>
      <c r="D561" s="2"/>
      <c r="E561" s="2"/>
      <c r="F561" s="3"/>
      <c r="G561" s="559" t="s">
        <v>778</v>
      </c>
      <c r="H561" s="553"/>
      <c r="I561" s="553"/>
    </row>
    <row r="562">
      <c r="A562" s="483">
        <v>9999.0</v>
      </c>
      <c r="B562" s="560"/>
      <c r="C562" s="477" t="s">
        <v>1626</v>
      </c>
      <c r="D562" s="2"/>
      <c r="E562" s="3"/>
      <c r="F562" s="557"/>
      <c r="G562" s="3"/>
      <c r="H562" s="553"/>
      <c r="I562" s="553"/>
    </row>
    <row r="563">
      <c r="A563" s="20"/>
      <c r="B563" s="20"/>
      <c r="C563" s="480" t="s">
        <v>107</v>
      </c>
      <c r="D563" s="481">
        <v>2.73</v>
      </c>
      <c r="E563" s="481">
        <v>2.12</v>
      </c>
      <c r="F563" s="481">
        <f>E563*D563</f>
        <v>5.7876</v>
      </c>
      <c r="G563" s="480" t="s">
        <v>846</v>
      </c>
      <c r="H563" s="553"/>
      <c r="I563" s="553"/>
    </row>
    <row r="564">
      <c r="A564" s="483">
        <v>9999.0</v>
      </c>
      <c r="B564" s="560"/>
      <c r="C564" s="477" t="s">
        <v>1629</v>
      </c>
      <c r="D564" s="2"/>
      <c r="E564" s="3"/>
      <c r="F564" s="557"/>
      <c r="G564" s="3"/>
      <c r="H564" s="553"/>
      <c r="I564" s="553"/>
    </row>
    <row r="565">
      <c r="A565" s="20"/>
      <c r="B565" s="20"/>
      <c r="C565" s="480" t="s">
        <v>107</v>
      </c>
      <c r="D565" s="481">
        <v>10.79</v>
      </c>
      <c r="E565" s="481">
        <v>2.12</v>
      </c>
      <c r="F565" s="481">
        <f>D565*E565</f>
        <v>22.8748</v>
      </c>
      <c r="G565" s="480" t="s">
        <v>850</v>
      </c>
      <c r="H565" s="553"/>
      <c r="I565" s="553"/>
    </row>
    <row r="566">
      <c r="A566" s="561" t="s">
        <v>1633</v>
      </c>
      <c r="B566" s="2"/>
      <c r="C566" s="3"/>
      <c r="D566" s="481">
        <v>1.0</v>
      </c>
      <c r="E566" s="562" t="s">
        <v>1117</v>
      </c>
      <c r="F566" s="481">
        <f>F565+F563</f>
        <v>28.6624</v>
      </c>
      <c r="G566" s="556"/>
      <c r="H566" s="553"/>
      <c r="I566" s="553"/>
    </row>
    <row r="567">
      <c r="A567" s="561" t="s">
        <v>800</v>
      </c>
      <c r="B567" s="2"/>
      <c r="C567" s="3"/>
      <c r="D567" s="481">
        <v>1.0</v>
      </c>
      <c r="E567" s="562" t="s">
        <v>1117</v>
      </c>
      <c r="F567" s="481">
        <f>F566/D566</f>
        <v>28.6624</v>
      </c>
      <c r="G567" s="556"/>
      <c r="H567" s="553"/>
      <c r="I567" s="553"/>
    </row>
    <row r="568">
      <c r="A568" s="563" t="s">
        <v>802</v>
      </c>
      <c r="B568" s="2"/>
      <c r="C568" s="2"/>
      <c r="D568" s="3"/>
      <c r="E568" s="556"/>
      <c r="F568" s="481">
        <f>F567*1%</f>
        <v>0.286624</v>
      </c>
      <c r="G568" s="556"/>
      <c r="H568" s="553"/>
      <c r="I568" s="553"/>
    </row>
    <row r="569">
      <c r="A569" s="563" t="s">
        <v>42</v>
      </c>
      <c r="B569" s="2"/>
      <c r="C569" s="2"/>
      <c r="D569" s="3"/>
      <c r="E569" s="556"/>
      <c r="F569" s="481">
        <f>F568+F567</f>
        <v>28.949024</v>
      </c>
      <c r="G569" s="556"/>
      <c r="H569" s="553"/>
      <c r="I569" s="553"/>
    </row>
    <row r="570">
      <c r="A570" s="563" t="s">
        <v>806</v>
      </c>
      <c r="B570" s="2"/>
      <c r="C570" s="2"/>
      <c r="D570" s="3"/>
      <c r="E570" s="556"/>
      <c r="F570" s="481">
        <f>F569*15%</f>
        <v>4.3423536</v>
      </c>
      <c r="G570" s="556"/>
      <c r="H570" s="553"/>
      <c r="I570" s="553"/>
    </row>
    <row r="571">
      <c r="A571" s="563" t="s">
        <v>42</v>
      </c>
      <c r="B571" s="2"/>
      <c r="C571" s="2"/>
      <c r="D571" s="3"/>
      <c r="E571" s="556"/>
      <c r="F571" s="564">
        <f>round(F570+F569,2)</f>
        <v>33.29</v>
      </c>
      <c r="G571" s="556"/>
      <c r="H571" s="553"/>
      <c r="I571" s="553"/>
    </row>
    <row r="572">
      <c r="A572" s="565" t="str">
        <f>CONCATENATE("Say ₹ ",F560," + ",F571," x Cost Index")</f>
        <v>Say ₹ 89.44 + 33.29 x Cost Index</v>
      </c>
      <c r="B572" s="2"/>
      <c r="C572" s="2"/>
      <c r="D572" s="2"/>
      <c r="E572" s="2"/>
      <c r="F572" s="2"/>
      <c r="G572" s="3"/>
      <c r="H572" s="567">
        <f>((F554*1.01*1.15))</f>
        <v>89.4355</v>
      </c>
      <c r="I572" s="567">
        <f>((SUM(F563,F565)*1.01*1.15))</f>
        <v>33.2913776</v>
      </c>
    </row>
    <row r="573">
      <c r="A573" s="111" t="s">
        <v>742</v>
      </c>
      <c r="B573" s="111" t="s">
        <v>745</v>
      </c>
      <c r="C573" s="112" t="s">
        <v>6</v>
      </c>
      <c r="D573" s="2"/>
      <c r="E573" s="3"/>
      <c r="F573" s="112" t="s">
        <v>746</v>
      </c>
      <c r="G573" s="3"/>
      <c r="H573" s="474"/>
      <c r="I573" s="474"/>
    </row>
    <row r="574">
      <c r="A574" s="20"/>
      <c r="B574" s="20"/>
      <c r="C574" s="115" t="s">
        <v>8</v>
      </c>
      <c r="D574" s="115" t="s">
        <v>9</v>
      </c>
      <c r="E574" s="115" t="s">
        <v>358</v>
      </c>
      <c r="F574" s="115" t="s">
        <v>11</v>
      </c>
      <c r="G574" s="115" t="s">
        <v>751</v>
      </c>
      <c r="H574" s="474"/>
      <c r="I574" s="474"/>
    </row>
    <row r="575">
      <c r="A575" s="596" t="s">
        <v>2032</v>
      </c>
      <c r="B575" s="2"/>
      <c r="C575" s="2"/>
      <c r="D575" s="2"/>
      <c r="E575" s="2"/>
      <c r="F575" s="2"/>
      <c r="G575" s="3"/>
      <c r="H575" s="474"/>
      <c r="I575" s="474"/>
    </row>
    <row r="576">
      <c r="A576" s="597"/>
      <c r="B576" s="120" t="s">
        <v>754</v>
      </c>
      <c r="C576" s="120" t="s">
        <v>1117</v>
      </c>
      <c r="D576" s="120" t="s">
        <v>757</v>
      </c>
      <c r="E576" s="121">
        <v>1.0</v>
      </c>
      <c r="F576" s="598"/>
      <c r="G576" s="3"/>
      <c r="H576" s="474"/>
      <c r="I576" s="474"/>
    </row>
    <row r="577">
      <c r="A577" s="120" t="s">
        <v>761</v>
      </c>
      <c r="B577" s="123" t="s">
        <v>1617</v>
      </c>
      <c r="C577" s="2"/>
      <c r="D577" s="2"/>
      <c r="E577" s="2"/>
      <c r="F577" s="2"/>
      <c r="G577" s="3"/>
      <c r="H577" s="474"/>
      <c r="I577" s="474"/>
    </row>
    <row r="578">
      <c r="A578" s="124" t="s">
        <v>764</v>
      </c>
      <c r="B578" s="2"/>
      <c r="C578" s="2"/>
      <c r="D578" s="2"/>
      <c r="E578" s="2"/>
      <c r="F578" s="3"/>
      <c r="G578" s="125" t="s">
        <v>766</v>
      </c>
      <c r="H578" s="474"/>
      <c r="I578" s="474"/>
    </row>
    <row r="579">
      <c r="A579" s="475"/>
      <c r="B579" s="127" t="s">
        <v>2033</v>
      </c>
      <c r="C579" s="123" t="s">
        <v>2034</v>
      </c>
      <c r="D579" s="2"/>
      <c r="E579" s="3"/>
      <c r="F579" s="598"/>
      <c r="G579" s="3"/>
      <c r="H579" s="474"/>
      <c r="I579" s="474"/>
    </row>
    <row r="580">
      <c r="A580" s="20"/>
      <c r="B580" s="20"/>
      <c r="C580" s="120" t="s">
        <v>43</v>
      </c>
      <c r="D580" s="121">
        <v>1.0</v>
      </c>
      <c r="E580" s="121">
        <v>19.0</v>
      </c>
      <c r="F580" s="121">
        <f>D580*E580</f>
        <v>19</v>
      </c>
      <c r="G580" s="120" t="s">
        <v>772</v>
      </c>
      <c r="H580" s="474"/>
      <c r="I580" s="474"/>
    </row>
    <row r="581">
      <c r="A581" s="129" t="s">
        <v>1116</v>
      </c>
      <c r="B581" s="2"/>
      <c r="C581" s="3"/>
      <c r="D581" s="121">
        <v>1.0</v>
      </c>
      <c r="E581" s="130" t="s">
        <v>1117</v>
      </c>
      <c r="F581" s="121">
        <f>F580</f>
        <v>19</v>
      </c>
      <c r="G581" s="120"/>
      <c r="H581" s="468"/>
      <c r="I581" s="468"/>
    </row>
    <row r="582">
      <c r="A582" s="129" t="s">
        <v>800</v>
      </c>
      <c r="B582" s="2"/>
      <c r="C582" s="3"/>
      <c r="D582" s="121">
        <v>1.0</v>
      </c>
      <c r="E582" s="130" t="s">
        <v>1117</v>
      </c>
      <c r="F582" s="121">
        <f>F581/D581</f>
        <v>19</v>
      </c>
      <c r="G582" s="120"/>
      <c r="H582" s="468"/>
      <c r="I582" s="468"/>
    </row>
    <row r="583">
      <c r="A583" s="133" t="s">
        <v>802</v>
      </c>
      <c r="B583" s="2"/>
      <c r="C583" s="2"/>
      <c r="D583" s="3"/>
      <c r="E583" s="121"/>
      <c r="F583" s="121">
        <f>F582*1%</f>
        <v>0.19</v>
      </c>
      <c r="G583" s="120"/>
      <c r="H583" s="468"/>
      <c r="I583" s="468"/>
    </row>
    <row r="584">
      <c r="A584" s="133" t="s">
        <v>42</v>
      </c>
      <c r="B584" s="2"/>
      <c r="C584" s="2"/>
      <c r="D584" s="3"/>
      <c r="E584" s="131"/>
      <c r="F584" s="121">
        <f>F583+F582</f>
        <v>19.19</v>
      </c>
      <c r="G584" s="120"/>
      <c r="H584" s="468"/>
      <c r="I584" s="468"/>
    </row>
    <row r="585">
      <c r="A585" s="133" t="s">
        <v>806</v>
      </c>
      <c r="B585" s="2"/>
      <c r="C585" s="2"/>
      <c r="D585" s="3"/>
      <c r="E585" s="121"/>
      <c r="F585" s="121">
        <f>F584*15%</f>
        <v>2.8785</v>
      </c>
      <c r="G585" s="120"/>
      <c r="H585" s="468"/>
      <c r="I585" s="468"/>
    </row>
    <row r="586">
      <c r="A586" s="133" t="s">
        <v>42</v>
      </c>
      <c r="B586" s="2"/>
      <c r="C586" s="2"/>
      <c r="D586" s="3"/>
      <c r="E586" s="131"/>
      <c r="F586" s="300">
        <f>round(F585+F584,2)</f>
        <v>22.07</v>
      </c>
      <c r="G586" s="120"/>
      <c r="H586" s="468"/>
      <c r="I586" s="468"/>
    </row>
    <row r="587">
      <c r="A587" s="124" t="s">
        <v>843</v>
      </c>
      <c r="B587" s="2"/>
      <c r="C587" s="2"/>
      <c r="D587" s="2"/>
      <c r="E587" s="2"/>
      <c r="F587" s="3"/>
      <c r="G587" s="125" t="s">
        <v>778</v>
      </c>
      <c r="H587" s="474"/>
      <c r="I587" s="474"/>
    </row>
    <row r="588">
      <c r="A588" s="127">
        <v>9999.0</v>
      </c>
      <c r="B588" s="475"/>
      <c r="C588" s="123" t="s">
        <v>1626</v>
      </c>
      <c r="D588" s="2"/>
      <c r="E588" s="3"/>
      <c r="F588" s="598"/>
      <c r="G588" s="3"/>
      <c r="H588" s="474"/>
      <c r="I588" s="474"/>
    </row>
    <row r="589">
      <c r="A589" s="20"/>
      <c r="B589" s="20"/>
      <c r="C589" s="120" t="s">
        <v>107</v>
      </c>
      <c r="D589" s="121">
        <v>2.73</v>
      </c>
      <c r="E589" s="121">
        <v>2.12</v>
      </c>
      <c r="F589" s="121">
        <f>D589*E589</f>
        <v>5.7876</v>
      </c>
      <c r="G589" s="120" t="s">
        <v>846</v>
      </c>
      <c r="H589" s="474"/>
      <c r="I589" s="474"/>
    </row>
    <row r="590">
      <c r="A590" s="127">
        <v>9999.0</v>
      </c>
      <c r="B590" s="475"/>
      <c r="C590" s="123" t="s">
        <v>1629</v>
      </c>
      <c r="D590" s="2"/>
      <c r="E590" s="3"/>
      <c r="F590" s="598"/>
      <c r="G590" s="3"/>
      <c r="H590" s="474"/>
      <c r="I590" s="474"/>
    </row>
    <row r="591">
      <c r="A591" s="20"/>
      <c r="B591" s="20"/>
      <c r="C591" s="120" t="s">
        <v>107</v>
      </c>
      <c r="D591" s="121">
        <v>9.36</v>
      </c>
      <c r="E591" s="121">
        <v>2.12</v>
      </c>
      <c r="F591" s="121">
        <f>D591*E591</f>
        <v>19.8432</v>
      </c>
      <c r="G591" s="120" t="s">
        <v>850</v>
      </c>
      <c r="H591" s="474"/>
      <c r="I591" s="474"/>
    </row>
    <row r="592">
      <c r="A592" s="129" t="s">
        <v>42</v>
      </c>
      <c r="B592" s="2"/>
      <c r="C592" s="3"/>
      <c r="D592" s="121">
        <v>1.0</v>
      </c>
      <c r="E592" s="130" t="s">
        <v>1117</v>
      </c>
      <c r="F592" s="121">
        <f>F591+F589</f>
        <v>25.6308</v>
      </c>
      <c r="G592" s="599"/>
      <c r="H592" s="474"/>
      <c r="I592" s="474"/>
    </row>
    <row r="593">
      <c r="A593" s="129" t="s">
        <v>800</v>
      </c>
      <c r="B593" s="2"/>
      <c r="C593" s="3"/>
      <c r="D593" s="121">
        <v>1.0</v>
      </c>
      <c r="E593" s="130" t="s">
        <v>1117</v>
      </c>
      <c r="F593" s="121">
        <f>F592/D592</f>
        <v>25.6308</v>
      </c>
      <c r="G593" s="599"/>
      <c r="H593" s="474"/>
      <c r="I593" s="474"/>
    </row>
    <row r="594">
      <c r="A594" s="133" t="s">
        <v>802</v>
      </c>
      <c r="B594" s="2"/>
      <c r="C594" s="2"/>
      <c r="D594" s="3"/>
      <c r="E594" s="121">
        <v>44.63</v>
      </c>
      <c r="F594" s="121">
        <f>F593*1%</f>
        <v>0.256308</v>
      </c>
      <c r="G594" s="599"/>
      <c r="H594" s="474"/>
      <c r="I594" s="474"/>
    </row>
    <row r="595">
      <c r="A595" s="133" t="s">
        <v>42</v>
      </c>
      <c r="B595" s="2"/>
      <c r="C595" s="2"/>
      <c r="D595" s="3"/>
      <c r="E595" s="599"/>
      <c r="F595" s="121">
        <f>F594+F593</f>
        <v>25.887108</v>
      </c>
      <c r="G595" s="599"/>
      <c r="H595" s="474"/>
      <c r="I595" s="474"/>
    </row>
    <row r="596">
      <c r="A596" s="133" t="s">
        <v>806</v>
      </c>
      <c r="B596" s="2"/>
      <c r="C596" s="2"/>
      <c r="D596" s="3"/>
      <c r="E596" s="121">
        <v>45.08</v>
      </c>
      <c r="F596" s="121">
        <f>F595*15%</f>
        <v>3.8830662</v>
      </c>
      <c r="G596" s="599"/>
      <c r="H596" s="474"/>
      <c r="I596" s="474"/>
    </row>
    <row r="597">
      <c r="A597" s="133" t="s">
        <v>42</v>
      </c>
      <c r="B597" s="2"/>
      <c r="C597" s="2"/>
      <c r="D597" s="3"/>
      <c r="E597" s="599"/>
      <c r="F597" s="300">
        <f>round(F596+F595,2)</f>
        <v>29.77</v>
      </c>
      <c r="G597" s="599"/>
      <c r="H597" s="474"/>
      <c r="I597" s="474"/>
    </row>
    <row r="598">
      <c r="A598" s="455" t="str">
        <f>CONCATENATE("Say ₹ ",F586," + ",F597," x Cost Index")</f>
        <v>Say ₹ 22.07 + 29.77 x Cost Index</v>
      </c>
      <c r="B598" s="2"/>
      <c r="C598" s="2"/>
      <c r="D598" s="2"/>
      <c r="E598" s="2"/>
      <c r="F598" s="2"/>
      <c r="G598" s="3"/>
      <c r="H598" s="474">
        <f>((F580*1.01*1.15))</f>
        <v>22.0685</v>
      </c>
      <c r="I598" s="474">
        <f>((SUM(F589,F591)*1.01*1.15))</f>
        <v>29.7701742</v>
      </c>
    </row>
    <row r="599">
      <c r="A599" s="111" t="s">
        <v>742</v>
      </c>
      <c r="B599" s="111" t="s">
        <v>745</v>
      </c>
      <c r="C599" s="112" t="s">
        <v>6</v>
      </c>
      <c r="D599" s="2"/>
      <c r="E599" s="3"/>
      <c r="F599" s="112" t="s">
        <v>746</v>
      </c>
      <c r="G599" s="3"/>
      <c r="H599" s="474"/>
      <c r="I599" s="474"/>
    </row>
    <row r="600">
      <c r="A600" s="20"/>
      <c r="B600" s="20"/>
      <c r="C600" s="115" t="s">
        <v>8</v>
      </c>
      <c r="D600" s="115" t="s">
        <v>9</v>
      </c>
      <c r="E600" s="115" t="s">
        <v>358</v>
      </c>
      <c r="F600" s="115" t="s">
        <v>11</v>
      </c>
      <c r="G600" s="115" t="s">
        <v>751</v>
      </c>
      <c r="H600" s="474"/>
      <c r="I600" s="474"/>
    </row>
    <row r="601">
      <c r="A601" s="596" t="s">
        <v>2045</v>
      </c>
      <c r="B601" s="2"/>
      <c r="C601" s="2"/>
      <c r="D601" s="2"/>
      <c r="E601" s="2"/>
      <c r="F601" s="2"/>
      <c r="G601" s="3"/>
      <c r="H601" s="474"/>
      <c r="I601" s="474"/>
    </row>
    <row r="602">
      <c r="A602" s="597"/>
      <c r="B602" s="120" t="s">
        <v>754</v>
      </c>
      <c r="C602" s="120" t="s">
        <v>1117</v>
      </c>
      <c r="D602" s="120" t="s">
        <v>757</v>
      </c>
      <c r="E602" s="121">
        <v>1.0</v>
      </c>
      <c r="F602" s="598"/>
      <c r="G602" s="3"/>
      <c r="H602" s="474"/>
      <c r="I602" s="474"/>
    </row>
    <row r="603">
      <c r="A603" s="120" t="s">
        <v>761</v>
      </c>
      <c r="B603" s="123" t="s">
        <v>1617</v>
      </c>
      <c r="C603" s="2"/>
      <c r="D603" s="2"/>
      <c r="E603" s="2"/>
      <c r="F603" s="2"/>
      <c r="G603" s="3"/>
      <c r="H603" s="474"/>
      <c r="I603" s="474"/>
    </row>
    <row r="604">
      <c r="A604" s="124" t="s">
        <v>764</v>
      </c>
      <c r="B604" s="2"/>
      <c r="C604" s="2"/>
      <c r="D604" s="2"/>
      <c r="E604" s="2"/>
      <c r="F604" s="3"/>
      <c r="G604" s="125" t="s">
        <v>766</v>
      </c>
      <c r="H604" s="474"/>
      <c r="I604" s="474"/>
    </row>
    <row r="605">
      <c r="A605" s="475"/>
      <c r="B605" s="127" t="s">
        <v>2047</v>
      </c>
      <c r="C605" s="123" t="s">
        <v>2048</v>
      </c>
      <c r="D605" s="2"/>
      <c r="E605" s="3"/>
      <c r="F605" s="598"/>
      <c r="G605" s="3"/>
      <c r="H605" s="474"/>
      <c r="I605" s="474"/>
    </row>
    <row r="606">
      <c r="A606" s="20"/>
      <c r="B606" s="20"/>
      <c r="C606" s="120" t="s">
        <v>43</v>
      </c>
      <c r="D606" s="121">
        <v>1.0</v>
      </c>
      <c r="E606" s="121">
        <v>23.0</v>
      </c>
      <c r="F606" s="121">
        <f>D606*E606</f>
        <v>23</v>
      </c>
      <c r="G606" s="120" t="s">
        <v>772</v>
      </c>
      <c r="H606" s="474"/>
      <c r="I606" s="474"/>
    </row>
    <row r="607">
      <c r="A607" s="129" t="s">
        <v>1116</v>
      </c>
      <c r="B607" s="2"/>
      <c r="C607" s="3"/>
      <c r="D607" s="121">
        <v>1.0</v>
      </c>
      <c r="E607" s="130" t="s">
        <v>1117</v>
      </c>
      <c r="F607" s="121">
        <f>F606</f>
        <v>23</v>
      </c>
      <c r="G607" s="120"/>
      <c r="H607" s="474"/>
      <c r="I607" s="474"/>
    </row>
    <row r="608">
      <c r="A608" s="129" t="s">
        <v>800</v>
      </c>
      <c r="B608" s="2"/>
      <c r="C608" s="3"/>
      <c r="D608" s="121">
        <v>1.0</v>
      </c>
      <c r="E608" s="130" t="s">
        <v>1117</v>
      </c>
      <c r="F608" s="121">
        <f>F607/D607</f>
        <v>23</v>
      </c>
      <c r="G608" s="120"/>
      <c r="H608" s="474"/>
      <c r="I608" s="474"/>
    </row>
    <row r="609">
      <c r="A609" s="133" t="s">
        <v>802</v>
      </c>
      <c r="B609" s="2"/>
      <c r="C609" s="2"/>
      <c r="D609" s="3"/>
      <c r="E609" s="121"/>
      <c r="F609" s="121">
        <f>F608*1%</f>
        <v>0.23</v>
      </c>
      <c r="G609" s="120"/>
      <c r="H609" s="474"/>
      <c r="I609" s="474"/>
    </row>
    <row r="610">
      <c r="A610" s="133" t="s">
        <v>42</v>
      </c>
      <c r="B610" s="2"/>
      <c r="C610" s="2"/>
      <c r="D610" s="3"/>
      <c r="E610" s="131"/>
      <c r="F610" s="121">
        <f>F609+F608</f>
        <v>23.23</v>
      </c>
      <c r="G610" s="120"/>
      <c r="H610" s="474"/>
      <c r="I610" s="474"/>
    </row>
    <row r="611">
      <c r="A611" s="133" t="s">
        <v>806</v>
      </c>
      <c r="B611" s="2"/>
      <c r="C611" s="2"/>
      <c r="D611" s="3"/>
      <c r="E611" s="121"/>
      <c r="F611" s="121">
        <f>F610*15%</f>
        <v>3.4845</v>
      </c>
      <c r="G611" s="120"/>
      <c r="H611" s="474"/>
      <c r="I611" s="474"/>
    </row>
    <row r="612">
      <c r="A612" s="133" t="s">
        <v>42</v>
      </c>
      <c r="B612" s="2"/>
      <c r="C612" s="2"/>
      <c r="D612" s="3"/>
      <c r="E612" s="131"/>
      <c r="F612" s="300">
        <f>round(F611+F610,2)</f>
        <v>26.71</v>
      </c>
      <c r="G612" s="120"/>
      <c r="H612" s="474"/>
      <c r="I612" s="474"/>
    </row>
    <row r="613">
      <c r="A613" s="124" t="s">
        <v>843</v>
      </c>
      <c r="B613" s="2"/>
      <c r="C613" s="2"/>
      <c r="D613" s="2"/>
      <c r="E613" s="2"/>
      <c r="F613" s="3"/>
      <c r="G613" s="125" t="s">
        <v>778</v>
      </c>
      <c r="H613" s="474"/>
      <c r="I613" s="474"/>
    </row>
    <row r="614">
      <c r="A614" s="127">
        <v>9999.0</v>
      </c>
      <c r="B614" s="475"/>
      <c r="C614" s="123" t="s">
        <v>1626</v>
      </c>
      <c r="D614" s="2"/>
      <c r="E614" s="3"/>
      <c r="F614" s="598"/>
      <c r="G614" s="3"/>
      <c r="H614" s="474"/>
      <c r="I614" s="474"/>
    </row>
    <row r="615">
      <c r="A615" s="20"/>
      <c r="B615" s="20"/>
      <c r="C615" s="120" t="s">
        <v>107</v>
      </c>
      <c r="D615" s="121">
        <v>2.73</v>
      </c>
      <c r="E615" s="121">
        <v>2.12</v>
      </c>
      <c r="F615" s="121">
        <v>5.79</v>
      </c>
      <c r="G615" s="120" t="s">
        <v>846</v>
      </c>
      <c r="H615" s="474"/>
      <c r="I615" s="474"/>
    </row>
    <row r="616">
      <c r="A616" s="127">
        <v>9999.0</v>
      </c>
      <c r="B616" s="475"/>
      <c r="C616" s="123" t="s">
        <v>1629</v>
      </c>
      <c r="D616" s="2"/>
      <c r="E616" s="3"/>
      <c r="F616" s="598"/>
      <c r="G616" s="3"/>
      <c r="H616" s="474"/>
      <c r="I616" s="474"/>
    </row>
    <row r="617">
      <c r="A617" s="20"/>
      <c r="B617" s="20"/>
      <c r="C617" s="120" t="s">
        <v>107</v>
      </c>
      <c r="D617" s="121">
        <v>9.36</v>
      </c>
      <c r="E617" s="121">
        <v>2.12</v>
      </c>
      <c r="F617" s="121">
        <f>D617*E617</f>
        <v>19.8432</v>
      </c>
      <c r="G617" s="120" t="s">
        <v>850</v>
      </c>
      <c r="H617" s="474"/>
      <c r="I617" s="474"/>
    </row>
    <row r="618">
      <c r="A618" s="129" t="s">
        <v>42</v>
      </c>
      <c r="B618" s="2"/>
      <c r="C618" s="3"/>
      <c r="D618" s="121">
        <v>1.0</v>
      </c>
      <c r="E618" s="130" t="s">
        <v>1117</v>
      </c>
      <c r="F618" s="121">
        <f>F617+F615</f>
        <v>25.6332</v>
      </c>
      <c r="G618" s="599"/>
      <c r="H618" s="474"/>
      <c r="I618" s="474"/>
    </row>
    <row r="619">
      <c r="A619" s="129" t="s">
        <v>800</v>
      </c>
      <c r="B619" s="2"/>
      <c r="C619" s="3"/>
      <c r="D619" s="121">
        <v>1.0</v>
      </c>
      <c r="E619" s="130" t="s">
        <v>1117</v>
      </c>
      <c r="F619" s="121">
        <f>F618/D618</f>
        <v>25.6332</v>
      </c>
      <c r="G619" s="599"/>
      <c r="H619" s="474"/>
      <c r="I619" s="474"/>
    </row>
    <row r="620">
      <c r="A620" s="133" t="s">
        <v>802</v>
      </c>
      <c r="B620" s="2"/>
      <c r="C620" s="2"/>
      <c r="D620" s="3"/>
      <c r="E620" s="121">
        <v>48.63</v>
      </c>
      <c r="F620" s="121">
        <f>F619*1%</f>
        <v>0.256332</v>
      </c>
      <c r="G620" s="599"/>
      <c r="H620" s="474"/>
      <c r="I620" s="474"/>
    </row>
    <row r="621">
      <c r="A621" s="133" t="s">
        <v>42</v>
      </c>
      <c r="B621" s="2"/>
      <c r="C621" s="2"/>
      <c r="D621" s="3"/>
      <c r="E621" s="599"/>
      <c r="F621" s="121">
        <f>F620+F619</f>
        <v>25.889532</v>
      </c>
      <c r="G621" s="599"/>
      <c r="H621" s="474"/>
      <c r="I621" s="474"/>
    </row>
    <row r="622">
      <c r="A622" s="133" t="s">
        <v>806</v>
      </c>
      <c r="B622" s="2"/>
      <c r="C622" s="2"/>
      <c r="D622" s="3"/>
      <c r="E622" s="121">
        <v>49.12</v>
      </c>
      <c r="F622" s="121">
        <f>F621*15%</f>
        <v>3.8834298</v>
      </c>
      <c r="G622" s="599"/>
      <c r="H622" s="474"/>
      <c r="I622" s="474"/>
    </row>
    <row r="623">
      <c r="A623" s="133" t="s">
        <v>42</v>
      </c>
      <c r="B623" s="2"/>
      <c r="C623" s="2"/>
      <c r="D623" s="3"/>
      <c r="E623" s="599"/>
      <c r="F623" s="300">
        <f>round(F622+F621,2)</f>
        <v>29.77</v>
      </c>
      <c r="G623" s="599"/>
      <c r="H623" s="474"/>
      <c r="I623" s="474"/>
    </row>
    <row r="624">
      <c r="A624" s="455" t="str">
        <f>CONCATENATE("Say ₹ ",F612," + ",F623," x Cost Index")</f>
        <v>Say ₹ 26.71 + 29.77 x Cost Index</v>
      </c>
      <c r="B624" s="2"/>
      <c r="C624" s="2"/>
      <c r="D624" s="2"/>
      <c r="E624" s="2"/>
      <c r="F624" s="2"/>
      <c r="G624" s="3"/>
      <c r="H624" s="474">
        <f>((F606*1.01*1.15))</f>
        <v>26.7145</v>
      </c>
      <c r="I624" s="474">
        <f>((SUM(F615,F617)*1.01*1.15))</f>
        <v>29.7729618</v>
      </c>
    </row>
    <row r="625">
      <c r="A625" s="111" t="s">
        <v>742</v>
      </c>
      <c r="B625" s="111" t="s">
        <v>745</v>
      </c>
      <c r="C625" s="112" t="s">
        <v>6</v>
      </c>
      <c r="D625" s="2"/>
      <c r="E625" s="3"/>
      <c r="F625" s="112" t="s">
        <v>746</v>
      </c>
      <c r="G625" s="3"/>
      <c r="H625" s="474"/>
      <c r="I625" s="474"/>
    </row>
    <row r="626">
      <c r="A626" s="20"/>
      <c r="B626" s="20"/>
      <c r="C626" s="115" t="s">
        <v>8</v>
      </c>
      <c r="D626" s="115" t="s">
        <v>9</v>
      </c>
      <c r="E626" s="115" t="s">
        <v>358</v>
      </c>
      <c r="F626" s="115" t="s">
        <v>11</v>
      </c>
      <c r="G626" s="115" t="s">
        <v>751</v>
      </c>
      <c r="H626" s="474"/>
      <c r="I626" s="474"/>
    </row>
    <row r="627">
      <c r="A627" s="596" t="s">
        <v>2057</v>
      </c>
      <c r="B627" s="2"/>
      <c r="C627" s="2"/>
      <c r="D627" s="2"/>
      <c r="E627" s="2"/>
      <c r="F627" s="2"/>
      <c r="G627" s="3"/>
      <c r="H627" s="474"/>
      <c r="I627" s="474"/>
    </row>
    <row r="628">
      <c r="A628" s="597"/>
      <c r="B628" s="120" t="s">
        <v>754</v>
      </c>
      <c r="C628" s="120" t="s">
        <v>1117</v>
      </c>
      <c r="D628" s="120" t="s">
        <v>757</v>
      </c>
      <c r="E628" s="121">
        <v>1.0</v>
      </c>
      <c r="F628" s="598"/>
      <c r="G628" s="3"/>
      <c r="H628" s="474"/>
      <c r="I628" s="474"/>
    </row>
    <row r="629">
      <c r="A629" s="120" t="s">
        <v>761</v>
      </c>
      <c r="B629" s="123" t="s">
        <v>1617</v>
      </c>
      <c r="C629" s="2"/>
      <c r="D629" s="2"/>
      <c r="E629" s="2"/>
      <c r="F629" s="2"/>
      <c r="G629" s="3"/>
      <c r="H629" s="474"/>
      <c r="I629" s="474"/>
    </row>
    <row r="630">
      <c r="A630" s="124" t="s">
        <v>764</v>
      </c>
      <c r="B630" s="2"/>
      <c r="C630" s="2"/>
      <c r="D630" s="2"/>
      <c r="E630" s="2"/>
      <c r="F630" s="3"/>
      <c r="G630" s="125" t="s">
        <v>766</v>
      </c>
      <c r="H630" s="474"/>
      <c r="I630" s="474"/>
    </row>
    <row r="631">
      <c r="A631" s="475"/>
      <c r="B631" s="127" t="s">
        <v>2058</v>
      </c>
      <c r="C631" s="123" t="s">
        <v>2059</v>
      </c>
      <c r="D631" s="2"/>
      <c r="E631" s="3"/>
      <c r="F631" s="598"/>
      <c r="G631" s="3"/>
      <c r="H631" s="474"/>
      <c r="I631" s="474"/>
    </row>
    <row r="632">
      <c r="A632" s="20"/>
      <c r="B632" s="20"/>
      <c r="C632" s="120" t="s">
        <v>43</v>
      </c>
      <c r="D632" s="121">
        <v>1.0</v>
      </c>
      <c r="E632" s="121">
        <v>28.0</v>
      </c>
      <c r="F632" s="121">
        <f>D632*E632</f>
        <v>28</v>
      </c>
      <c r="G632" s="120" t="s">
        <v>772</v>
      </c>
      <c r="H632" s="474"/>
      <c r="I632" s="474"/>
    </row>
    <row r="633">
      <c r="A633" s="129" t="s">
        <v>1116</v>
      </c>
      <c r="B633" s="2"/>
      <c r="C633" s="3"/>
      <c r="D633" s="121">
        <v>1.0</v>
      </c>
      <c r="E633" s="130" t="s">
        <v>1117</v>
      </c>
      <c r="F633" s="121">
        <f>F632</f>
        <v>28</v>
      </c>
      <c r="G633" s="120"/>
      <c r="H633" s="468"/>
      <c r="I633" s="468"/>
    </row>
    <row r="634">
      <c r="A634" s="129" t="s">
        <v>800</v>
      </c>
      <c r="B634" s="2"/>
      <c r="C634" s="3"/>
      <c r="D634" s="121">
        <v>1.0</v>
      </c>
      <c r="E634" s="130" t="s">
        <v>1117</v>
      </c>
      <c r="F634" s="121">
        <f>F633/D633</f>
        <v>28</v>
      </c>
      <c r="G634" s="120"/>
      <c r="H634" s="468"/>
      <c r="I634" s="468"/>
    </row>
    <row r="635">
      <c r="A635" s="133" t="s">
        <v>802</v>
      </c>
      <c r="B635" s="2"/>
      <c r="C635" s="2"/>
      <c r="D635" s="3"/>
      <c r="E635" s="121"/>
      <c r="F635" s="121">
        <f>F634*1%</f>
        <v>0.28</v>
      </c>
      <c r="G635" s="120"/>
      <c r="H635" s="468"/>
      <c r="I635" s="468"/>
    </row>
    <row r="636">
      <c r="A636" s="133" t="s">
        <v>42</v>
      </c>
      <c r="B636" s="2"/>
      <c r="C636" s="2"/>
      <c r="D636" s="3"/>
      <c r="E636" s="131"/>
      <c r="F636" s="121">
        <f>F635+F634</f>
        <v>28.28</v>
      </c>
      <c r="G636" s="120"/>
      <c r="H636" s="468"/>
      <c r="I636" s="468"/>
    </row>
    <row r="637">
      <c r="A637" s="133" t="s">
        <v>806</v>
      </c>
      <c r="B637" s="2"/>
      <c r="C637" s="2"/>
      <c r="D637" s="3"/>
      <c r="E637" s="121"/>
      <c r="F637" s="121">
        <f>F636*15%</f>
        <v>4.242</v>
      </c>
      <c r="G637" s="120"/>
      <c r="H637" s="468"/>
      <c r="I637" s="468"/>
    </row>
    <row r="638">
      <c r="A638" s="133" t="s">
        <v>42</v>
      </c>
      <c r="B638" s="2"/>
      <c r="C638" s="2"/>
      <c r="D638" s="3"/>
      <c r="E638" s="131"/>
      <c r="F638" s="300">
        <f>round(F637+F636,2)</f>
        <v>32.52</v>
      </c>
      <c r="G638" s="120"/>
      <c r="H638" s="468"/>
      <c r="I638" s="468"/>
    </row>
    <row r="639">
      <c r="A639" s="124" t="s">
        <v>843</v>
      </c>
      <c r="B639" s="2"/>
      <c r="C639" s="2"/>
      <c r="D639" s="2"/>
      <c r="E639" s="2"/>
      <c r="F639" s="3"/>
      <c r="G639" s="125" t="s">
        <v>778</v>
      </c>
      <c r="H639" s="474"/>
      <c r="I639" s="474"/>
    </row>
    <row r="640">
      <c r="A640" s="127">
        <v>9999.0</v>
      </c>
      <c r="B640" s="475"/>
      <c r="C640" s="123" t="s">
        <v>1626</v>
      </c>
      <c r="D640" s="2"/>
      <c r="E640" s="3"/>
      <c r="F640" s="598"/>
      <c r="G640" s="3"/>
      <c r="H640" s="474"/>
      <c r="I640" s="474"/>
    </row>
    <row r="641">
      <c r="A641" s="20"/>
      <c r="B641" s="20"/>
      <c r="C641" s="120" t="s">
        <v>107</v>
      </c>
      <c r="D641" s="121">
        <v>2.73</v>
      </c>
      <c r="E641" s="121">
        <v>2.12</v>
      </c>
      <c r="F641" s="121">
        <f>D641*E641</f>
        <v>5.7876</v>
      </c>
      <c r="G641" s="120" t="s">
        <v>846</v>
      </c>
      <c r="H641" s="474"/>
      <c r="I641" s="474"/>
    </row>
    <row r="642">
      <c r="A642" s="127">
        <v>9999.0</v>
      </c>
      <c r="B642" s="475"/>
      <c r="C642" s="123" t="s">
        <v>1629</v>
      </c>
      <c r="D642" s="2"/>
      <c r="E642" s="3"/>
      <c r="F642" s="598"/>
      <c r="G642" s="3"/>
      <c r="H642" s="474"/>
      <c r="I642" s="474"/>
    </row>
    <row r="643">
      <c r="A643" s="20"/>
      <c r="B643" s="20"/>
      <c r="C643" s="120" t="s">
        <v>107</v>
      </c>
      <c r="D643" s="121">
        <v>10.79</v>
      </c>
      <c r="E643" s="121">
        <v>2.12</v>
      </c>
      <c r="F643" s="121">
        <f>D643*E643</f>
        <v>22.8748</v>
      </c>
      <c r="G643" s="120" t="s">
        <v>850</v>
      </c>
      <c r="H643" s="474"/>
      <c r="I643" s="474"/>
    </row>
    <row r="644">
      <c r="A644" s="129" t="s">
        <v>42</v>
      </c>
      <c r="B644" s="2"/>
      <c r="C644" s="3"/>
      <c r="D644" s="121">
        <v>1.0</v>
      </c>
      <c r="E644" s="130" t="s">
        <v>1117</v>
      </c>
      <c r="F644" s="121">
        <f>F643+F641</f>
        <v>28.6624</v>
      </c>
      <c r="G644" s="599"/>
      <c r="H644" s="474"/>
      <c r="I644" s="474"/>
    </row>
    <row r="645">
      <c r="A645" s="129" t="s">
        <v>800</v>
      </c>
      <c r="B645" s="2"/>
      <c r="C645" s="3"/>
      <c r="D645" s="121">
        <v>1.0</v>
      </c>
      <c r="E645" s="130" t="s">
        <v>1117</v>
      </c>
      <c r="F645" s="121">
        <f>F644/D644</f>
        <v>28.6624</v>
      </c>
      <c r="G645" s="599"/>
      <c r="H645" s="474"/>
      <c r="I645" s="474"/>
    </row>
    <row r="646">
      <c r="A646" s="133" t="s">
        <v>802</v>
      </c>
      <c r="B646" s="2"/>
      <c r="C646" s="2"/>
      <c r="D646" s="3"/>
      <c r="E646" s="121">
        <v>56.66</v>
      </c>
      <c r="F646" s="121">
        <f>F645*1%</f>
        <v>0.286624</v>
      </c>
      <c r="G646" s="599"/>
      <c r="H646" s="474"/>
      <c r="I646" s="474"/>
    </row>
    <row r="647">
      <c r="A647" s="133" t="s">
        <v>42</v>
      </c>
      <c r="B647" s="2"/>
      <c r="C647" s="2"/>
      <c r="D647" s="3"/>
      <c r="E647" s="599"/>
      <c r="F647" s="121">
        <f>F646+F645</f>
        <v>28.949024</v>
      </c>
      <c r="G647" s="599"/>
      <c r="H647" s="474"/>
      <c r="I647" s="474"/>
    </row>
    <row r="648">
      <c r="A648" s="133" t="s">
        <v>806</v>
      </c>
      <c r="B648" s="2"/>
      <c r="C648" s="2"/>
      <c r="D648" s="3"/>
      <c r="E648" s="121">
        <v>57.23</v>
      </c>
      <c r="F648" s="121">
        <f>F647*15%</f>
        <v>4.3423536</v>
      </c>
      <c r="G648" s="599"/>
      <c r="H648" s="474"/>
      <c r="I648" s="474"/>
    </row>
    <row r="649">
      <c r="A649" s="133" t="s">
        <v>42</v>
      </c>
      <c r="B649" s="2"/>
      <c r="C649" s="2"/>
      <c r="D649" s="3"/>
      <c r="E649" s="599"/>
      <c r="F649" s="300">
        <f>round(F648+F647,2)</f>
        <v>33.29</v>
      </c>
      <c r="G649" s="599"/>
      <c r="H649" s="474"/>
      <c r="I649" s="474"/>
    </row>
    <row r="650">
      <c r="A650" s="152" t="s">
        <v>810</v>
      </c>
      <c r="B650" s="2"/>
      <c r="C650" s="2"/>
      <c r="D650" s="3"/>
      <c r="E650" s="600"/>
      <c r="F650" s="601" t="s">
        <v>2063</v>
      </c>
      <c r="G650" s="600"/>
      <c r="H650" s="474">
        <f>((F632*1.01*1.15))</f>
        <v>32.522</v>
      </c>
      <c r="I650" s="474">
        <f>((SUM(F641,F643)*1.01*1.15))</f>
        <v>33.2913776</v>
      </c>
    </row>
    <row r="651">
      <c r="A651" s="111" t="s">
        <v>742</v>
      </c>
      <c r="B651" s="111" t="s">
        <v>745</v>
      </c>
      <c r="C651" s="112" t="s">
        <v>6</v>
      </c>
      <c r="D651" s="2"/>
      <c r="E651" s="3"/>
      <c r="F651" s="112" t="s">
        <v>746</v>
      </c>
      <c r="G651" s="3"/>
      <c r="H651" s="474"/>
      <c r="I651" s="474"/>
    </row>
    <row r="652">
      <c r="A652" s="20"/>
      <c r="B652" s="20"/>
      <c r="C652" s="115" t="s">
        <v>8</v>
      </c>
      <c r="D652" s="115" t="s">
        <v>9</v>
      </c>
      <c r="E652" s="115" t="s">
        <v>358</v>
      </c>
      <c r="F652" s="115" t="s">
        <v>11</v>
      </c>
      <c r="G652" s="115" t="s">
        <v>751</v>
      </c>
      <c r="H652" s="474"/>
      <c r="I652" s="474"/>
    </row>
    <row r="653">
      <c r="A653" s="513" t="s">
        <v>2069</v>
      </c>
      <c r="B653" s="2"/>
      <c r="C653" s="2"/>
      <c r="D653" s="2"/>
      <c r="E653" s="2"/>
      <c r="F653" s="2"/>
      <c r="G653" s="3"/>
      <c r="H653" s="474"/>
      <c r="I653" s="474"/>
    </row>
    <row r="654">
      <c r="A654" s="597"/>
      <c r="B654" s="120" t="s">
        <v>754</v>
      </c>
      <c r="C654" s="120" t="s">
        <v>1117</v>
      </c>
      <c r="D654" s="120" t="s">
        <v>757</v>
      </c>
      <c r="E654" s="121">
        <v>1.0</v>
      </c>
      <c r="F654" s="598"/>
      <c r="G654" s="3"/>
      <c r="H654" s="474"/>
      <c r="I654" s="474"/>
    </row>
    <row r="655">
      <c r="A655" s="120" t="s">
        <v>761</v>
      </c>
      <c r="B655" s="123" t="s">
        <v>1617</v>
      </c>
      <c r="C655" s="2"/>
      <c r="D655" s="2"/>
      <c r="E655" s="2"/>
      <c r="F655" s="2"/>
      <c r="G655" s="3"/>
      <c r="H655" s="474"/>
      <c r="I655" s="474"/>
    </row>
    <row r="656">
      <c r="A656" s="124" t="s">
        <v>764</v>
      </c>
      <c r="B656" s="2"/>
      <c r="C656" s="2"/>
      <c r="D656" s="2"/>
      <c r="E656" s="2"/>
      <c r="F656" s="3"/>
      <c r="G656" s="125" t="s">
        <v>766</v>
      </c>
      <c r="H656" s="474"/>
      <c r="I656" s="474"/>
    </row>
    <row r="657">
      <c r="A657" s="475"/>
      <c r="B657" s="127" t="s">
        <v>2088</v>
      </c>
      <c r="C657" s="123" t="s">
        <v>2090</v>
      </c>
      <c r="D657" s="2"/>
      <c r="E657" s="3"/>
      <c r="F657" s="598"/>
      <c r="G657" s="3"/>
      <c r="H657" s="474"/>
      <c r="I657" s="474"/>
    </row>
    <row r="658">
      <c r="A658" s="20"/>
      <c r="B658" s="20"/>
      <c r="C658" s="120" t="s">
        <v>43</v>
      </c>
      <c r="D658" s="121">
        <v>1.0</v>
      </c>
      <c r="E658" s="121">
        <v>22.0</v>
      </c>
      <c r="F658" s="121">
        <f>D658*E658</f>
        <v>22</v>
      </c>
      <c r="G658" s="120" t="s">
        <v>772</v>
      </c>
      <c r="H658" s="474"/>
      <c r="I658" s="474"/>
    </row>
    <row r="659">
      <c r="A659" s="129" t="s">
        <v>1116</v>
      </c>
      <c r="B659" s="2"/>
      <c r="C659" s="3"/>
      <c r="D659" s="121">
        <v>1.0</v>
      </c>
      <c r="E659" s="130" t="s">
        <v>1117</v>
      </c>
      <c r="F659" s="121">
        <f>F658</f>
        <v>22</v>
      </c>
      <c r="G659" s="120"/>
      <c r="H659" s="468"/>
      <c r="I659" s="468"/>
    </row>
    <row r="660">
      <c r="A660" s="129" t="s">
        <v>800</v>
      </c>
      <c r="B660" s="2"/>
      <c r="C660" s="3"/>
      <c r="D660" s="121">
        <v>1.0</v>
      </c>
      <c r="E660" s="130" t="s">
        <v>1117</v>
      </c>
      <c r="F660" s="121">
        <f>F659/D659</f>
        <v>22</v>
      </c>
      <c r="G660" s="120"/>
      <c r="H660" s="468"/>
      <c r="I660" s="468"/>
    </row>
    <row r="661">
      <c r="A661" s="133" t="s">
        <v>802</v>
      </c>
      <c r="B661" s="2"/>
      <c r="C661" s="2"/>
      <c r="D661" s="3"/>
      <c r="E661" s="121"/>
      <c r="F661" s="121">
        <f>F660*1%</f>
        <v>0.22</v>
      </c>
      <c r="G661" s="120"/>
      <c r="H661" s="468"/>
      <c r="I661" s="468"/>
    </row>
    <row r="662">
      <c r="A662" s="133" t="s">
        <v>42</v>
      </c>
      <c r="B662" s="2"/>
      <c r="C662" s="2"/>
      <c r="D662" s="3"/>
      <c r="E662" s="131"/>
      <c r="F662" s="121">
        <f>F661+F660</f>
        <v>22.22</v>
      </c>
      <c r="G662" s="120"/>
      <c r="H662" s="468"/>
      <c r="I662" s="468"/>
    </row>
    <row r="663">
      <c r="A663" s="133" t="s">
        <v>806</v>
      </c>
      <c r="B663" s="2"/>
      <c r="C663" s="2"/>
      <c r="D663" s="3"/>
      <c r="E663" s="121"/>
      <c r="F663" s="121">
        <f>F662*15%</f>
        <v>3.333</v>
      </c>
      <c r="G663" s="120"/>
      <c r="H663" s="468"/>
      <c r="I663" s="468"/>
    </row>
    <row r="664">
      <c r="A664" s="133" t="s">
        <v>42</v>
      </c>
      <c r="B664" s="2"/>
      <c r="C664" s="2"/>
      <c r="D664" s="3"/>
      <c r="E664" s="131"/>
      <c r="F664" s="300">
        <f>round(F663+F662,2)</f>
        <v>25.55</v>
      </c>
      <c r="G664" s="120"/>
      <c r="H664" s="468"/>
      <c r="I664" s="468"/>
    </row>
    <row r="665">
      <c r="A665" s="124" t="s">
        <v>843</v>
      </c>
      <c r="B665" s="2"/>
      <c r="C665" s="2"/>
      <c r="D665" s="2"/>
      <c r="E665" s="2"/>
      <c r="F665" s="3"/>
      <c r="G665" s="125" t="s">
        <v>778</v>
      </c>
      <c r="H665" s="474"/>
      <c r="I665" s="474"/>
    </row>
    <row r="666">
      <c r="A666" s="127">
        <v>9999.0</v>
      </c>
      <c r="B666" s="475"/>
      <c r="C666" s="123" t="s">
        <v>1626</v>
      </c>
      <c r="D666" s="2"/>
      <c r="E666" s="3"/>
      <c r="F666" s="598"/>
      <c r="G666" s="3"/>
      <c r="H666" s="474"/>
      <c r="I666" s="474"/>
    </row>
    <row r="667">
      <c r="A667" s="20"/>
      <c r="B667" s="20"/>
      <c r="C667" s="120" t="s">
        <v>107</v>
      </c>
      <c r="D667" s="121">
        <v>2.73</v>
      </c>
      <c r="E667" s="121">
        <v>2.12</v>
      </c>
      <c r="F667" s="121">
        <f>D667*E667</f>
        <v>5.7876</v>
      </c>
      <c r="G667" s="120" t="s">
        <v>846</v>
      </c>
      <c r="H667" s="474"/>
      <c r="I667" s="474"/>
    </row>
    <row r="668">
      <c r="A668" s="127">
        <v>9999.0</v>
      </c>
      <c r="B668" s="475"/>
      <c r="C668" s="123" t="s">
        <v>1629</v>
      </c>
      <c r="D668" s="2"/>
      <c r="E668" s="3"/>
      <c r="F668" s="598"/>
      <c r="G668" s="3"/>
      <c r="H668" s="474"/>
      <c r="I668" s="474"/>
    </row>
    <row r="669">
      <c r="A669" s="20"/>
      <c r="B669" s="20"/>
      <c r="C669" s="120" t="s">
        <v>107</v>
      </c>
      <c r="D669" s="121">
        <v>9.36</v>
      </c>
      <c r="E669" s="121">
        <v>2.12</v>
      </c>
      <c r="F669" s="121">
        <f>D669*E669</f>
        <v>19.8432</v>
      </c>
      <c r="G669" s="120" t="s">
        <v>850</v>
      </c>
      <c r="H669" s="474"/>
      <c r="I669" s="474"/>
    </row>
    <row r="670">
      <c r="A670" s="129" t="s">
        <v>42</v>
      </c>
      <c r="B670" s="2"/>
      <c r="C670" s="3"/>
      <c r="D670" s="121">
        <v>1.0</v>
      </c>
      <c r="E670" s="130" t="s">
        <v>1117</v>
      </c>
      <c r="F670" s="121">
        <f>F669+F667</f>
        <v>25.6308</v>
      </c>
      <c r="G670" s="599"/>
      <c r="H670" s="474"/>
      <c r="I670" s="474"/>
    </row>
    <row r="671">
      <c r="A671" s="129" t="s">
        <v>800</v>
      </c>
      <c r="B671" s="2"/>
      <c r="C671" s="3"/>
      <c r="D671" s="121">
        <v>1.0</v>
      </c>
      <c r="E671" s="130" t="s">
        <v>1117</v>
      </c>
      <c r="F671" s="121">
        <f>F670/D670</f>
        <v>25.6308</v>
      </c>
      <c r="G671" s="599"/>
      <c r="H671" s="474"/>
      <c r="I671" s="474"/>
    </row>
    <row r="672">
      <c r="A672" s="133" t="s">
        <v>802</v>
      </c>
      <c r="B672" s="2"/>
      <c r="C672" s="2"/>
      <c r="D672" s="3"/>
      <c r="E672" s="121">
        <v>44.63</v>
      </c>
      <c r="F672" s="121">
        <f>F671*1%</f>
        <v>0.256308</v>
      </c>
      <c r="G672" s="599"/>
      <c r="H672" s="474"/>
      <c r="I672" s="474"/>
    </row>
    <row r="673">
      <c r="A673" s="133" t="s">
        <v>42</v>
      </c>
      <c r="B673" s="2"/>
      <c r="C673" s="2"/>
      <c r="D673" s="3"/>
      <c r="E673" s="599"/>
      <c r="F673" s="121">
        <f>F672+F671</f>
        <v>25.887108</v>
      </c>
      <c r="G673" s="599"/>
      <c r="H673" s="474"/>
      <c r="I673" s="474"/>
    </row>
    <row r="674">
      <c r="A674" s="133" t="s">
        <v>806</v>
      </c>
      <c r="B674" s="2"/>
      <c r="C674" s="2"/>
      <c r="D674" s="3"/>
      <c r="E674" s="121">
        <v>45.08</v>
      </c>
      <c r="F674" s="121">
        <f>F673*15%</f>
        <v>3.8830662</v>
      </c>
      <c r="G674" s="599"/>
      <c r="H674" s="474"/>
      <c r="I674" s="474"/>
    </row>
    <row r="675">
      <c r="A675" s="133" t="s">
        <v>42</v>
      </c>
      <c r="B675" s="2"/>
      <c r="C675" s="2"/>
      <c r="D675" s="3"/>
      <c r="E675" s="599"/>
      <c r="F675" s="300">
        <f>round(F674+F673,2)</f>
        <v>29.77</v>
      </c>
      <c r="G675" s="599"/>
      <c r="H675" s="474"/>
      <c r="I675" s="474"/>
    </row>
    <row r="676">
      <c r="A676" s="455" t="str">
        <f>CONCATENATE("Say ₹ ",F664," + ",F675," x Cost Index")</f>
        <v>Say ₹ 25.55 + 29.77 x Cost Index</v>
      </c>
      <c r="B676" s="2"/>
      <c r="C676" s="2"/>
      <c r="D676" s="2"/>
      <c r="E676" s="2"/>
      <c r="F676" s="2"/>
      <c r="G676" s="3"/>
      <c r="H676" s="474">
        <f>((F658*1.01*1.15))</f>
        <v>25.553</v>
      </c>
      <c r="I676" s="474">
        <f>((SUM(F667,F669)*1.01*1.15))</f>
        <v>29.7701742</v>
      </c>
    </row>
    <row r="677">
      <c r="A677" s="111" t="s">
        <v>742</v>
      </c>
      <c r="B677" s="111" t="s">
        <v>745</v>
      </c>
      <c r="C677" s="112" t="s">
        <v>6</v>
      </c>
      <c r="D677" s="2"/>
      <c r="E677" s="3"/>
      <c r="F677" s="112" t="s">
        <v>746</v>
      </c>
      <c r="G677" s="3"/>
      <c r="H677" s="474"/>
      <c r="I677" s="474"/>
    </row>
    <row r="678">
      <c r="A678" s="20"/>
      <c r="B678" s="20"/>
      <c r="C678" s="115" t="s">
        <v>8</v>
      </c>
      <c r="D678" s="115" t="s">
        <v>9</v>
      </c>
      <c r="E678" s="115" t="s">
        <v>358</v>
      </c>
      <c r="F678" s="115" t="s">
        <v>11</v>
      </c>
      <c r="G678" s="115" t="s">
        <v>751</v>
      </c>
      <c r="H678" s="474"/>
      <c r="I678" s="474"/>
    </row>
    <row r="679">
      <c r="A679" s="513" t="s">
        <v>2100</v>
      </c>
      <c r="B679" s="2"/>
      <c r="C679" s="2"/>
      <c r="D679" s="2"/>
      <c r="E679" s="2"/>
      <c r="F679" s="2"/>
      <c r="G679" s="3"/>
      <c r="H679" s="474"/>
      <c r="I679" s="474"/>
    </row>
    <row r="680">
      <c r="A680" s="597"/>
      <c r="B680" s="120" t="s">
        <v>754</v>
      </c>
      <c r="C680" s="120" t="s">
        <v>1117</v>
      </c>
      <c r="D680" s="120" t="s">
        <v>757</v>
      </c>
      <c r="E680" s="121">
        <v>1.0</v>
      </c>
      <c r="F680" s="598"/>
      <c r="G680" s="3"/>
      <c r="H680" s="474"/>
      <c r="I680" s="474"/>
    </row>
    <row r="681">
      <c r="A681" s="120" t="s">
        <v>761</v>
      </c>
      <c r="B681" s="123" t="s">
        <v>1617</v>
      </c>
      <c r="C681" s="2"/>
      <c r="D681" s="2"/>
      <c r="E681" s="2"/>
      <c r="F681" s="2"/>
      <c r="G681" s="3"/>
      <c r="H681" s="474"/>
      <c r="I681" s="474"/>
    </row>
    <row r="682">
      <c r="A682" s="124" t="s">
        <v>764</v>
      </c>
      <c r="B682" s="2"/>
      <c r="C682" s="2"/>
      <c r="D682" s="2"/>
      <c r="E682" s="2"/>
      <c r="F682" s="3"/>
      <c r="G682" s="125" t="s">
        <v>766</v>
      </c>
      <c r="H682" s="474"/>
      <c r="I682" s="474"/>
    </row>
    <row r="683">
      <c r="A683" s="475"/>
      <c r="B683" s="127" t="s">
        <v>2101</v>
      </c>
      <c r="C683" s="123" t="s">
        <v>2102</v>
      </c>
      <c r="D683" s="2"/>
      <c r="E683" s="3"/>
      <c r="F683" s="598"/>
      <c r="G683" s="3"/>
      <c r="H683" s="474"/>
      <c r="I683" s="474"/>
    </row>
    <row r="684">
      <c r="A684" s="20"/>
      <c r="B684" s="20"/>
      <c r="C684" s="120" t="s">
        <v>43</v>
      </c>
      <c r="D684" s="121">
        <v>1.0</v>
      </c>
      <c r="E684" s="121">
        <v>28.0</v>
      </c>
      <c r="F684" s="121">
        <f>D684*E684</f>
        <v>28</v>
      </c>
      <c r="G684" s="120" t="s">
        <v>772</v>
      </c>
      <c r="H684" s="474"/>
      <c r="I684" s="474"/>
    </row>
    <row r="685">
      <c r="A685" s="129" t="s">
        <v>1116</v>
      </c>
      <c r="B685" s="2"/>
      <c r="C685" s="3"/>
      <c r="D685" s="121">
        <v>1.0</v>
      </c>
      <c r="E685" s="130" t="s">
        <v>1117</v>
      </c>
      <c r="F685" s="121">
        <f>F684</f>
        <v>28</v>
      </c>
      <c r="G685" s="120"/>
      <c r="H685" s="468"/>
      <c r="I685" s="468"/>
    </row>
    <row r="686">
      <c r="A686" s="129" t="s">
        <v>800</v>
      </c>
      <c r="B686" s="2"/>
      <c r="C686" s="3"/>
      <c r="D686" s="121">
        <v>1.0</v>
      </c>
      <c r="E686" s="130" t="s">
        <v>1117</v>
      </c>
      <c r="F686" s="121">
        <f>F685/D685</f>
        <v>28</v>
      </c>
      <c r="G686" s="120"/>
      <c r="H686" s="468"/>
      <c r="I686" s="468"/>
    </row>
    <row r="687">
      <c r="A687" s="133" t="s">
        <v>802</v>
      </c>
      <c r="B687" s="2"/>
      <c r="C687" s="2"/>
      <c r="D687" s="3"/>
      <c r="E687" s="121"/>
      <c r="F687" s="121">
        <f>F686*1%</f>
        <v>0.28</v>
      </c>
      <c r="G687" s="120"/>
      <c r="H687" s="468"/>
      <c r="I687" s="468"/>
    </row>
    <row r="688">
      <c r="A688" s="133" t="s">
        <v>42</v>
      </c>
      <c r="B688" s="2"/>
      <c r="C688" s="2"/>
      <c r="D688" s="3"/>
      <c r="E688" s="131"/>
      <c r="F688" s="121">
        <f>F687+F686</f>
        <v>28.28</v>
      </c>
      <c r="G688" s="120"/>
      <c r="H688" s="468"/>
      <c r="I688" s="468"/>
    </row>
    <row r="689">
      <c r="A689" s="133" t="s">
        <v>806</v>
      </c>
      <c r="B689" s="2"/>
      <c r="C689" s="2"/>
      <c r="D689" s="3"/>
      <c r="E689" s="121"/>
      <c r="F689" s="121">
        <f>F688*15%</f>
        <v>4.242</v>
      </c>
      <c r="G689" s="120"/>
      <c r="H689" s="468"/>
      <c r="I689" s="468"/>
    </row>
    <row r="690">
      <c r="A690" s="133" t="s">
        <v>42</v>
      </c>
      <c r="B690" s="2"/>
      <c r="C690" s="2"/>
      <c r="D690" s="3"/>
      <c r="E690" s="131"/>
      <c r="F690" s="300">
        <f>round(F689+F688,2)</f>
        <v>32.52</v>
      </c>
      <c r="G690" s="120"/>
      <c r="H690" s="468"/>
      <c r="I690" s="468"/>
    </row>
    <row r="691">
      <c r="A691" s="124" t="s">
        <v>843</v>
      </c>
      <c r="B691" s="2"/>
      <c r="C691" s="2"/>
      <c r="D691" s="2"/>
      <c r="E691" s="2"/>
      <c r="F691" s="3"/>
      <c r="G691" s="125" t="s">
        <v>778</v>
      </c>
      <c r="H691" s="474"/>
      <c r="I691" s="474"/>
    </row>
    <row r="692">
      <c r="A692" s="127">
        <v>9999.0</v>
      </c>
      <c r="B692" s="475"/>
      <c r="C692" s="123" t="s">
        <v>1626</v>
      </c>
      <c r="D692" s="2"/>
      <c r="E692" s="3"/>
      <c r="F692" s="598"/>
      <c r="G692" s="3"/>
      <c r="H692" s="474"/>
      <c r="I692" s="474"/>
    </row>
    <row r="693">
      <c r="A693" s="20"/>
      <c r="B693" s="20"/>
      <c r="C693" s="120" t="s">
        <v>107</v>
      </c>
      <c r="D693" s="121">
        <v>2.73</v>
      </c>
      <c r="E693" s="121">
        <v>2.12</v>
      </c>
      <c r="F693" s="121">
        <f>D693*E693</f>
        <v>5.7876</v>
      </c>
      <c r="G693" s="120" t="s">
        <v>846</v>
      </c>
      <c r="H693" s="474"/>
      <c r="I693" s="474"/>
    </row>
    <row r="694">
      <c r="A694" s="127">
        <v>9999.0</v>
      </c>
      <c r="B694" s="475"/>
      <c r="C694" s="123" t="s">
        <v>1629</v>
      </c>
      <c r="D694" s="2"/>
      <c r="E694" s="3"/>
      <c r="F694" s="598"/>
      <c r="G694" s="3"/>
      <c r="H694" s="474"/>
      <c r="I694" s="474"/>
    </row>
    <row r="695">
      <c r="A695" s="20"/>
      <c r="B695" s="20"/>
      <c r="C695" s="120" t="s">
        <v>107</v>
      </c>
      <c r="D695" s="121">
        <v>9.36</v>
      </c>
      <c r="E695" s="121">
        <v>2.12</v>
      </c>
      <c r="F695" s="121">
        <f>D695*E695</f>
        <v>19.8432</v>
      </c>
      <c r="G695" s="120" t="s">
        <v>850</v>
      </c>
      <c r="H695" s="474"/>
      <c r="I695" s="474"/>
    </row>
    <row r="696">
      <c r="A696" s="129" t="s">
        <v>42</v>
      </c>
      <c r="B696" s="2"/>
      <c r="C696" s="3"/>
      <c r="D696" s="121">
        <v>1.0</v>
      </c>
      <c r="E696" s="130" t="s">
        <v>1117</v>
      </c>
      <c r="F696" s="121">
        <f>F695+F693</f>
        <v>25.6308</v>
      </c>
      <c r="G696" s="599"/>
      <c r="H696" s="474"/>
      <c r="I696" s="474"/>
    </row>
    <row r="697">
      <c r="A697" s="129" t="s">
        <v>800</v>
      </c>
      <c r="B697" s="2"/>
      <c r="C697" s="3"/>
      <c r="D697" s="121">
        <v>1.0</v>
      </c>
      <c r="E697" s="130" t="s">
        <v>1117</v>
      </c>
      <c r="F697" s="121">
        <f>F696/D696</f>
        <v>25.6308</v>
      </c>
      <c r="G697" s="599"/>
      <c r="H697" s="474"/>
      <c r="I697" s="474"/>
    </row>
    <row r="698">
      <c r="A698" s="133" t="s">
        <v>802</v>
      </c>
      <c r="B698" s="2"/>
      <c r="C698" s="2"/>
      <c r="D698" s="3"/>
      <c r="E698" s="121">
        <v>44.63</v>
      </c>
      <c r="F698" s="121">
        <f>F697*1%</f>
        <v>0.256308</v>
      </c>
      <c r="G698" s="599"/>
      <c r="H698" s="474"/>
      <c r="I698" s="474"/>
    </row>
    <row r="699">
      <c r="A699" s="133" t="s">
        <v>42</v>
      </c>
      <c r="B699" s="2"/>
      <c r="C699" s="2"/>
      <c r="D699" s="3"/>
      <c r="E699" s="599"/>
      <c r="F699" s="121">
        <f>F698+F697</f>
        <v>25.887108</v>
      </c>
      <c r="G699" s="599"/>
      <c r="H699" s="474"/>
      <c r="I699" s="474"/>
    </row>
    <row r="700">
      <c r="A700" s="133" t="s">
        <v>806</v>
      </c>
      <c r="B700" s="2"/>
      <c r="C700" s="2"/>
      <c r="D700" s="3"/>
      <c r="E700" s="121">
        <v>45.08</v>
      </c>
      <c r="F700" s="121">
        <f>F699*15%</f>
        <v>3.8830662</v>
      </c>
      <c r="G700" s="599"/>
      <c r="H700" s="474"/>
      <c r="I700" s="474"/>
    </row>
    <row r="701">
      <c r="A701" s="133" t="s">
        <v>42</v>
      </c>
      <c r="B701" s="2"/>
      <c r="C701" s="2"/>
      <c r="D701" s="3"/>
      <c r="E701" s="599"/>
      <c r="F701" s="300">
        <f>round(F700+F699,2)</f>
        <v>29.77</v>
      </c>
      <c r="G701" s="599"/>
      <c r="H701" s="474"/>
      <c r="I701" s="474"/>
    </row>
    <row r="702">
      <c r="A702" s="455" t="str">
        <f>CONCATENATE("Say ₹ ",F690," + ",F701," x Cost Index")</f>
        <v>Say ₹ 32.52 + 29.77 x Cost Index</v>
      </c>
      <c r="B702" s="2"/>
      <c r="C702" s="2"/>
      <c r="D702" s="2"/>
      <c r="E702" s="2"/>
      <c r="F702" s="2"/>
      <c r="G702" s="3"/>
      <c r="H702" s="474">
        <f>((F684*1.01*1.15))</f>
        <v>32.522</v>
      </c>
      <c r="I702" s="474">
        <f>((SUM(F693,F695)*1.01*1.15))</f>
        <v>29.7701742</v>
      </c>
    </row>
    <row r="703">
      <c r="A703" s="111" t="s">
        <v>742</v>
      </c>
      <c r="B703" s="111" t="s">
        <v>745</v>
      </c>
      <c r="C703" s="112" t="s">
        <v>6</v>
      </c>
      <c r="D703" s="2"/>
      <c r="E703" s="3"/>
      <c r="F703" s="112" t="s">
        <v>746</v>
      </c>
      <c r="G703" s="3"/>
      <c r="H703" s="474"/>
      <c r="I703" s="474"/>
    </row>
    <row r="704">
      <c r="A704" s="20"/>
      <c r="B704" s="20"/>
      <c r="C704" s="115" t="s">
        <v>8</v>
      </c>
      <c r="D704" s="115" t="s">
        <v>9</v>
      </c>
      <c r="E704" s="115" t="s">
        <v>358</v>
      </c>
      <c r="F704" s="115" t="s">
        <v>11</v>
      </c>
      <c r="G704" s="115" t="s">
        <v>751</v>
      </c>
      <c r="H704" s="474"/>
      <c r="I704" s="474"/>
    </row>
    <row r="705">
      <c r="A705" s="513" t="s">
        <v>2110</v>
      </c>
      <c r="B705" s="2"/>
      <c r="C705" s="2"/>
      <c r="D705" s="2"/>
      <c r="E705" s="2"/>
      <c r="F705" s="2"/>
      <c r="G705" s="3"/>
      <c r="H705" s="474"/>
      <c r="I705" s="474"/>
    </row>
    <row r="706">
      <c r="A706" s="597"/>
      <c r="B706" s="120" t="s">
        <v>754</v>
      </c>
      <c r="C706" s="120" t="s">
        <v>1117</v>
      </c>
      <c r="D706" s="120" t="s">
        <v>757</v>
      </c>
      <c r="E706" s="121">
        <v>1.0</v>
      </c>
      <c r="F706" s="598"/>
      <c r="G706" s="3"/>
      <c r="H706" s="474"/>
      <c r="I706" s="474"/>
    </row>
    <row r="707">
      <c r="A707" s="120" t="s">
        <v>761</v>
      </c>
      <c r="B707" s="123" t="s">
        <v>1617</v>
      </c>
      <c r="C707" s="2"/>
      <c r="D707" s="2"/>
      <c r="E707" s="2"/>
      <c r="F707" s="2"/>
      <c r="G707" s="3"/>
      <c r="H707" s="474"/>
      <c r="I707" s="474"/>
    </row>
    <row r="708">
      <c r="A708" s="124" t="s">
        <v>764</v>
      </c>
      <c r="B708" s="2"/>
      <c r="C708" s="2"/>
      <c r="D708" s="2"/>
      <c r="E708" s="2"/>
      <c r="F708" s="3"/>
      <c r="G708" s="125" t="s">
        <v>766</v>
      </c>
      <c r="H708" s="474"/>
      <c r="I708" s="474"/>
    </row>
    <row r="709">
      <c r="A709" s="475"/>
      <c r="B709" s="127" t="s">
        <v>2112</v>
      </c>
      <c r="C709" s="123" t="s">
        <v>2113</v>
      </c>
      <c r="D709" s="2"/>
      <c r="E709" s="3"/>
      <c r="F709" s="598"/>
      <c r="G709" s="3"/>
      <c r="H709" s="474"/>
      <c r="I709" s="474"/>
    </row>
    <row r="710">
      <c r="A710" s="20"/>
      <c r="B710" s="20"/>
      <c r="C710" s="120" t="s">
        <v>43</v>
      </c>
      <c r="D710" s="121">
        <v>1.0</v>
      </c>
      <c r="E710" s="121">
        <v>56.0</v>
      </c>
      <c r="F710" s="121">
        <f>D710*E710</f>
        <v>56</v>
      </c>
      <c r="G710" s="120" t="s">
        <v>772</v>
      </c>
      <c r="H710" s="474"/>
      <c r="I710" s="474"/>
    </row>
    <row r="711">
      <c r="A711" s="129" t="s">
        <v>1116</v>
      </c>
      <c r="B711" s="2"/>
      <c r="C711" s="3"/>
      <c r="D711" s="121">
        <v>1.0</v>
      </c>
      <c r="E711" s="130" t="s">
        <v>1117</v>
      </c>
      <c r="F711" s="121">
        <f>F710</f>
        <v>56</v>
      </c>
      <c r="G711" s="120"/>
      <c r="H711" s="468"/>
      <c r="I711" s="468"/>
    </row>
    <row r="712">
      <c r="A712" s="129" t="s">
        <v>800</v>
      </c>
      <c r="B712" s="2"/>
      <c r="C712" s="3"/>
      <c r="D712" s="121">
        <v>1.0</v>
      </c>
      <c r="E712" s="130" t="s">
        <v>1117</v>
      </c>
      <c r="F712" s="121">
        <f>F711/D711</f>
        <v>56</v>
      </c>
      <c r="G712" s="120"/>
      <c r="H712" s="468"/>
      <c r="I712" s="468"/>
    </row>
    <row r="713">
      <c r="A713" s="133" t="s">
        <v>802</v>
      </c>
      <c r="B713" s="2"/>
      <c r="C713" s="2"/>
      <c r="D713" s="3"/>
      <c r="E713" s="121"/>
      <c r="F713" s="121">
        <f>F712*1%</f>
        <v>0.56</v>
      </c>
      <c r="G713" s="120"/>
      <c r="H713" s="468"/>
      <c r="I713" s="468"/>
    </row>
    <row r="714">
      <c r="A714" s="133" t="s">
        <v>42</v>
      </c>
      <c r="B714" s="2"/>
      <c r="C714" s="2"/>
      <c r="D714" s="3"/>
      <c r="E714" s="131"/>
      <c r="F714" s="121">
        <f>F713+F712</f>
        <v>56.56</v>
      </c>
      <c r="G714" s="120"/>
      <c r="H714" s="468"/>
      <c r="I714" s="468"/>
    </row>
    <row r="715">
      <c r="A715" s="133" t="s">
        <v>806</v>
      </c>
      <c r="B715" s="2"/>
      <c r="C715" s="2"/>
      <c r="D715" s="3"/>
      <c r="E715" s="121"/>
      <c r="F715" s="121">
        <f>F714*15%</f>
        <v>8.484</v>
      </c>
      <c r="G715" s="120"/>
      <c r="H715" s="468"/>
      <c r="I715" s="468"/>
    </row>
    <row r="716">
      <c r="A716" s="133" t="s">
        <v>42</v>
      </c>
      <c r="B716" s="2"/>
      <c r="C716" s="2"/>
      <c r="D716" s="3"/>
      <c r="E716" s="131"/>
      <c r="F716" s="300">
        <f>round(F715+F714,2)</f>
        <v>65.04</v>
      </c>
      <c r="G716" s="120"/>
      <c r="H716" s="468"/>
      <c r="I716" s="468"/>
    </row>
    <row r="717">
      <c r="A717" s="124" t="s">
        <v>843</v>
      </c>
      <c r="B717" s="2"/>
      <c r="C717" s="2"/>
      <c r="D717" s="2"/>
      <c r="E717" s="2"/>
      <c r="F717" s="3"/>
      <c r="G717" s="125" t="s">
        <v>778</v>
      </c>
      <c r="H717" s="474"/>
      <c r="I717" s="474"/>
    </row>
    <row r="718">
      <c r="A718" s="127">
        <v>9999.0</v>
      </c>
      <c r="B718" s="475"/>
      <c r="C718" s="123" t="s">
        <v>1626</v>
      </c>
      <c r="D718" s="2"/>
      <c r="E718" s="3"/>
      <c r="F718" s="598"/>
      <c r="G718" s="3"/>
      <c r="H718" s="474"/>
      <c r="I718" s="474"/>
    </row>
    <row r="719">
      <c r="A719" s="20"/>
      <c r="B719" s="20"/>
      <c r="C719" s="120" t="s">
        <v>107</v>
      </c>
      <c r="D719" s="121">
        <v>2.73</v>
      </c>
      <c r="E719" s="121">
        <v>2.12</v>
      </c>
      <c r="F719" s="121">
        <f>D719*E719</f>
        <v>5.7876</v>
      </c>
      <c r="G719" s="120" t="s">
        <v>846</v>
      </c>
      <c r="H719" s="474"/>
      <c r="I719" s="474"/>
    </row>
    <row r="720">
      <c r="A720" s="127">
        <v>9999.0</v>
      </c>
      <c r="B720" s="475"/>
      <c r="C720" s="123" t="s">
        <v>1629</v>
      </c>
      <c r="D720" s="2"/>
      <c r="E720" s="3"/>
      <c r="F720" s="598"/>
      <c r="G720" s="3"/>
      <c r="H720" s="474"/>
      <c r="I720" s="474"/>
    </row>
    <row r="721">
      <c r="A721" s="20"/>
      <c r="B721" s="20"/>
      <c r="C721" s="120" t="s">
        <v>107</v>
      </c>
      <c r="D721" s="121">
        <v>10.79</v>
      </c>
      <c r="E721" s="121">
        <v>2.12</v>
      </c>
      <c r="F721" s="121">
        <f>D721*E721</f>
        <v>22.8748</v>
      </c>
      <c r="G721" s="120" t="s">
        <v>850</v>
      </c>
      <c r="H721" s="474"/>
      <c r="I721" s="474"/>
    </row>
    <row r="722">
      <c r="A722" s="129" t="s">
        <v>42</v>
      </c>
      <c r="B722" s="2"/>
      <c r="C722" s="3"/>
      <c r="D722" s="121">
        <v>1.0</v>
      </c>
      <c r="E722" s="130" t="s">
        <v>1117</v>
      </c>
      <c r="F722" s="121">
        <f>F721+F719</f>
        <v>28.6624</v>
      </c>
      <c r="G722" s="599"/>
      <c r="H722" s="474"/>
      <c r="I722" s="474"/>
    </row>
    <row r="723">
      <c r="A723" s="129" t="s">
        <v>800</v>
      </c>
      <c r="B723" s="2"/>
      <c r="C723" s="3"/>
      <c r="D723" s="121">
        <v>1.0</v>
      </c>
      <c r="E723" s="130" t="s">
        <v>1117</v>
      </c>
      <c r="F723" s="121">
        <f>F722/D722</f>
        <v>28.6624</v>
      </c>
      <c r="G723" s="599"/>
      <c r="H723" s="474"/>
      <c r="I723" s="474"/>
    </row>
    <row r="724">
      <c r="A724" s="133" t="s">
        <v>802</v>
      </c>
      <c r="B724" s="2"/>
      <c r="C724" s="2"/>
      <c r="D724" s="3"/>
      <c r="E724" s="121">
        <v>44.63</v>
      </c>
      <c r="F724" s="121">
        <f>F723*1%</f>
        <v>0.286624</v>
      </c>
      <c r="G724" s="599"/>
      <c r="H724" s="474"/>
      <c r="I724" s="474"/>
    </row>
    <row r="725">
      <c r="A725" s="133" t="s">
        <v>42</v>
      </c>
      <c r="B725" s="2"/>
      <c r="C725" s="2"/>
      <c r="D725" s="3"/>
      <c r="E725" s="599"/>
      <c r="F725" s="121">
        <f>F724+F723</f>
        <v>28.949024</v>
      </c>
      <c r="G725" s="275"/>
      <c r="H725" s="474"/>
      <c r="I725" s="474"/>
    </row>
    <row r="726">
      <c r="A726" s="133" t="s">
        <v>806</v>
      </c>
      <c r="B726" s="2"/>
      <c r="C726" s="2"/>
      <c r="D726" s="3"/>
      <c r="E726" s="121">
        <v>45.08</v>
      </c>
      <c r="F726" s="121">
        <f>F725*15%</f>
        <v>4.3423536</v>
      </c>
      <c r="G726" s="599"/>
      <c r="H726" s="474"/>
      <c r="I726" s="474"/>
    </row>
    <row r="727">
      <c r="A727" s="133" t="s">
        <v>42</v>
      </c>
      <c r="B727" s="2"/>
      <c r="C727" s="2"/>
      <c r="D727" s="3"/>
      <c r="E727" s="599"/>
      <c r="F727" s="300">
        <f>round(F726+F725,2)</f>
        <v>33.29</v>
      </c>
      <c r="G727" s="599"/>
      <c r="H727" s="474"/>
      <c r="I727" s="474"/>
    </row>
    <row r="728">
      <c r="A728" s="455" t="str">
        <f>CONCATENATE("Say ₹ ",F716," + ",F727," x Cost Index")</f>
        <v>Say ₹ 65.04 + 33.29 x Cost Index</v>
      </c>
      <c r="B728" s="2"/>
      <c r="C728" s="2"/>
      <c r="D728" s="2"/>
      <c r="E728" s="2"/>
      <c r="F728" s="2"/>
      <c r="G728" s="3"/>
      <c r="H728" s="474">
        <f>((F710*1.01*1.15))</f>
        <v>65.044</v>
      </c>
      <c r="I728" s="474">
        <f>((SUM(F719,F721)*1.01*1.15))</f>
        <v>33.2913776</v>
      </c>
    </row>
  </sheetData>
  <mergeCells count="952">
    <mergeCell ref="A23:D23"/>
    <mergeCell ref="A24:D24"/>
    <mergeCell ref="A25:D25"/>
    <mergeCell ref="A26:G26"/>
    <mergeCell ref="A27:A28"/>
    <mergeCell ref="B27:B28"/>
    <mergeCell ref="F27:G27"/>
    <mergeCell ref="C27:E27"/>
    <mergeCell ref="A29:G29"/>
    <mergeCell ref="F30:G30"/>
    <mergeCell ref="B31:G31"/>
    <mergeCell ref="A32:F32"/>
    <mergeCell ref="A33:A34"/>
    <mergeCell ref="B33:B34"/>
    <mergeCell ref="C7:E7"/>
    <mergeCell ref="F7:G7"/>
    <mergeCell ref="B1:B2"/>
    <mergeCell ref="C1:E1"/>
    <mergeCell ref="F1:G1"/>
    <mergeCell ref="A3:G3"/>
    <mergeCell ref="F4:G4"/>
    <mergeCell ref="B5:G5"/>
    <mergeCell ref="A6:F6"/>
    <mergeCell ref="A1:A2"/>
    <mergeCell ref="A7:A8"/>
    <mergeCell ref="B7:B8"/>
    <mergeCell ref="A9:C9"/>
    <mergeCell ref="A10:C10"/>
    <mergeCell ref="A11:D11"/>
    <mergeCell ref="A12:D12"/>
    <mergeCell ref="A13:D13"/>
    <mergeCell ref="A14:D14"/>
    <mergeCell ref="A15:F15"/>
    <mergeCell ref="A16:A17"/>
    <mergeCell ref="B16:B17"/>
    <mergeCell ref="C16:E16"/>
    <mergeCell ref="F16:G16"/>
    <mergeCell ref="A18:A19"/>
    <mergeCell ref="B18:B19"/>
    <mergeCell ref="C18:E18"/>
    <mergeCell ref="F18:G18"/>
    <mergeCell ref="A20:C20"/>
    <mergeCell ref="A21:C21"/>
    <mergeCell ref="A22:D22"/>
    <mergeCell ref="C33:E33"/>
    <mergeCell ref="F33:G33"/>
    <mergeCell ref="C42:E42"/>
    <mergeCell ref="F42:G42"/>
    <mergeCell ref="F53:G53"/>
    <mergeCell ref="A55:G55"/>
    <mergeCell ref="F56:G56"/>
    <mergeCell ref="B57:G57"/>
    <mergeCell ref="A58:F58"/>
    <mergeCell ref="A59:A60"/>
    <mergeCell ref="B59:B60"/>
    <mergeCell ref="A61:C61"/>
    <mergeCell ref="A62:C62"/>
    <mergeCell ref="A63:D63"/>
    <mergeCell ref="A64:D64"/>
    <mergeCell ref="A65:D65"/>
    <mergeCell ref="A66:D66"/>
    <mergeCell ref="A67:F67"/>
    <mergeCell ref="A35:C35"/>
    <mergeCell ref="A36:C36"/>
    <mergeCell ref="A37:D37"/>
    <mergeCell ref="A38:D38"/>
    <mergeCell ref="A39:D39"/>
    <mergeCell ref="A40:D40"/>
    <mergeCell ref="A41:F41"/>
    <mergeCell ref="A42:A43"/>
    <mergeCell ref="B42:B43"/>
    <mergeCell ref="A44:A45"/>
    <mergeCell ref="B44:B45"/>
    <mergeCell ref="C44:E44"/>
    <mergeCell ref="F44:G44"/>
    <mergeCell ref="A46:C46"/>
    <mergeCell ref="B53:B54"/>
    <mergeCell ref="C53:E53"/>
    <mergeCell ref="A47:C47"/>
    <mergeCell ref="A48:D48"/>
    <mergeCell ref="A49:D49"/>
    <mergeCell ref="A50:D50"/>
    <mergeCell ref="A51:D51"/>
    <mergeCell ref="A52:G52"/>
    <mergeCell ref="A53:A54"/>
    <mergeCell ref="C59:E59"/>
    <mergeCell ref="F59:G59"/>
    <mergeCell ref="C68:E68"/>
    <mergeCell ref="F68:G68"/>
    <mergeCell ref="C70:E70"/>
    <mergeCell ref="F70:G70"/>
    <mergeCell ref="A68:A69"/>
    <mergeCell ref="B68:B69"/>
    <mergeCell ref="A70:A71"/>
    <mergeCell ref="B70:B71"/>
    <mergeCell ref="A72:C72"/>
    <mergeCell ref="A73:C73"/>
    <mergeCell ref="A74:D74"/>
    <mergeCell ref="A75:D75"/>
    <mergeCell ref="A76:D76"/>
    <mergeCell ref="A77:D77"/>
    <mergeCell ref="A78:G78"/>
    <mergeCell ref="A79:A80"/>
    <mergeCell ref="B79:B80"/>
    <mergeCell ref="F79:G79"/>
    <mergeCell ref="C85:E85"/>
    <mergeCell ref="F85:G85"/>
    <mergeCell ref="C79:E79"/>
    <mergeCell ref="A81:G81"/>
    <mergeCell ref="F82:G82"/>
    <mergeCell ref="B83:G83"/>
    <mergeCell ref="A84:F84"/>
    <mergeCell ref="A85:A86"/>
    <mergeCell ref="B85:B86"/>
    <mergeCell ref="C94:E94"/>
    <mergeCell ref="F94:G94"/>
    <mergeCell ref="C96:E96"/>
    <mergeCell ref="F96:G96"/>
    <mergeCell ref="A87:C87"/>
    <mergeCell ref="A88:C88"/>
    <mergeCell ref="A89:D89"/>
    <mergeCell ref="A90:D90"/>
    <mergeCell ref="A91:D91"/>
    <mergeCell ref="A92:D92"/>
    <mergeCell ref="A93:F93"/>
    <mergeCell ref="A94:A95"/>
    <mergeCell ref="B94:B95"/>
    <mergeCell ref="A96:A97"/>
    <mergeCell ref="B96:B97"/>
    <mergeCell ref="A98:C98"/>
    <mergeCell ref="A99:C99"/>
    <mergeCell ref="A100:D100"/>
    <mergeCell ref="C111:E111"/>
    <mergeCell ref="F111:G111"/>
    <mergeCell ref="A127:D127"/>
    <mergeCell ref="A128:D128"/>
    <mergeCell ref="A129:D129"/>
    <mergeCell ref="A130:G130"/>
    <mergeCell ref="A131:A132"/>
    <mergeCell ref="B131:B132"/>
    <mergeCell ref="F131:G131"/>
    <mergeCell ref="C131:E131"/>
    <mergeCell ref="A133:G133"/>
    <mergeCell ref="F134:G134"/>
    <mergeCell ref="B135:G135"/>
    <mergeCell ref="A136:F136"/>
    <mergeCell ref="A137:A138"/>
    <mergeCell ref="B137:B138"/>
    <mergeCell ref="A101:D101"/>
    <mergeCell ref="A102:D102"/>
    <mergeCell ref="A103:D103"/>
    <mergeCell ref="A104:G104"/>
    <mergeCell ref="A105:A106"/>
    <mergeCell ref="B105:B106"/>
    <mergeCell ref="F105:G105"/>
    <mergeCell ref="C105:E105"/>
    <mergeCell ref="A107:G107"/>
    <mergeCell ref="F108:G108"/>
    <mergeCell ref="B109:G109"/>
    <mergeCell ref="A110:F110"/>
    <mergeCell ref="A111:A112"/>
    <mergeCell ref="B111:B112"/>
    <mergeCell ref="C120:E120"/>
    <mergeCell ref="F120:G120"/>
    <mergeCell ref="C122:E122"/>
    <mergeCell ref="F122:G122"/>
    <mergeCell ref="A113:C113"/>
    <mergeCell ref="A114:C114"/>
    <mergeCell ref="A115:D115"/>
    <mergeCell ref="A116:D116"/>
    <mergeCell ref="A117:D117"/>
    <mergeCell ref="A118:D118"/>
    <mergeCell ref="A119:F119"/>
    <mergeCell ref="A120:A121"/>
    <mergeCell ref="B120:B121"/>
    <mergeCell ref="A122:A123"/>
    <mergeCell ref="B122:B123"/>
    <mergeCell ref="A124:C124"/>
    <mergeCell ref="A125:C125"/>
    <mergeCell ref="A126:D126"/>
    <mergeCell ref="C137:E137"/>
    <mergeCell ref="F137:G137"/>
    <mergeCell ref="C146:E146"/>
    <mergeCell ref="F146:G146"/>
    <mergeCell ref="F157:G157"/>
    <mergeCell ref="A159:G159"/>
    <mergeCell ref="F160:G160"/>
    <mergeCell ref="B161:G161"/>
    <mergeCell ref="A162:F162"/>
    <mergeCell ref="A163:A164"/>
    <mergeCell ref="B163:B164"/>
    <mergeCell ref="A165:C165"/>
    <mergeCell ref="A166:C166"/>
    <mergeCell ref="A167:D167"/>
    <mergeCell ref="A168:D168"/>
    <mergeCell ref="A169:D169"/>
    <mergeCell ref="A170:D170"/>
    <mergeCell ref="A171:F171"/>
    <mergeCell ref="A139:C139"/>
    <mergeCell ref="A140:C140"/>
    <mergeCell ref="A141:D141"/>
    <mergeCell ref="A142:D142"/>
    <mergeCell ref="A143:D143"/>
    <mergeCell ref="A144:D144"/>
    <mergeCell ref="A145:F145"/>
    <mergeCell ref="A146:A147"/>
    <mergeCell ref="B146:B147"/>
    <mergeCell ref="A148:A149"/>
    <mergeCell ref="B148:B149"/>
    <mergeCell ref="C148:E148"/>
    <mergeCell ref="F148:G148"/>
    <mergeCell ref="A150:C150"/>
    <mergeCell ref="B157:B158"/>
    <mergeCell ref="C157:E157"/>
    <mergeCell ref="A151:C151"/>
    <mergeCell ref="A152:D152"/>
    <mergeCell ref="A153:D153"/>
    <mergeCell ref="A154:D154"/>
    <mergeCell ref="A155:D155"/>
    <mergeCell ref="A156:G156"/>
    <mergeCell ref="A157:A158"/>
    <mergeCell ref="C163:E163"/>
    <mergeCell ref="F163:G163"/>
    <mergeCell ref="C172:E172"/>
    <mergeCell ref="F172:G172"/>
    <mergeCell ref="C174:E174"/>
    <mergeCell ref="F174:G174"/>
    <mergeCell ref="A172:A173"/>
    <mergeCell ref="B172:B173"/>
    <mergeCell ref="A174:A175"/>
    <mergeCell ref="B174:B175"/>
    <mergeCell ref="A176:C176"/>
    <mergeCell ref="A177:C177"/>
    <mergeCell ref="A178:D178"/>
    <mergeCell ref="A179:D179"/>
    <mergeCell ref="A180:D180"/>
    <mergeCell ref="A181:D181"/>
    <mergeCell ref="A182:G182"/>
    <mergeCell ref="A183:A184"/>
    <mergeCell ref="B183:B184"/>
    <mergeCell ref="F183:G183"/>
    <mergeCell ref="C189:E189"/>
    <mergeCell ref="F189:G189"/>
    <mergeCell ref="C183:E183"/>
    <mergeCell ref="A185:G185"/>
    <mergeCell ref="F186:G186"/>
    <mergeCell ref="B187:G187"/>
    <mergeCell ref="A188:F188"/>
    <mergeCell ref="A189:A190"/>
    <mergeCell ref="B189:B190"/>
    <mergeCell ref="C198:E198"/>
    <mergeCell ref="F198:G198"/>
    <mergeCell ref="C200:E200"/>
    <mergeCell ref="F200:G200"/>
    <mergeCell ref="A191:C191"/>
    <mergeCell ref="A192:C192"/>
    <mergeCell ref="A193:D193"/>
    <mergeCell ref="A194:D194"/>
    <mergeCell ref="A195:D195"/>
    <mergeCell ref="A196:D196"/>
    <mergeCell ref="A197:F197"/>
    <mergeCell ref="A198:A199"/>
    <mergeCell ref="B198:B199"/>
    <mergeCell ref="A200:A201"/>
    <mergeCell ref="B200:B201"/>
    <mergeCell ref="A202:C202"/>
    <mergeCell ref="A203:C203"/>
    <mergeCell ref="A204:D204"/>
    <mergeCell ref="C215:E215"/>
    <mergeCell ref="F215:G215"/>
    <mergeCell ref="A231:D231"/>
    <mergeCell ref="A232:D232"/>
    <mergeCell ref="A233:D233"/>
    <mergeCell ref="A234:G234"/>
    <mergeCell ref="A235:A236"/>
    <mergeCell ref="B235:B236"/>
    <mergeCell ref="F235:G235"/>
    <mergeCell ref="C235:E235"/>
    <mergeCell ref="A237:G237"/>
    <mergeCell ref="F238:G238"/>
    <mergeCell ref="B239:G239"/>
    <mergeCell ref="A240:F240"/>
    <mergeCell ref="A241:A242"/>
    <mergeCell ref="B241:B242"/>
    <mergeCell ref="A205:D205"/>
    <mergeCell ref="A206:D206"/>
    <mergeCell ref="A207:D207"/>
    <mergeCell ref="A208:G208"/>
    <mergeCell ref="A209:A210"/>
    <mergeCell ref="B209:B210"/>
    <mergeCell ref="F209:G209"/>
    <mergeCell ref="C209:E209"/>
    <mergeCell ref="A211:G211"/>
    <mergeCell ref="F212:G212"/>
    <mergeCell ref="B213:G213"/>
    <mergeCell ref="A214:F214"/>
    <mergeCell ref="A215:A216"/>
    <mergeCell ref="B215:B216"/>
    <mergeCell ref="C224:E224"/>
    <mergeCell ref="F224:G224"/>
    <mergeCell ref="C226:E226"/>
    <mergeCell ref="F226:G226"/>
    <mergeCell ref="A217:C217"/>
    <mergeCell ref="A218:C218"/>
    <mergeCell ref="A219:D219"/>
    <mergeCell ref="A220:D220"/>
    <mergeCell ref="A221:D221"/>
    <mergeCell ref="A222:D222"/>
    <mergeCell ref="A223:F223"/>
    <mergeCell ref="A224:A225"/>
    <mergeCell ref="B224:B225"/>
    <mergeCell ref="A226:A227"/>
    <mergeCell ref="B226:B227"/>
    <mergeCell ref="A228:C228"/>
    <mergeCell ref="A229:C229"/>
    <mergeCell ref="A230:D230"/>
    <mergeCell ref="C241:E241"/>
    <mergeCell ref="F241:G241"/>
    <mergeCell ref="C250:E250"/>
    <mergeCell ref="F250:G250"/>
    <mergeCell ref="F261:G261"/>
    <mergeCell ref="A263:G263"/>
    <mergeCell ref="F264:G264"/>
    <mergeCell ref="B265:G265"/>
    <mergeCell ref="A266:F266"/>
    <mergeCell ref="A267:A268"/>
    <mergeCell ref="B267:B268"/>
    <mergeCell ref="A269:C269"/>
    <mergeCell ref="A270:C270"/>
    <mergeCell ref="A271:D271"/>
    <mergeCell ref="A272:D272"/>
    <mergeCell ref="A273:D273"/>
    <mergeCell ref="A274:D274"/>
    <mergeCell ref="A275:F275"/>
    <mergeCell ref="A243:C243"/>
    <mergeCell ref="A244:C244"/>
    <mergeCell ref="A245:D245"/>
    <mergeCell ref="A246:D246"/>
    <mergeCell ref="A247:D247"/>
    <mergeCell ref="A248:D248"/>
    <mergeCell ref="A249:F249"/>
    <mergeCell ref="A250:A251"/>
    <mergeCell ref="B250:B251"/>
    <mergeCell ref="A252:A253"/>
    <mergeCell ref="B252:B253"/>
    <mergeCell ref="C252:E252"/>
    <mergeCell ref="F252:G252"/>
    <mergeCell ref="A254:C254"/>
    <mergeCell ref="B261:B262"/>
    <mergeCell ref="C261:E261"/>
    <mergeCell ref="A255:C255"/>
    <mergeCell ref="A256:D256"/>
    <mergeCell ref="A257:D257"/>
    <mergeCell ref="A258:D258"/>
    <mergeCell ref="A259:D259"/>
    <mergeCell ref="A260:G260"/>
    <mergeCell ref="A261:A262"/>
    <mergeCell ref="C267:E267"/>
    <mergeCell ref="F267:G267"/>
    <mergeCell ref="C276:E276"/>
    <mergeCell ref="F276:G276"/>
    <mergeCell ref="C278:E278"/>
    <mergeCell ref="F278:G278"/>
    <mergeCell ref="A276:A277"/>
    <mergeCell ref="B276:B277"/>
    <mergeCell ref="A278:A279"/>
    <mergeCell ref="B278:B279"/>
    <mergeCell ref="A280:C280"/>
    <mergeCell ref="A281:C281"/>
    <mergeCell ref="A282:D282"/>
    <mergeCell ref="A439:D439"/>
    <mergeCell ref="A440:D440"/>
    <mergeCell ref="A441:D441"/>
    <mergeCell ref="A442:G442"/>
    <mergeCell ref="A443:A444"/>
    <mergeCell ref="B443:B444"/>
    <mergeCell ref="F443:G443"/>
    <mergeCell ref="C443:E443"/>
    <mergeCell ref="A445:G445"/>
    <mergeCell ref="F446:G446"/>
    <mergeCell ref="B447:G447"/>
    <mergeCell ref="A448:F448"/>
    <mergeCell ref="A449:A450"/>
    <mergeCell ref="B449:B450"/>
    <mergeCell ref="A413:D413"/>
    <mergeCell ref="A414:D414"/>
    <mergeCell ref="A415:D415"/>
    <mergeCell ref="A416:G416"/>
    <mergeCell ref="A417:A418"/>
    <mergeCell ref="B417:B418"/>
    <mergeCell ref="F417:G417"/>
    <mergeCell ref="C417:E417"/>
    <mergeCell ref="A419:G419"/>
    <mergeCell ref="F420:G420"/>
    <mergeCell ref="B421:G421"/>
    <mergeCell ref="A422:F422"/>
    <mergeCell ref="A423:A424"/>
    <mergeCell ref="B423:B424"/>
    <mergeCell ref="C432:E432"/>
    <mergeCell ref="F432:G432"/>
    <mergeCell ref="C434:E434"/>
    <mergeCell ref="F434:G434"/>
    <mergeCell ref="A425:C425"/>
    <mergeCell ref="A426:C426"/>
    <mergeCell ref="A427:D427"/>
    <mergeCell ref="A428:D428"/>
    <mergeCell ref="A429:D429"/>
    <mergeCell ref="A430:D430"/>
    <mergeCell ref="A431:F431"/>
    <mergeCell ref="A432:A433"/>
    <mergeCell ref="B432:B433"/>
    <mergeCell ref="A434:A435"/>
    <mergeCell ref="B434:B435"/>
    <mergeCell ref="A436:C436"/>
    <mergeCell ref="A437:C437"/>
    <mergeCell ref="A438:D438"/>
    <mergeCell ref="C449:E449"/>
    <mergeCell ref="F449:G449"/>
    <mergeCell ref="C458:E458"/>
    <mergeCell ref="F458:G458"/>
    <mergeCell ref="F469:G469"/>
    <mergeCell ref="A471:G471"/>
    <mergeCell ref="F472:G472"/>
    <mergeCell ref="B473:G473"/>
    <mergeCell ref="A474:F474"/>
    <mergeCell ref="A475:A476"/>
    <mergeCell ref="B475:B476"/>
    <mergeCell ref="A477:C477"/>
    <mergeCell ref="A478:C478"/>
    <mergeCell ref="A479:D479"/>
    <mergeCell ref="A480:D480"/>
    <mergeCell ref="A481:D481"/>
    <mergeCell ref="A482:D482"/>
    <mergeCell ref="A483:F483"/>
    <mergeCell ref="A451:C451"/>
    <mergeCell ref="A452:C452"/>
    <mergeCell ref="A453:D453"/>
    <mergeCell ref="A454:D454"/>
    <mergeCell ref="A455:D455"/>
    <mergeCell ref="A456:D456"/>
    <mergeCell ref="A457:F457"/>
    <mergeCell ref="A458:A459"/>
    <mergeCell ref="B458:B459"/>
    <mergeCell ref="A460:A461"/>
    <mergeCell ref="B460:B461"/>
    <mergeCell ref="C460:E460"/>
    <mergeCell ref="F460:G460"/>
    <mergeCell ref="A462:C462"/>
    <mergeCell ref="B469:B470"/>
    <mergeCell ref="C469:E469"/>
    <mergeCell ref="A463:C463"/>
    <mergeCell ref="A464:D464"/>
    <mergeCell ref="A465:D465"/>
    <mergeCell ref="A466:D466"/>
    <mergeCell ref="A467:D467"/>
    <mergeCell ref="A468:G468"/>
    <mergeCell ref="A469:A470"/>
    <mergeCell ref="C475:E475"/>
    <mergeCell ref="F475:G475"/>
    <mergeCell ref="C484:E484"/>
    <mergeCell ref="F484:G484"/>
    <mergeCell ref="C486:E486"/>
    <mergeCell ref="F486:G486"/>
    <mergeCell ref="A484:A485"/>
    <mergeCell ref="B484:B485"/>
    <mergeCell ref="A486:A487"/>
    <mergeCell ref="B486:B487"/>
    <mergeCell ref="A488:C488"/>
    <mergeCell ref="A489:C489"/>
    <mergeCell ref="A490:D490"/>
    <mergeCell ref="A283:D283"/>
    <mergeCell ref="A284:D284"/>
    <mergeCell ref="A285:D285"/>
    <mergeCell ref="A286:G286"/>
    <mergeCell ref="A287:A288"/>
    <mergeCell ref="B287:B288"/>
    <mergeCell ref="F287:G287"/>
    <mergeCell ref="C293:E293"/>
    <mergeCell ref="F293:G293"/>
    <mergeCell ref="C287:E287"/>
    <mergeCell ref="A289:G289"/>
    <mergeCell ref="F290:G290"/>
    <mergeCell ref="B291:G291"/>
    <mergeCell ref="A292:F292"/>
    <mergeCell ref="A293:A294"/>
    <mergeCell ref="B293:B294"/>
    <mergeCell ref="C302:E302"/>
    <mergeCell ref="F302:G302"/>
    <mergeCell ref="C304:E304"/>
    <mergeCell ref="F304:G304"/>
    <mergeCell ref="A295:C295"/>
    <mergeCell ref="A296:C296"/>
    <mergeCell ref="A297:D297"/>
    <mergeCell ref="A298:D298"/>
    <mergeCell ref="A299:D299"/>
    <mergeCell ref="A300:D300"/>
    <mergeCell ref="A301:F301"/>
    <mergeCell ref="A302:A303"/>
    <mergeCell ref="B302:B303"/>
    <mergeCell ref="A304:A305"/>
    <mergeCell ref="B304:B305"/>
    <mergeCell ref="A306:C306"/>
    <mergeCell ref="A307:C307"/>
    <mergeCell ref="A308:D308"/>
    <mergeCell ref="C319:E319"/>
    <mergeCell ref="F319:G319"/>
    <mergeCell ref="A335:D335"/>
    <mergeCell ref="A336:D336"/>
    <mergeCell ref="A337:D337"/>
    <mergeCell ref="A338:G338"/>
    <mergeCell ref="A339:A340"/>
    <mergeCell ref="B339:B340"/>
    <mergeCell ref="F339:G339"/>
    <mergeCell ref="C339:E339"/>
    <mergeCell ref="A341:G341"/>
    <mergeCell ref="F342:G342"/>
    <mergeCell ref="B343:G343"/>
    <mergeCell ref="A344:F344"/>
    <mergeCell ref="A345:A346"/>
    <mergeCell ref="B345:B346"/>
    <mergeCell ref="A309:D309"/>
    <mergeCell ref="A310:D310"/>
    <mergeCell ref="A311:D311"/>
    <mergeCell ref="A312:G312"/>
    <mergeCell ref="A313:A314"/>
    <mergeCell ref="B313:B314"/>
    <mergeCell ref="F313:G313"/>
    <mergeCell ref="C313:E313"/>
    <mergeCell ref="A315:G315"/>
    <mergeCell ref="F316:G316"/>
    <mergeCell ref="B317:G317"/>
    <mergeCell ref="A318:F318"/>
    <mergeCell ref="A319:A320"/>
    <mergeCell ref="B319:B320"/>
    <mergeCell ref="C328:E328"/>
    <mergeCell ref="F328:G328"/>
    <mergeCell ref="C330:E330"/>
    <mergeCell ref="F330:G330"/>
    <mergeCell ref="A321:C321"/>
    <mergeCell ref="A322:C322"/>
    <mergeCell ref="A323:D323"/>
    <mergeCell ref="A324:D324"/>
    <mergeCell ref="A325:D325"/>
    <mergeCell ref="A326:D326"/>
    <mergeCell ref="A327:F327"/>
    <mergeCell ref="A328:A329"/>
    <mergeCell ref="B328:B329"/>
    <mergeCell ref="A330:A331"/>
    <mergeCell ref="B330:B331"/>
    <mergeCell ref="A332:C332"/>
    <mergeCell ref="A333:C333"/>
    <mergeCell ref="A334:D334"/>
    <mergeCell ref="C345:E345"/>
    <mergeCell ref="F345:G345"/>
    <mergeCell ref="C354:E354"/>
    <mergeCell ref="F354:G354"/>
    <mergeCell ref="F365:G365"/>
    <mergeCell ref="A367:G367"/>
    <mergeCell ref="F368:G368"/>
    <mergeCell ref="B369:G369"/>
    <mergeCell ref="A370:F370"/>
    <mergeCell ref="A371:A372"/>
    <mergeCell ref="B371:B372"/>
    <mergeCell ref="A373:C373"/>
    <mergeCell ref="A374:C374"/>
    <mergeCell ref="A375:D375"/>
    <mergeCell ref="A376:D376"/>
    <mergeCell ref="A377:D377"/>
    <mergeCell ref="A378:D378"/>
    <mergeCell ref="A379:F379"/>
    <mergeCell ref="A347:C347"/>
    <mergeCell ref="A348:C348"/>
    <mergeCell ref="A349:D349"/>
    <mergeCell ref="A350:D350"/>
    <mergeCell ref="A351:D351"/>
    <mergeCell ref="A352:D352"/>
    <mergeCell ref="A353:F353"/>
    <mergeCell ref="A354:A355"/>
    <mergeCell ref="B354:B355"/>
    <mergeCell ref="A356:A357"/>
    <mergeCell ref="B356:B357"/>
    <mergeCell ref="C356:E356"/>
    <mergeCell ref="F356:G356"/>
    <mergeCell ref="A358:C358"/>
    <mergeCell ref="B365:B366"/>
    <mergeCell ref="C365:E365"/>
    <mergeCell ref="A359:C359"/>
    <mergeCell ref="A360:D360"/>
    <mergeCell ref="A361:D361"/>
    <mergeCell ref="A362:D362"/>
    <mergeCell ref="A363:D363"/>
    <mergeCell ref="A364:G364"/>
    <mergeCell ref="A365:A366"/>
    <mergeCell ref="C371:E371"/>
    <mergeCell ref="F371:G371"/>
    <mergeCell ref="C380:E380"/>
    <mergeCell ref="F380:G380"/>
    <mergeCell ref="C382:E382"/>
    <mergeCell ref="F382:G382"/>
    <mergeCell ref="A380:A381"/>
    <mergeCell ref="B380:B381"/>
    <mergeCell ref="A382:A383"/>
    <mergeCell ref="B382:B383"/>
    <mergeCell ref="A384:C384"/>
    <mergeCell ref="A385:C385"/>
    <mergeCell ref="A386:D386"/>
    <mergeCell ref="A387:D387"/>
    <mergeCell ref="A388:D388"/>
    <mergeCell ref="A389:D389"/>
    <mergeCell ref="A390:G390"/>
    <mergeCell ref="A391:A392"/>
    <mergeCell ref="B391:B392"/>
    <mergeCell ref="F391:G391"/>
    <mergeCell ref="C397:E397"/>
    <mergeCell ref="F397:G397"/>
    <mergeCell ref="C391:E391"/>
    <mergeCell ref="A393:G393"/>
    <mergeCell ref="F394:G394"/>
    <mergeCell ref="B395:G395"/>
    <mergeCell ref="A396:F396"/>
    <mergeCell ref="A397:A398"/>
    <mergeCell ref="B397:B398"/>
    <mergeCell ref="C406:E406"/>
    <mergeCell ref="F406:G406"/>
    <mergeCell ref="C408:E408"/>
    <mergeCell ref="F408:G408"/>
    <mergeCell ref="A399:C399"/>
    <mergeCell ref="A400:C400"/>
    <mergeCell ref="A401:D401"/>
    <mergeCell ref="A402:D402"/>
    <mergeCell ref="A403:D403"/>
    <mergeCell ref="A404:D404"/>
    <mergeCell ref="A405:F405"/>
    <mergeCell ref="A406:A407"/>
    <mergeCell ref="B406:B407"/>
    <mergeCell ref="A408:A409"/>
    <mergeCell ref="B408:B409"/>
    <mergeCell ref="A410:C410"/>
    <mergeCell ref="A411:C411"/>
    <mergeCell ref="A412:D412"/>
    <mergeCell ref="C423:E423"/>
    <mergeCell ref="F423:G423"/>
    <mergeCell ref="A491:D491"/>
    <mergeCell ref="A492:D492"/>
    <mergeCell ref="A493:D493"/>
    <mergeCell ref="A494:G494"/>
    <mergeCell ref="A495:A496"/>
    <mergeCell ref="B495:B496"/>
    <mergeCell ref="F495:G495"/>
    <mergeCell ref="C501:E501"/>
    <mergeCell ref="F501:G501"/>
    <mergeCell ref="C495:E495"/>
    <mergeCell ref="A497:G497"/>
    <mergeCell ref="F498:G498"/>
    <mergeCell ref="B499:G499"/>
    <mergeCell ref="A500:F500"/>
    <mergeCell ref="A501:A502"/>
    <mergeCell ref="B501:B502"/>
    <mergeCell ref="C510:E510"/>
    <mergeCell ref="F510:G510"/>
    <mergeCell ref="C512:E512"/>
    <mergeCell ref="F512:G512"/>
    <mergeCell ref="A503:C503"/>
    <mergeCell ref="A504:C504"/>
    <mergeCell ref="A505:D505"/>
    <mergeCell ref="A506:D506"/>
    <mergeCell ref="A507:D507"/>
    <mergeCell ref="A508:D508"/>
    <mergeCell ref="A509:F509"/>
    <mergeCell ref="A510:A511"/>
    <mergeCell ref="B510:B511"/>
    <mergeCell ref="A512:A513"/>
    <mergeCell ref="B512:B513"/>
    <mergeCell ref="A514:C514"/>
    <mergeCell ref="A515:C515"/>
    <mergeCell ref="A516:D516"/>
    <mergeCell ref="C527:E527"/>
    <mergeCell ref="F527:G527"/>
    <mergeCell ref="F677:G677"/>
    <mergeCell ref="A679:G679"/>
    <mergeCell ref="F680:G680"/>
    <mergeCell ref="B681:G681"/>
    <mergeCell ref="A682:F682"/>
    <mergeCell ref="A683:A684"/>
    <mergeCell ref="B683:B684"/>
    <mergeCell ref="A685:C685"/>
    <mergeCell ref="A686:C686"/>
    <mergeCell ref="A687:D687"/>
    <mergeCell ref="A688:D688"/>
    <mergeCell ref="A689:D689"/>
    <mergeCell ref="A690:D690"/>
    <mergeCell ref="A691:F691"/>
    <mergeCell ref="A699:D699"/>
    <mergeCell ref="A700:D700"/>
    <mergeCell ref="A701:D701"/>
    <mergeCell ref="A702:G702"/>
    <mergeCell ref="A703:A704"/>
    <mergeCell ref="B703:B704"/>
    <mergeCell ref="F703:G703"/>
    <mergeCell ref="C709:E709"/>
    <mergeCell ref="F709:G709"/>
    <mergeCell ref="C703:E703"/>
    <mergeCell ref="A705:G705"/>
    <mergeCell ref="F706:G706"/>
    <mergeCell ref="B707:G707"/>
    <mergeCell ref="A708:F708"/>
    <mergeCell ref="A709:A710"/>
    <mergeCell ref="B709:B710"/>
    <mergeCell ref="C718:E718"/>
    <mergeCell ref="F718:G718"/>
    <mergeCell ref="C720:E720"/>
    <mergeCell ref="F720:G720"/>
    <mergeCell ref="A711:C711"/>
    <mergeCell ref="A712:C712"/>
    <mergeCell ref="A713:D713"/>
    <mergeCell ref="A714:D714"/>
    <mergeCell ref="A715:D715"/>
    <mergeCell ref="A716:D716"/>
    <mergeCell ref="A717:F717"/>
    <mergeCell ref="A725:D725"/>
    <mergeCell ref="A726:D726"/>
    <mergeCell ref="A727:D727"/>
    <mergeCell ref="A728:G728"/>
    <mergeCell ref="A718:A719"/>
    <mergeCell ref="B718:B719"/>
    <mergeCell ref="A720:A721"/>
    <mergeCell ref="B720:B721"/>
    <mergeCell ref="A722:C722"/>
    <mergeCell ref="A723:C723"/>
    <mergeCell ref="A724:D724"/>
    <mergeCell ref="A659:C659"/>
    <mergeCell ref="A660:C660"/>
    <mergeCell ref="A661:D661"/>
    <mergeCell ref="A662:D662"/>
    <mergeCell ref="A663:D663"/>
    <mergeCell ref="A664:D664"/>
    <mergeCell ref="A665:F665"/>
    <mergeCell ref="A666:A667"/>
    <mergeCell ref="B666:B667"/>
    <mergeCell ref="A668:A669"/>
    <mergeCell ref="B668:B669"/>
    <mergeCell ref="C668:E668"/>
    <mergeCell ref="F668:G668"/>
    <mergeCell ref="A670:C670"/>
    <mergeCell ref="B677:B678"/>
    <mergeCell ref="C677:E677"/>
    <mergeCell ref="A671:C671"/>
    <mergeCell ref="A672:D672"/>
    <mergeCell ref="A673:D673"/>
    <mergeCell ref="A674:D674"/>
    <mergeCell ref="A675:D675"/>
    <mergeCell ref="A676:G676"/>
    <mergeCell ref="A677:A678"/>
    <mergeCell ref="C683:E683"/>
    <mergeCell ref="F683:G683"/>
    <mergeCell ref="C692:E692"/>
    <mergeCell ref="F692:G692"/>
    <mergeCell ref="C694:E694"/>
    <mergeCell ref="F694:G694"/>
    <mergeCell ref="A692:A693"/>
    <mergeCell ref="B692:B693"/>
    <mergeCell ref="A694:A695"/>
    <mergeCell ref="B694:B695"/>
    <mergeCell ref="A696:C696"/>
    <mergeCell ref="A697:C697"/>
    <mergeCell ref="A698:D698"/>
    <mergeCell ref="A543:D543"/>
    <mergeCell ref="A544:D544"/>
    <mergeCell ref="A545:D545"/>
    <mergeCell ref="A546:G546"/>
    <mergeCell ref="A547:A548"/>
    <mergeCell ref="B547:B548"/>
    <mergeCell ref="F547:G547"/>
    <mergeCell ref="C547:E547"/>
    <mergeCell ref="A549:G549"/>
    <mergeCell ref="F550:G550"/>
    <mergeCell ref="B551:G551"/>
    <mergeCell ref="A552:F552"/>
    <mergeCell ref="A553:A554"/>
    <mergeCell ref="B553:B554"/>
    <mergeCell ref="A517:D517"/>
    <mergeCell ref="A518:D518"/>
    <mergeCell ref="A519:D519"/>
    <mergeCell ref="A520:G520"/>
    <mergeCell ref="A521:A522"/>
    <mergeCell ref="B521:B522"/>
    <mergeCell ref="F521:G521"/>
    <mergeCell ref="C521:E521"/>
    <mergeCell ref="A523:G523"/>
    <mergeCell ref="F524:G524"/>
    <mergeCell ref="B525:G525"/>
    <mergeCell ref="A526:F526"/>
    <mergeCell ref="A527:A528"/>
    <mergeCell ref="B527:B528"/>
    <mergeCell ref="C536:E536"/>
    <mergeCell ref="F536:G536"/>
    <mergeCell ref="C538:E538"/>
    <mergeCell ref="F538:G538"/>
    <mergeCell ref="A529:C529"/>
    <mergeCell ref="A530:C530"/>
    <mergeCell ref="A531:D531"/>
    <mergeCell ref="A532:D532"/>
    <mergeCell ref="A533:D533"/>
    <mergeCell ref="A534:D534"/>
    <mergeCell ref="A535:F535"/>
    <mergeCell ref="A536:A537"/>
    <mergeCell ref="B536:B537"/>
    <mergeCell ref="A538:A539"/>
    <mergeCell ref="B538:B539"/>
    <mergeCell ref="A540:C540"/>
    <mergeCell ref="A541:C541"/>
    <mergeCell ref="A542:D542"/>
    <mergeCell ref="C553:E553"/>
    <mergeCell ref="F553:G553"/>
    <mergeCell ref="C562:E562"/>
    <mergeCell ref="F562:G562"/>
    <mergeCell ref="F573:G573"/>
    <mergeCell ref="A575:G575"/>
    <mergeCell ref="F576:G576"/>
    <mergeCell ref="B577:G577"/>
    <mergeCell ref="A578:F578"/>
    <mergeCell ref="A579:A580"/>
    <mergeCell ref="B579:B580"/>
    <mergeCell ref="A581:C581"/>
    <mergeCell ref="A582:C582"/>
    <mergeCell ref="A583:D583"/>
    <mergeCell ref="A584:D584"/>
    <mergeCell ref="A585:D585"/>
    <mergeCell ref="A586:D586"/>
    <mergeCell ref="A587:F587"/>
    <mergeCell ref="A555:C555"/>
    <mergeCell ref="A556:C556"/>
    <mergeCell ref="A557:D557"/>
    <mergeCell ref="A558:D558"/>
    <mergeCell ref="A559:D559"/>
    <mergeCell ref="A560:D560"/>
    <mergeCell ref="A561:F561"/>
    <mergeCell ref="A562:A563"/>
    <mergeCell ref="B562:B563"/>
    <mergeCell ref="A564:A565"/>
    <mergeCell ref="B564:B565"/>
    <mergeCell ref="C564:E564"/>
    <mergeCell ref="F564:G564"/>
    <mergeCell ref="A566:C566"/>
    <mergeCell ref="B573:B574"/>
    <mergeCell ref="C573:E573"/>
    <mergeCell ref="A567:C567"/>
    <mergeCell ref="A568:D568"/>
    <mergeCell ref="A569:D569"/>
    <mergeCell ref="A570:D570"/>
    <mergeCell ref="A571:D571"/>
    <mergeCell ref="A572:G572"/>
    <mergeCell ref="A573:A574"/>
    <mergeCell ref="C579:E579"/>
    <mergeCell ref="F579:G579"/>
    <mergeCell ref="C588:E588"/>
    <mergeCell ref="F588:G588"/>
    <mergeCell ref="C590:E590"/>
    <mergeCell ref="F590:G590"/>
    <mergeCell ref="A588:A589"/>
    <mergeCell ref="B588:B589"/>
    <mergeCell ref="A590:A591"/>
    <mergeCell ref="B590:B591"/>
    <mergeCell ref="A592:C592"/>
    <mergeCell ref="A593:C593"/>
    <mergeCell ref="A594:D594"/>
    <mergeCell ref="A595:D595"/>
    <mergeCell ref="A596:D596"/>
    <mergeCell ref="A597:D597"/>
    <mergeCell ref="A598:G598"/>
    <mergeCell ref="A599:A600"/>
    <mergeCell ref="B599:B600"/>
    <mergeCell ref="F599:G599"/>
    <mergeCell ref="C605:E605"/>
    <mergeCell ref="F605:G605"/>
    <mergeCell ref="C599:E599"/>
    <mergeCell ref="A601:G601"/>
    <mergeCell ref="F602:G602"/>
    <mergeCell ref="B603:G603"/>
    <mergeCell ref="A604:F604"/>
    <mergeCell ref="A605:A606"/>
    <mergeCell ref="B605:B606"/>
    <mergeCell ref="C614:E614"/>
    <mergeCell ref="F614:G614"/>
    <mergeCell ref="C616:E616"/>
    <mergeCell ref="F616:G616"/>
    <mergeCell ref="A607:C607"/>
    <mergeCell ref="A608:C608"/>
    <mergeCell ref="A609:D609"/>
    <mergeCell ref="A610:D610"/>
    <mergeCell ref="A611:D611"/>
    <mergeCell ref="A612:D612"/>
    <mergeCell ref="A613:F613"/>
    <mergeCell ref="A614:A615"/>
    <mergeCell ref="B614:B615"/>
    <mergeCell ref="A616:A617"/>
    <mergeCell ref="B616:B617"/>
    <mergeCell ref="A618:C618"/>
    <mergeCell ref="A619:C619"/>
    <mergeCell ref="A620:D620"/>
    <mergeCell ref="C631:E631"/>
    <mergeCell ref="F631:G631"/>
    <mergeCell ref="A647:D647"/>
    <mergeCell ref="A648:D648"/>
    <mergeCell ref="A649:D649"/>
    <mergeCell ref="A650:D650"/>
    <mergeCell ref="A651:A652"/>
    <mergeCell ref="B651:B652"/>
    <mergeCell ref="F651:G651"/>
    <mergeCell ref="C651:E651"/>
    <mergeCell ref="A653:G653"/>
    <mergeCell ref="F654:G654"/>
    <mergeCell ref="B655:G655"/>
    <mergeCell ref="A656:F656"/>
    <mergeCell ref="A657:A658"/>
    <mergeCell ref="B657:B658"/>
    <mergeCell ref="A621:D621"/>
    <mergeCell ref="A622:D622"/>
    <mergeCell ref="A623:D623"/>
    <mergeCell ref="A624:G624"/>
    <mergeCell ref="A625:A626"/>
    <mergeCell ref="B625:B626"/>
    <mergeCell ref="F625:G625"/>
    <mergeCell ref="C625:E625"/>
    <mergeCell ref="A627:G627"/>
    <mergeCell ref="F628:G628"/>
    <mergeCell ref="B629:G629"/>
    <mergeCell ref="A630:F630"/>
    <mergeCell ref="A631:A632"/>
    <mergeCell ref="B631:B632"/>
    <mergeCell ref="C640:E640"/>
    <mergeCell ref="F640:G640"/>
    <mergeCell ref="C642:E642"/>
    <mergeCell ref="F642:G642"/>
    <mergeCell ref="A633:C633"/>
    <mergeCell ref="A634:C634"/>
    <mergeCell ref="A635:D635"/>
    <mergeCell ref="A636:D636"/>
    <mergeCell ref="A637:D637"/>
    <mergeCell ref="A638:D638"/>
    <mergeCell ref="A639:F639"/>
    <mergeCell ref="A640:A641"/>
    <mergeCell ref="B640:B641"/>
    <mergeCell ref="A642:A643"/>
    <mergeCell ref="B642:B643"/>
    <mergeCell ref="A644:C644"/>
    <mergeCell ref="A645:C645"/>
    <mergeCell ref="A646:D646"/>
    <mergeCell ref="C657:E657"/>
    <mergeCell ref="F657:G657"/>
    <mergeCell ref="C666:E666"/>
    <mergeCell ref="F666:G666"/>
  </mergeCell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6" max="6" width="11.86"/>
    <col hidden="1" min="8" max="9" width="14.43"/>
  </cols>
  <sheetData>
    <row r="1">
      <c r="A1" s="111" t="s">
        <v>742</v>
      </c>
      <c r="B1" s="111" t="s">
        <v>745</v>
      </c>
      <c r="C1" s="112" t="s">
        <v>6</v>
      </c>
      <c r="D1" s="2"/>
      <c r="E1" s="3"/>
      <c r="F1" s="112" t="s">
        <v>746</v>
      </c>
      <c r="G1" s="3"/>
      <c r="H1" s="465"/>
      <c r="I1" s="465"/>
    </row>
    <row r="2">
      <c r="A2" s="20"/>
      <c r="B2" s="20"/>
      <c r="C2" s="115" t="s">
        <v>8</v>
      </c>
      <c r="D2" s="115" t="s">
        <v>9</v>
      </c>
      <c r="E2" s="115" t="s">
        <v>358</v>
      </c>
      <c r="F2" s="115" t="s">
        <v>11</v>
      </c>
      <c r="G2" s="115" t="s">
        <v>751</v>
      </c>
      <c r="H2" s="465"/>
      <c r="I2" s="465"/>
    </row>
    <row r="3">
      <c r="A3" s="466" t="s">
        <v>1673</v>
      </c>
      <c r="B3" s="2"/>
      <c r="C3" s="2"/>
      <c r="D3" s="2"/>
      <c r="E3" s="2"/>
      <c r="F3" s="2"/>
      <c r="G3" s="3"/>
      <c r="H3" s="465"/>
      <c r="I3" s="465"/>
    </row>
    <row r="4">
      <c r="A4" s="119"/>
      <c r="B4" s="120" t="s">
        <v>754</v>
      </c>
      <c r="C4" s="120" t="s">
        <v>22</v>
      </c>
      <c r="D4" s="120" t="s">
        <v>757</v>
      </c>
      <c r="E4" s="121">
        <v>10.0</v>
      </c>
      <c r="F4" s="467"/>
      <c r="G4" s="3"/>
      <c r="H4" s="465"/>
      <c r="I4" s="465"/>
    </row>
    <row r="5">
      <c r="A5" s="120" t="s">
        <v>761</v>
      </c>
      <c r="B5" s="123" t="s">
        <v>1675</v>
      </c>
      <c r="C5" s="2"/>
      <c r="D5" s="2"/>
      <c r="E5" s="2"/>
      <c r="F5" s="2"/>
      <c r="G5" s="3"/>
      <c r="H5" s="465"/>
      <c r="I5" s="465"/>
    </row>
    <row r="6">
      <c r="A6" s="124" t="s">
        <v>764</v>
      </c>
      <c r="B6" s="2"/>
      <c r="C6" s="2"/>
      <c r="D6" s="2"/>
      <c r="E6" s="2"/>
      <c r="F6" s="3"/>
      <c r="G6" s="125" t="s">
        <v>766</v>
      </c>
      <c r="H6" s="465"/>
      <c r="I6" s="465"/>
    </row>
    <row r="7">
      <c r="A7" s="126"/>
      <c r="B7" s="127" t="s">
        <v>1677</v>
      </c>
      <c r="C7" s="123" t="s">
        <v>1678</v>
      </c>
      <c r="D7" s="2"/>
      <c r="E7" s="3"/>
      <c r="F7" s="467"/>
      <c r="G7" s="3"/>
      <c r="H7" s="465"/>
      <c r="I7" s="465"/>
    </row>
    <row r="8">
      <c r="A8" s="20"/>
      <c r="B8" s="20"/>
      <c r="C8" s="120" t="s">
        <v>22</v>
      </c>
      <c r="D8" s="121">
        <v>13.0</v>
      </c>
      <c r="E8" s="121">
        <v>38.0</v>
      </c>
      <c r="F8" s="121">
        <f>D8*E8</f>
        <v>494</v>
      </c>
      <c r="G8" s="120" t="s">
        <v>772</v>
      </c>
      <c r="H8" s="465"/>
      <c r="I8" s="465"/>
    </row>
    <row r="9">
      <c r="A9" s="129" t="s">
        <v>42</v>
      </c>
      <c r="B9" s="2"/>
      <c r="C9" s="3"/>
      <c r="D9" s="121">
        <v>10.0</v>
      </c>
      <c r="E9" s="130" t="s">
        <v>22</v>
      </c>
      <c r="F9" s="121">
        <f>F8</f>
        <v>494</v>
      </c>
      <c r="G9" s="120"/>
      <c r="H9" s="465"/>
      <c r="I9" s="465"/>
    </row>
    <row r="10">
      <c r="A10" s="129" t="s">
        <v>800</v>
      </c>
      <c r="B10" s="2"/>
      <c r="C10" s="3"/>
      <c r="D10" s="121">
        <v>1.0</v>
      </c>
      <c r="E10" s="130" t="s">
        <v>22</v>
      </c>
      <c r="F10" s="121">
        <f>F9/D9</f>
        <v>49.4</v>
      </c>
      <c r="G10" s="120"/>
      <c r="H10" s="465"/>
      <c r="I10" s="465"/>
    </row>
    <row r="11">
      <c r="A11" s="133" t="s">
        <v>802</v>
      </c>
      <c r="B11" s="2"/>
      <c r="C11" s="2"/>
      <c r="D11" s="3"/>
      <c r="E11" s="121"/>
      <c r="F11" s="121">
        <f>F10*1%</f>
        <v>0.494</v>
      </c>
      <c r="G11" s="120"/>
      <c r="H11" s="465"/>
      <c r="I11" s="465"/>
    </row>
    <row r="12">
      <c r="A12" s="133" t="s">
        <v>42</v>
      </c>
      <c r="B12" s="2"/>
      <c r="C12" s="2"/>
      <c r="D12" s="3"/>
      <c r="E12" s="131"/>
      <c r="F12" s="121">
        <f>F10+F11</f>
        <v>49.894</v>
      </c>
      <c r="G12" s="120"/>
      <c r="H12" s="465"/>
      <c r="I12" s="465"/>
    </row>
    <row r="13">
      <c r="A13" s="133" t="s">
        <v>806</v>
      </c>
      <c r="B13" s="2"/>
      <c r="C13" s="2"/>
      <c r="D13" s="3"/>
      <c r="E13" s="121"/>
      <c r="F13" s="121">
        <f>F12*15%</f>
        <v>7.4841</v>
      </c>
      <c r="G13" s="120"/>
      <c r="H13" s="465"/>
      <c r="I13" s="465"/>
    </row>
    <row r="14">
      <c r="A14" s="133" t="s">
        <v>42</v>
      </c>
      <c r="B14" s="2"/>
      <c r="C14" s="2"/>
      <c r="D14" s="3"/>
      <c r="E14" s="131"/>
      <c r="F14" s="300">
        <f>round(F12+F13,2)</f>
        <v>57.38</v>
      </c>
      <c r="G14" s="120"/>
      <c r="H14" s="465"/>
      <c r="I14" s="465"/>
    </row>
    <row r="15">
      <c r="A15" s="124" t="s">
        <v>777</v>
      </c>
      <c r="B15" s="2"/>
      <c r="C15" s="2"/>
      <c r="D15" s="2"/>
      <c r="E15" s="2"/>
      <c r="F15" s="3"/>
      <c r="G15" s="125" t="s">
        <v>778</v>
      </c>
      <c r="H15" s="465"/>
      <c r="I15" s="465"/>
    </row>
    <row r="16">
      <c r="A16" s="127">
        <v>116.0</v>
      </c>
      <c r="B16" s="126"/>
      <c r="C16" s="123" t="s">
        <v>535</v>
      </c>
      <c r="D16" s="2"/>
      <c r="E16" s="3"/>
      <c r="F16" s="467"/>
      <c r="G16" s="3"/>
      <c r="H16" s="465"/>
      <c r="I16" s="465"/>
    </row>
    <row r="17">
      <c r="A17" s="20"/>
      <c r="B17" s="20"/>
      <c r="C17" s="120" t="s">
        <v>27</v>
      </c>
      <c r="D17" s="121">
        <v>0.33</v>
      </c>
      <c r="E17" s="121">
        <v>784.0</v>
      </c>
      <c r="F17" s="121">
        <f>D17*E17</f>
        <v>258.72</v>
      </c>
      <c r="G17" s="120" t="s">
        <v>780</v>
      </c>
      <c r="H17" s="465"/>
      <c r="I17" s="465"/>
    </row>
    <row r="18">
      <c r="A18" s="127">
        <v>117.0</v>
      </c>
      <c r="B18" s="126"/>
      <c r="C18" s="123" t="s">
        <v>856</v>
      </c>
      <c r="D18" s="2"/>
      <c r="E18" s="3"/>
      <c r="F18" s="467"/>
      <c r="G18" s="3"/>
      <c r="H18" s="465"/>
      <c r="I18" s="465"/>
    </row>
    <row r="19">
      <c r="A19" s="20"/>
      <c r="B19" s="20"/>
      <c r="C19" s="120" t="s">
        <v>27</v>
      </c>
      <c r="D19" s="121">
        <v>0.66</v>
      </c>
      <c r="E19" s="121">
        <v>714.0</v>
      </c>
      <c r="F19" s="121">
        <f>D19*E19</f>
        <v>471.24</v>
      </c>
      <c r="G19" s="120" t="s">
        <v>782</v>
      </c>
      <c r="H19" s="465"/>
      <c r="I19" s="465"/>
    </row>
    <row r="20">
      <c r="A20" s="127">
        <v>114.0</v>
      </c>
      <c r="B20" s="126"/>
      <c r="C20" s="123" t="s">
        <v>97</v>
      </c>
      <c r="D20" s="2"/>
      <c r="E20" s="3"/>
      <c r="F20" s="467"/>
      <c r="G20" s="3"/>
      <c r="H20" s="465"/>
      <c r="I20" s="465"/>
    </row>
    <row r="21">
      <c r="A21" s="20"/>
      <c r="B21" s="20"/>
      <c r="C21" s="120" t="s">
        <v>27</v>
      </c>
      <c r="D21" s="121">
        <v>0.66</v>
      </c>
      <c r="E21" s="121">
        <v>645.0</v>
      </c>
      <c r="F21" s="121">
        <f>D21*E21</f>
        <v>425.7</v>
      </c>
      <c r="G21" s="120" t="s">
        <v>791</v>
      </c>
      <c r="H21" s="465"/>
      <c r="I21" s="465"/>
    </row>
    <row r="22">
      <c r="A22" s="124" t="s">
        <v>793</v>
      </c>
      <c r="B22" s="2"/>
      <c r="C22" s="2"/>
      <c r="D22" s="2"/>
      <c r="E22" s="2"/>
      <c r="F22" s="3"/>
      <c r="G22" s="125" t="s">
        <v>778</v>
      </c>
      <c r="H22" s="465"/>
      <c r="I22" s="465"/>
    </row>
    <row r="23">
      <c r="A23" s="127">
        <v>18.78</v>
      </c>
      <c r="B23" s="126"/>
      <c r="C23" s="123" t="s">
        <v>1688</v>
      </c>
      <c r="D23" s="2"/>
      <c r="E23" s="3"/>
      <c r="F23" s="467"/>
      <c r="G23" s="3"/>
      <c r="H23" s="465"/>
      <c r="I23" s="465"/>
    </row>
    <row r="24">
      <c r="A24" s="20"/>
      <c r="B24" s="20"/>
      <c r="C24" s="120" t="s">
        <v>1014</v>
      </c>
      <c r="D24" s="121">
        <v>10.0</v>
      </c>
      <c r="E24" s="121">
        <v>128.39</v>
      </c>
      <c r="F24" s="121">
        <f>D24*E24</f>
        <v>1283.9</v>
      </c>
      <c r="G24" s="120" t="s">
        <v>797</v>
      </c>
      <c r="H24" s="465"/>
      <c r="I24" s="465"/>
    </row>
    <row r="25">
      <c r="A25" s="129" t="s">
        <v>42</v>
      </c>
      <c r="B25" s="2"/>
      <c r="C25" s="3"/>
      <c r="D25" s="121">
        <v>10.0</v>
      </c>
      <c r="E25" s="130" t="s">
        <v>22</v>
      </c>
      <c r="F25" s="470">
        <f>F17+F19+F21+F24</f>
        <v>2439.56</v>
      </c>
      <c r="G25" s="131"/>
      <c r="H25" s="465"/>
      <c r="I25" s="465"/>
    </row>
    <row r="26">
      <c r="A26" s="129" t="s">
        <v>800</v>
      </c>
      <c r="B26" s="2"/>
      <c r="C26" s="3"/>
      <c r="D26" s="121">
        <v>1.0</v>
      </c>
      <c r="E26" s="130" t="s">
        <v>22</v>
      </c>
      <c r="F26" s="121">
        <f>F25/D25</f>
        <v>243.956</v>
      </c>
      <c r="G26" s="131"/>
      <c r="H26" s="465"/>
      <c r="I26" s="465"/>
    </row>
    <row r="27">
      <c r="A27" s="133" t="s">
        <v>802</v>
      </c>
      <c r="B27" s="2"/>
      <c r="C27" s="2"/>
      <c r="D27" s="3"/>
      <c r="E27" s="121"/>
      <c r="F27" s="121">
        <f>F26*1%</f>
        <v>2.43956</v>
      </c>
      <c r="G27" s="131"/>
      <c r="H27" s="465"/>
      <c r="I27" s="465"/>
    </row>
    <row r="28">
      <c r="A28" s="133" t="s">
        <v>42</v>
      </c>
      <c r="B28" s="2"/>
      <c r="C28" s="2"/>
      <c r="D28" s="3"/>
      <c r="E28" s="131"/>
      <c r="F28" s="121">
        <f>F26+F27</f>
        <v>246.39556</v>
      </c>
      <c r="G28" s="131"/>
      <c r="H28" s="465"/>
      <c r="I28" s="465"/>
    </row>
    <row r="29">
      <c r="A29" s="133" t="s">
        <v>806</v>
      </c>
      <c r="B29" s="2"/>
      <c r="C29" s="2"/>
      <c r="D29" s="3"/>
      <c r="E29" s="121"/>
      <c r="F29" s="121">
        <f>F28*15%</f>
        <v>36.959334</v>
      </c>
      <c r="G29" s="131"/>
      <c r="H29" s="465"/>
      <c r="I29" s="465"/>
    </row>
    <row r="30">
      <c r="A30" s="133" t="s">
        <v>42</v>
      </c>
      <c r="B30" s="2"/>
      <c r="C30" s="2"/>
      <c r="D30" s="3"/>
      <c r="E30" s="131"/>
      <c r="F30" s="300">
        <f>round(F28+F29,2)</f>
        <v>283.35</v>
      </c>
      <c r="G30" s="131"/>
      <c r="H30" s="465"/>
      <c r="I30" s="465"/>
    </row>
    <row r="31">
      <c r="A31" s="471" t="str">
        <f>CONCATENATE("Say ₹ ",F14," + ",F30," x Cost Index")</f>
        <v>Say ₹ 57.38 + 283.35 x Cost Index</v>
      </c>
      <c r="B31" s="2"/>
      <c r="C31" s="2"/>
      <c r="D31" s="2"/>
      <c r="E31" s="2"/>
      <c r="F31" s="3"/>
      <c r="G31" s="472" t="s">
        <v>939</v>
      </c>
      <c r="H31" s="473">
        <f>F8*1.01*1.15/10</f>
        <v>57.3781</v>
      </c>
      <c r="I31" s="473">
        <f>(F17+F19+F21+F24)*1.01*1.15/10</f>
        <v>283.354894</v>
      </c>
    </row>
    <row r="32">
      <c r="A32" s="111" t="s">
        <v>742</v>
      </c>
      <c r="B32" s="111" t="s">
        <v>745</v>
      </c>
      <c r="C32" s="112" t="s">
        <v>6</v>
      </c>
      <c r="D32" s="2"/>
      <c r="E32" s="3"/>
      <c r="F32" s="112" t="s">
        <v>746</v>
      </c>
      <c r="G32" s="3"/>
      <c r="H32" s="465"/>
      <c r="I32" s="465"/>
    </row>
    <row r="33">
      <c r="A33" s="20"/>
      <c r="B33" s="20"/>
      <c r="C33" s="115" t="s">
        <v>8</v>
      </c>
      <c r="D33" s="115" t="s">
        <v>9</v>
      </c>
      <c r="E33" s="115" t="s">
        <v>358</v>
      </c>
      <c r="F33" s="115" t="s">
        <v>11</v>
      </c>
      <c r="G33" s="115" t="s">
        <v>751</v>
      </c>
      <c r="H33" s="465"/>
      <c r="I33" s="465"/>
    </row>
    <row r="34">
      <c r="A34" s="466" t="s">
        <v>1699</v>
      </c>
      <c r="B34" s="2"/>
      <c r="C34" s="2"/>
      <c r="D34" s="2"/>
      <c r="E34" s="2"/>
      <c r="F34" s="2"/>
      <c r="G34" s="3"/>
      <c r="H34" s="465"/>
      <c r="I34" s="465"/>
    </row>
    <row r="35">
      <c r="A35" s="119"/>
      <c r="B35" s="120" t="s">
        <v>754</v>
      </c>
      <c r="C35" s="120" t="s">
        <v>22</v>
      </c>
      <c r="D35" s="120" t="s">
        <v>757</v>
      </c>
      <c r="E35" s="121">
        <v>10.0</v>
      </c>
      <c r="F35" s="467"/>
      <c r="G35" s="3"/>
      <c r="H35" s="465"/>
      <c r="I35" s="465"/>
    </row>
    <row r="36">
      <c r="A36" s="120" t="s">
        <v>761</v>
      </c>
      <c r="B36" s="123" t="s">
        <v>519</v>
      </c>
      <c r="C36" s="2"/>
      <c r="D36" s="2"/>
      <c r="E36" s="2"/>
      <c r="F36" s="2"/>
      <c r="G36" s="3"/>
      <c r="H36" s="465"/>
      <c r="I36" s="465"/>
    </row>
    <row r="37">
      <c r="A37" s="124" t="s">
        <v>764</v>
      </c>
      <c r="B37" s="2"/>
      <c r="C37" s="2"/>
      <c r="D37" s="2"/>
      <c r="E37" s="2"/>
      <c r="F37" s="3"/>
      <c r="G37" s="125" t="s">
        <v>766</v>
      </c>
      <c r="H37" s="465"/>
      <c r="I37" s="465"/>
    </row>
    <row r="38">
      <c r="A38" s="126"/>
      <c r="B38" s="127" t="s">
        <v>1701</v>
      </c>
      <c r="C38" s="123" t="s">
        <v>1702</v>
      </c>
      <c r="D38" s="2"/>
      <c r="E38" s="3"/>
      <c r="F38" s="467"/>
      <c r="G38" s="3"/>
      <c r="H38" s="465"/>
      <c r="I38" s="465"/>
    </row>
    <row r="39">
      <c r="A39" s="20"/>
      <c r="B39" s="20"/>
      <c r="C39" s="120" t="s">
        <v>22</v>
      </c>
      <c r="D39" s="121">
        <v>13.0</v>
      </c>
      <c r="E39" s="121">
        <v>27.0</v>
      </c>
      <c r="F39" s="121">
        <f>E39*D39</f>
        <v>351</v>
      </c>
      <c r="G39" s="120" t="s">
        <v>772</v>
      </c>
      <c r="H39" s="465"/>
      <c r="I39" s="465"/>
    </row>
    <row r="40">
      <c r="A40" s="129" t="s">
        <v>42</v>
      </c>
      <c r="B40" s="2"/>
      <c r="C40" s="3"/>
      <c r="D40" s="121">
        <v>10.0</v>
      </c>
      <c r="E40" s="130" t="s">
        <v>22</v>
      </c>
      <c r="F40" s="121">
        <f>F39</f>
        <v>351</v>
      </c>
      <c r="G40" s="120"/>
      <c r="H40" s="465"/>
      <c r="I40" s="465"/>
    </row>
    <row r="41">
      <c r="A41" s="129" t="s">
        <v>800</v>
      </c>
      <c r="B41" s="2"/>
      <c r="C41" s="3"/>
      <c r="D41" s="121">
        <v>1.0</v>
      </c>
      <c r="E41" s="130" t="s">
        <v>22</v>
      </c>
      <c r="F41" s="121">
        <f>F40/D40</f>
        <v>35.1</v>
      </c>
      <c r="G41" s="120"/>
      <c r="H41" s="465"/>
      <c r="I41" s="465"/>
    </row>
    <row r="42">
      <c r="A42" s="133" t="s">
        <v>802</v>
      </c>
      <c r="B42" s="2"/>
      <c r="C42" s="2"/>
      <c r="D42" s="3"/>
      <c r="E42" s="121"/>
      <c r="F42" s="121">
        <f>F41*1%</f>
        <v>0.351</v>
      </c>
      <c r="G42" s="120"/>
      <c r="H42" s="465"/>
      <c r="I42" s="465"/>
    </row>
    <row r="43">
      <c r="A43" s="133" t="s">
        <v>42</v>
      </c>
      <c r="B43" s="2"/>
      <c r="C43" s="2"/>
      <c r="D43" s="3"/>
      <c r="E43" s="131"/>
      <c r="F43" s="121">
        <f>F41+F42</f>
        <v>35.451</v>
      </c>
      <c r="G43" s="120"/>
      <c r="H43" s="465"/>
      <c r="I43" s="465"/>
    </row>
    <row r="44">
      <c r="A44" s="133" t="s">
        <v>806</v>
      </c>
      <c r="B44" s="2"/>
      <c r="C44" s="2"/>
      <c r="D44" s="3"/>
      <c r="E44" s="121"/>
      <c r="F44" s="121">
        <f>F43*15%</f>
        <v>5.31765</v>
      </c>
      <c r="G44" s="120"/>
      <c r="H44" s="465"/>
      <c r="I44" s="465"/>
    </row>
    <row r="45">
      <c r="A45" s="133" t="s">
        <v>42</v>
      </c>
      <c r="B45" s="2"/>
      <c r="C45" s="2"/>
      <c r="D45" s="3"/>
      <c r="E45" s="131"/>
      <c r="F45" s="300">
        <f>round(F43+F44,2)</f>
        <v>40.77</v>
      </c>
      <c r="G45" s="120"/>
      <c r="H45" s="465"/>
      <c r="I45" s="465"/>
    </row>
    <row r="46">
      <c r="A46" s="124" t="s">
        <v>777</v>
      </c>
      <c r="B46" s="2"/>
      <c r="C46" s="2"/>
      <c r="D46" s="2"/>
      <c r="E46" s="2"/>
      <c r="F46" s="3"/>
      <c r="G46" s="125" t="s">
        <v>778</v>
      </c>
      <c r="H46" s="465"/>
      <c r="I46" s="465"/>
    </row>
    <row r="47">
      <c r="A47" s="127">
        <v>116.0</v>
      </c>
      <c r="B47" s="126"/>
      <c r="C47" s="123" t="s">
        <v>535</v>
      </c>
      <c r="D47" s="2"/>
      <c r="E47" s="3"/>
      <c r="F47" s="467"/>
      <c r="G47" s="3"/>
      <c r="H47" s="465"/>
      <c r="I47" s="465"/>
    </row>
    <row r="48">
      <c r="A48" s="20"/>
      <c r="B48" s="20"/>
      <c r="C48" s="120" t="s">
        <v>27</v>
      </c>
      <c r="D48" s="121">
        <v>0.33</v>
      </c>
      <c r="E48" s="121">
        <v>784.0</v>
      </c>
      <c r="F48" s="121">
        <f>E48*D48</f>
        <v>258.72</v>
      </c>
      <c r="G48" s="120" t="s">
        <v>780</v>
      </c>
      <c r="H48" s="465"/>
      <c r="I48" s="465"/>
    </row>
    <row r="49">
      <c r="A49" s="127">
        <v>117.0</v>
      </c>
      <c r="B49" s="126"/>
      <c r="C49" s="123" t="s">
        <v>856</v>
      </c>
      <c r="D49" s="2"/>
      <c r="E49" s="3"/>
      <c r="F49" s="467"/>
      <c r="G49" s="3"/>
      <c r="H49" s="465"/>
      <c r="I49" s="465"/>
    </row>
    <row r="50">
      <c r="A50" s="20"/>
      <c r="B50" s="20"/>
      <c r="C50" s="120" t="s">
        <v>27</v>
      </c>
      <c r="D50" s="121">
        <v>0.66</v>
      </c>
      <c r="E50" s="121">
        <v>714.0</v>
      </c>
      <c r="F50" s="121">
        <f>E50*D50</f>
        <v>471.24</v>
      </c>
      <c r="G50" s="120" t="s">
        <v>782</v>
      </c>
      <c r="H50" s="465"/>
      <c r="I50" s="465"/>
    </row>
    <row r="51">
      <c r="A51" s="127">
        <v>114.0</v>
      </c>
      <c r="B51" s="126"/>
      <c r="C51" s="123" t="s">
        <v>97</v>
      </c>
      <c r="D51" s="2"/>
      <c r="E51" s="3"/>
      <c r="F51" s="467"/>
      <c r="G51" s="3"/>
      <c r="H51" s="465"/>
      <c r="I51" s="465"/>
    </row>
    <row r="52">
      <c r="A52" s="20"/>
      <c r="B52" s="20"/>
      <c r="C52" s="120" t="s">
        <v>27</v>
      </c>
      <c r="D52" s="121">
        <v>0.66</v>
      </c>
      <c r="E52" s="121">
        <v>645.0</v>
      </c>
      <c r="F52" s="121">
        <f>E52*D52</f>
        <v>425.7</v>
      </c>
      <c r="G52" s="120" t="s">
        <v>791</v>
      </c>
      <c r="H52" s="465"/>
      <c r="I52" s="465"/>
    </row>
    <row r="53">
      <c r="A53" s="124" t="s">
        <v>793</v>
      </c>
      <c r="B53" s="2"/>
      <c r="C53" s="2"/>
      <c r="D53" s="2"/>
      <c r="E53" s="2"/>
      <c r="F53" s="3"/>
      <c r="G53" s="125" t="s">
        <v>778</v>
      </c>
      <c r="H53" s="465"/>
      <c r="I53" s="465"/>
    </row>
    <row r="54">
      <c r="A54" s="127">
        <v>18.78</v>
      </c>
      <c r="B54" s="126"/>
      <c r="C54" s="123" t="s">
        <v>1688</v>
      </c>
      <c r="D54" s="2"/>
      <c r="E54" s="3"/>
      <c r="F54" s="467"/>
      <c r="G54" s="3"/>
      <c r="H54" s="465"/>
      <c r="I54" s="465"/>
    </row>
    <row r="55">
      <c r="A55" s="20"/>
      <c r="B55" s="20"/>
      <c r="C55" s="120" t="s">
        <v>1014</v>
      </c>
      <c r="D55" s="121">
        <v>10.0</v>
      </c>
      <c r="E55" s="121">
        <v>128.39</v>
      </c>
      <c r="F55" s="121">
        <f>D55*E55</f>
        <v>1283.9</v>
      </c>
      <c r="G55" s="120" t="s">
        <v>797</v>
      </c>
      <c r="H55" s="465"/>
      <c r="I55" s="465"/>
    </row>
    <row r="56">
      <c r="A56" s="129" t="s">
        <v>42</v>
      </c>
      <c r="B56" s="2"/>
      <c r="C56" s="3"/>
      <c r="D56" s="121">
        <v>10.0</v>
      </c>
      <c r="E56" s="130" t="s">
        <v>22</v>
      </c>
      <c r="F56" s="470">
        <f>F48+F50+F52+F55</f>
        <v>2439.56</v>
      </c>
      <c r="G56" s="131"/>
      <c r="H56" s="465"/>
      <c r="I56" s="465"/>
    </row>
    <row r="57">
      <c r="A57" s="129" t="s">
        <v>800</v>
      </c>
      <c r="B57" s="2"/>
      <c r="C57" s="3"/>
      <c r="D57" s="121">
        <v>1.0</v>
      </c>
      <c r="E57" s="130" t="s">
        <v>22</v>
      </c>
      <c r="F57" s="121">
        <f>F56/D56</f>
        <v>243.956</v>
      </c>
      <c r="G57" s="131"/>
      <c r="H57" s="465"/>
      <c r="I57" s="465"/>
    </row>
    <row r="58">
      <c r="A58" s="133" t="s">
        <v>802</v>
      </c>
      <c r="B58" s="2"/>
      <c r="C58" s="2"/>
      <c r="D58" s="3"/>
      <c r="E58" s="121"/>
      <c r="F58" s="121">
        <f>F57*1%</f>
        <v>2.43956</v>
      </c>
      <c r="G58" s="131"/>
      <c r="H58" s="465"/>
      <c r="I58" s="465"/>
    </row>
    <row r="59">
      <c r="A59" s="133" t="s">
        <v>42</v>
      </c>
      <c r="B59" s="2"/>
      <c r="C59" s="2"/>
      <c r="D59" s="3"/>
      <c r="E59" s="131"/>
      <c r="F59" s="121">
        <f>F57+F58</f>
        <v>246.39556</v>
      </c>
      <c r="G59" s="131"/>
      <c r="H59" s="465"/>
      <c r="I59" s="465"/>
    </row>
    <row r="60">
      <c r="A60" s="133" t="s">
        <v>806</v>
      </c>
      <c r="B60" s="2"/>
      <c r="C60" s="2"/>
      <c r="D60" s="3"/>
      <c r="E60" s="121"/>
      <c r="F60" s="121">
        <f>F59*15%</f>
        <v>36.959334</v>
      </c>
      <c r="G60" s="131"/>
      <c r="H60" s="465"/>
      <c r="I60" s="465"/>
    </row>
    <row r="61">
      <c r="A61" s="133" t="s">
        <v>42</v>
      </c>
      <c r="B61" s="2"/>
      <c r="C61" s="2"/>
      <c r="D61" s="3"/>
      <c r="E61" s="131"/>
      <c r="F61" s="300">
        <f>round(F59+F60,2)</f>
        <v>283.35</v>
      </c>
      <c r="G61" s="131"/>
      <c r="H61" s="465"/>
      <c r="I61" s="465"/>
    </row>
    <row r="62">
      <c r="A62" s="471" t="str">
        <f>CONCATENATE("Say ₹ ",F45," + ",F61," x Cost Index")</f>
        <v>Say ₹ 40.77 + 283.35 x Cost Index</v>
      </c>
      <c r="B62" s="2"/>
      <c r="C62" s="2"/>
      <c r="D62" s="2"/>
      <c r="E62" s="2"/>
      <c r="F62" s="3"/>
      <c r="G62" s="472" t="s">
        <v>939</v>
      </c>
      <c r="H62" s="473">
        <f>F39*1.01*1.15/10</f>
        <v>40.76865</v>
      </c>
      <c r="I62" s="473">
        <f>(F48+F50+F52+F55)*1.01*1.15/10</f>
        <v>283.354894</v>
      </c>
    </row>
    <row r="63">
      <c r="A63" s="111" t="s">
        <v>742</v>
      </c>
      <c r="B63" s="111" t="s">
        <v>745</v>
      </c>
      <c r="C63" s="112" t="s">
        <v>6</v>
      </c>
      <c r="D63" s="2"/>
      <c r="E63" s="3"/>
      <c r="F63" s="112" t="s">
        <v>746</v>
      </c>
      <c r="G63" s="3"/>
      <c r="H63" s="465"/>
      <c r="I63" s="465"/>
    </row>
    <row r="64">
      <c r="A64" s="20"/>
      <c r="B64" s="20"/>
      <c r="C64" s="115" t="s">
        <v>8</v>
      </c>
      <c r="D64" s="115" t="s">
        <v>9</v>
      </c>
      <c r="E64" s="115" t="s">
        <v>358</v>
      </c>
      <c r="F64" s="115" t="s">
        <v>11</v>
      </c>
      <c r="G64" s="115" t="s">
        <v>751</v>
      </c>
      <c r="H64" s="465"/>
      <c r="I64" s="465"/>
    </row>
    <row r="65">
      <c r="A65" s="466" t="s">
        <v>1709</v>
      </c>
      <c r="B65" s="2"/>
      <c r="C65" s="2"/>
      <c r="D65" s="2"/>
      <c r="E65" s="2"/>
      <c r="F65" s="2"/>
      <c r="G65" s="3"/>
      <c r="H65" s="465"/>
      <c r="I65" s="465"/>
    </row>
    <row r="66">
      <c r="A66" s="119"/>
      <c r="B66" s="120" t="s">
        <v>754</v>
      </c>
      <c r="C66" s="120" t="s">
        <v>22</v>
      </c>
      <c r="D66" s="120" t="s">
        <v>757</v>
      </c>
      <c r="E66" s="121">
        <v>10.0</v>
      </c>
      <c r="F66" s="467"/>
      <c r="G66" s="3"/>
      <c r="H66" s="465"/>
      <c r="I66" s="465"/>
    </row>
    <row r="67">
      <c r="A67" s="120" t="s">
        <v>761</v>
      </c>
      <c r="B67" s="123" t="s">
        <v>519</v>
      </c>
      <c r="C67" s="2"/>
      <c r="D67" s="2"/>
      <c r="E67" s="2"/>
      <c r="F67" s="2"/>
      <c r="G67" s="3"/>
      <c r="H67" s="465"/>
      <c r="I67" s="465"/>
    </row>
    <row r="68">
      <c r="A68" s="124" t="s">
        <v>764</v>
      </c>
      <c r="B68" s="2"/>
      <c r="C68" s="2"/>
      <c r="D68" s="2"/>
      <c r="E68" s="2"/>
      <c r="F68" s="3"/>
      <c r="G68" s="125" t="s">
        <v>766</v>
      </c>
      <c r="H68" s="465"/>
      <c r="I68" s="465"/>
    </row>
    <row r="69">
      <c r="A69" s="126"/>
      <c r="B69" s="127" t="s">
        <v>1712</v>
      </c>
      <c r="C69" s="123" t="s">
        <v>1713</v>
      </c>
      <c r="D69" s="2"/>
      <c r="E69" s="3"/>
      <c r="F69" s="467"/>
      <c r="G69" s="3"/>
      <c r="H69" s="465"/>
      <c r="I69" s="465"/>
    </row>
    <row r="70">
      <c r="A70" s="20"/>
      <c r="B70" s="20"/>
      <c r="C70" s="120" t="s">
        <v>22</v>
      </c>
      <c r="D70" s="121">
        <v>13.0</v>
      </c>
      <c r="E70" s="121">
        <v>40.5</v>
      </c>
      <c r="F70" s="121">
        <f>E70*D70</f>
        <v>526.5</v>
      </c>
      <c r="G70" s="120" t="s">
        <v>772</v>
      </c>
      <c r="H70" s="465"/>
      <c r="I70" s="465"/>
    </row>
    <row r="71">
      <c r="A71" s="129" t="s">
        <v>42</v>
      </c>
      <c r="B71" s="2"/>
      <c r="C71" s="3"/>
      <c r="D71" s="121">
        <v>10.0</v>
      </c>
      <c r="E71" s="130" t="s">
        <v>22</v>
      </c>
      <c r="F71" s="121">
        <f>F70</f>
        <v>526.5</v>
      </c>
      <c r="G71" s="120"/>
      <c r="H71" s="465"/>
      <c r="I71" s="465"/>
    </row>
    <row r="72">
      <c r="A72" s="129" t="s">
        <v>800</v>
      </c>
      <c r="B72" s="2"/>
      <c r="C72" s="3"/>
      <c r="D72" s="121">
        <v>1.0</v>
      </c>
      <c r="E72" s="130" t="s">
        <v>22</v>
      </c>
      <c r="F72" s="121">
        <f>F71/D71</f>
        <v>52.65</v>
      </c>
      <c r="G72" s="120"/>
      <c r="H72" s="465"/>
      <c r="I72" s="465"/>
    </row>
    <row r="73">
      <c r="A73" s="133" t="s">
        <v>802</v>
      </c>
      <c r="B73" s="2"/>
      <c r="C73" s="2"/>
      <c r="D73" s="3"/>
      <c r="E73" s="121"/>
      <c r="F73" s="121">
        <f>F72*1%</f>
        <v>0.5265</v>
      </c>
      <c r="G73" s="120"/>
      <c r="H73" s="465"/>
      <c r="I73" s="465"/>
    </row>
    <row r="74">
      <c r="A74" s="133" t="s">
        <v>42</v>
      </c>
      <c r="B74" s="2"/>
      <c r="C74" s="2"/>
      <c r="D74" s="3"/>
      <c r="E74" s="131"/>
      <c r="F74" s="121">
        <f>F72+F73</f>
        <v>53.1765</v>
      </c>
      <c r="G74" s="120"/>
      <c r="H74" s="465"/>
      <c r="I74" s="465"/>
    </row>
    <row r="75">
      <c r="A75" s="133" t="s">
        <v>806</v>
      </c>
      <c r="B75" s="2"/>
      <c r="C75" s="2"/>
      <c r="D75" s="3"/>
      <c r="E75" s="121"/>
      <c r="F75" s="121">
        <f>F74*15%</f>
        <v>7.976475</v>
      </c>
      <c r="G75" s="120"/>
      <c r="H75" s="465"/>
      <c r="I75" s="465"/>
    </row>
    <row r="76">
      <c r="A76" s="133" t="s">
        <v>42</v>
      </c>
      <c r="B76" s="2"/>
      <c r="C76" s="2"/>
      <c r="D76" s="3"/>
      <c r="E76" s="131"/>
      <c r="F76" s="300">
        <f>round(F74+F75,2)</f>
        <v>61.15</v>
      </c>
      <c r="G76" s="120"/>
      <c r="H76" s="465"/>
      <c r="I76" s="465"/>
    </row>
    <row r="77">
      <c r="A77" s="124" t="s">
        <v>777</v>
      </c>
      <c r="B77" s="2"/>
      <c r="C77" s="2"/>
      <c r="D77" s="2"/>
      <c r="E77" s="2"/>
      <c r="F77" s="3"/>
      <c r="G77" s="125" t="s">
        <v>778</v>
      </c>
      <c r="H77" s="465"/>
      <c r="I77" s="465"/>
    </row>
    <row r="78">
      <c r="A78" s="127">
        <v>116.0</v>
      </c>
      <c r="B78" s="126"/>
      <c r="C78" s="123" t="s">
        <v>535</v>
      </c>
      <c r="D78" s="2"/>
      <c r="E78" s="3"/>
      <c r="F78" s="467"/>
      <c r="G78" s="3"/>
      <c r="H78" s="465"/>
      <c r="I78" s="465"/>
    </row>
    <row r="79">
      <c r="A79" s="20"/>
      <c r="B79" s="20"/>
      <c r="C79" s="120" t="s">
        <v>27</v>
      </c>
      <c r="D79" s="121">
        <v>0.33</v>
      </c>
      <c r="E79" s="121">
        <v>784.0</v>
      </c>
      <c r="F79" s="121">
        <f>E79*D79</f>
        <v>258.72</v>
      </c>
      <c r="G79" s="120" t="s">
        <v>780</v>
      </c>
      <c r="H79" s="465"/>
      <c r="I79" s="465"/>
    </row>
    <row r="80">
      <c r="A80" s="127">
        <v>117.0</v>
      </c>
      <c r="B80" s="126"/>
      <c r="C80" s="123" t="s">
        <v>856</v>
      </c>
      <c r="D80" s="2"/>
      <c r="E80" s="3"/>
      <c r="F80" s="467"/>
      <c r="G80" s="3"/>
      <c r="H80" s="465"/>
      <c r="I80" s="465"/>
    </row>
    <row r="81">
      <c r="A81" s="20"/>
      <c r="B81" s="20"/>
      <c r="C81" s="120" t="s">
        <v>27</v>
      </c>
      <c r="D81" s="121">
        <v>0.66</v>
      </c>
      <c r="E81" s="121">
        <v>714.0</v>
      </c>
      <c r="F81" s="121">
        <f>E81*D81</f>
        <v>471.24</v>
      </c>
      <c r="G81" s="120" t="s">
        <v>782</v>
      </c>
      <c r="H81" s="465"/>
      <c r="I81" s="465"/>
    </row>
    <row r="82">
      <c r="A82" s="127">
        <v>114.0</v>
      </c>
      <c r="B82" s="126"/>
      <c r="C82" s="123" t="s">
        <v>97</v>
      </c>
      <c r="D82" s="2"/>
      <c r="E82" s="3"/>
      <c r="F82" s="467"/>
      <c r="G82" s="3"/>
      <c r="H82" s="465"/>
      <c r="I82" s="465"/>
    </row>
    <row r="83">
      <c r="A83" s="20"/>
      <c r="B83" s="20"/>
      <c r="C83" s="120" t="s">
        <v>27</v>
      </c>
      <c r="D83" s="121">
        <v>0.66</v>
      </c>
      <c r="E83" s="121">
        <v>645.0</v>
      </c>
      <c r="F83" s="121">
        <f>E83*D83</f>
        <v>425.7</v>
      </c>
      <c r="G83" s="120" t="s">
        <v>791</v>
      </c>
      <c r="H83" s="465"/>
      <c r="I83" s="465"/>
    </row>
    <row r="84">
      <c r="A84" s="124" t="s">
        <v>793</v>
      </c>
      <c r="B84" s="2"/>
      <c r="C84" s="2"/>
      <c r="D84" s="2"/>
      <c r="E84" s="2"/>
      <c r="F84" s="3"/>
      <c r="G84" s="125" t="s">
        <v>778</v>
      </c>
      <c r="H84" s="465"/>
      <c r="I84" s="465"/>
    </row>
    <row r="85">
      <c r="A85" s="475">
        <v>18.78</v>
      </c>
      <c r="B85" s="476"/>
      <c r="C85" s="477" t="s">
        <v>1688</v>
      </c>
      <c r="D85" s="2"/>
      <c r="E85" s="3"/>
      <c r="F85" s="478"/>
      <c r="G85" s="3"/>
      <c r="H85" s="479"/>
      <c r="I85" s="479"/>
    </row>
    <row r="86">
      <c r="A86" s="20"/>
      <c r="B86" s="20"/>
      <c r="C86" s="480" t="s">
        <v>1014</v>
      </c>
      <c r="D86" s="481">
        <v>10.0</v>
      </c>
      <c r="E86" s="481">
        <v>128.39</v>
      </c>
      <c r="F86" s="481">
        <f>D86*E86</f>
        <v>1283.9</v>
      </c>
      <c r="G86" s="482" t="s">
        <v>797</v>
      </c>
      <c r="H86" s="479"/>
      <c r="I86" s="479"/>
    </row>
    <row r="87">
      <c r="A87" s="129" t="s">
        <v>42</v>
      </c>
      <c r="B87" s="2"/>
      <c r="C87" s="3"/>
      <c r="D87" s="121">
        <v>10.0</v>
      </c>
      <c r="E87" s="130" t="s">
        <v>22</v>
      </c>
      <c r="F87" s="470">
        <f>F79+F81+F83+F86</f>
        <v>2439.56</v>
      </c>
      <c r="G87" s="131"/>
      <c r="H87" s="465"/>
      <c r="I87" s="465"/>
    </row>
    <row r="88">
      <c r="A88" s="129" t="s">
        <v>800</v>
      </c>
      <c r="B88" s="2"/>
      <c r="C88" s="3"/>
      <c r="D88" s="121">
        <v>1.0</v>
      </c>
      <c r="E88" s="130" t="s">
        <v>22</v>
      </c>
      <c r="F88" s="121">
        <f>F87/D87</f>
        <v>243.956</v>
      </c>
      <c r="G88" s="131"/>
      <c r="H88" s="465"/>
      <c r="I88" s="465"/>
    </row>
    <row r="89">
      <c r="A89" s="133" t="s">
        <v>802</v>
      </c>
      <c r="B89" s="2"/>
      <c r="C89" s="2"/>
      <c r="D89" s="3"/>
      <c r="E89" s="121"/>
      <c r="F89" s="121">
        <f>F88*1%</f>
        <v>2.43956</v>
      </c>
      <c r="G89" s="131"/>
      <c r="H89" s="465"/>
      <c r="I89" s="465"/>
    </row>
    <row r="90">
      <c r="A90" s="133" t="s">
        <v>42</v>
      </c>
      <c r="B90" s="2"/>
      <c r="C90" s="2"/>
      <c r="D90" s="3"/>
      <c r="E90" s="131"/>
      <c r="F90" s="121">
        <f>F88+F89</f>
        <v>246.39556</v>
      </c>
      <c r="G90" s="131"/>
      <c r="H90" s="465"/>
      <c r="I90" s="465"/>
    </row>
    <row r="91">
      <c r="A91" s="133" t="s">
        <v>806</v>
      </c>
      <c r="B91" s="2"/>
      <c r="C91" s="2"/>
      <c r="D91" s="3"/>
      <c r="E91" s="121"/>
      <c r="F91" s="121">
        <f>F90*15%</f>
        <v>36.959334</v>
      </c>
      <c r="G91" s="131"/>
      <c r="H91" s="465"/>
      <c r="I91" s="465"/>
    </row>
    <row r="92">
      <c r="A92" s="133" t="s">
        <v>42</v>
      </c>
      <c r="B92" s="2"/>
      <c r="C92" s="2"/>
      <c r="D92" s="3"/>
      <c r="E92" s="131"/>
      <c r="F92" s="300">
        <f>round(F90+F91,2)</f>
        <v>283.35</v>
      </c>
      <c r="G92" s="131"/>
      <c r="H92" s="465"/>
      <c r="I92" s="465"/>
    </row>
    <row r="93">
      <c r="A93" s="471" t="str">
        <f>CONCATENATE("Say ₹ ",F76," + ",F92," x Cost Index")</f>
        <v>Say ₹ 61.15 + 283.35 x Cost Index</v>
      </c>
      <c r="B93" s="2"/>
      <c r="C93" s="2"/>
      <c r="D93" s="2"/>
      <c r="E93" s="2"/>
      <c r="F93" s="3"/>
      <c r="G93" s="472" t="s">
        <v>939</v>
      </c>
      <c r="H93" s="473">
        <f>F70*1.01*1.15/10</f>
        <v>61.152975</v>
      </c>
      <c r="I93" s="473">
        <f>(F79+F81+F83+F86)*1.01*1.15/10</f>
        <v>283.354894</v>
      </c>
    </row>
    <row r="94">
      <c r="A94" s="111" t="s">
        <v>742</v>
      </c>
      <c r="B94" s="111" t="s">
        <v>745</v>
      </c>
      <c r="C94" s="112" t="s">
        <v>6</v>
      </c>
      <c r="D94" s="2"/>
      <c r="E94" s="3"/>
      <c r="F94" s="112" t="s">
        <v>746</v>
      </c>
      <c r="G94" s="3"/>
      <c r="H94" s="465"/>
      <c r="I94" s="465"/>
    </row>
    <row r="95">
      <c r="A95" s="20"/>
      <c r="B95" s="20"/>
      <c r="C95" s="115" t="s">
        <v>8</v>
      </c>
      <c r="D95" s="115" t="s">
        <v>9</v>
      </c>
      <c r="E95" s="115" t="s">
        <v>358</v>
      </c>
      <c r="F95" s="115" t="s">
        <v>11</v>
      </c>
      <c r="G95" s="115" t="s">
        <v>751</v>
      </c>
      <c r="H95" s="465"/>
      <c r="I95" s="465"/>
    </row>
    <row r="96">
      <c r="A96" s="466" t="s">
        <v>1718</v>
      </c>
      <c r="B96" s="2"/>
      <c r="C96" s="2"/>
      <c r="D96" s="2"/>
      <c r="E96" s="2"/>
      <c r="F96" s="2"/>
      <c r="G96" s="3"/>
      <c r="H96" s="465"/>
      <c r="I96" s="465"/>
    </row>
    <row r="97">
      <c r="A97" s="119"/>
      <c r="B97" s="120" t="s">
        <v>754</v>
      </c>
      <c r="C97" s="120" t="s">
        <v>22</v>
      </c>
      <c r="D97" s="120" t="s">
        <v>757</v>
      </c>
      <c r="E97" s="121">
        <v>10.0</v>
      </c>
      <c r="F97" s="467"/>
      <c r="G97" s="3"/>
      <c r="H97" s="465"/>
      <c r="I97" s="465"/>
    </row>
    <row r="98">
      <c r="A98" s="120" t="s">
        <v>761</v>
      </c>
      <c r="B98" s="123" t="s">
        <v>519</v>
      </c>
      <c r="C98" s="2"/>
      <c r="D98" s="2"/>
      <c r="E98" s="2"/>
      <c r="F98" s="2"/>
      <c r="G98" s="3"/>
      <c r="H98" s="465"/>
      <c r="I98" s="465"/>
    </row>
    <row r="99">
      <c r="A99" s="124" t="s">
        <v>764</v>
      </c>
      <c r="B99" s="2"/>
      <c r="C99" s="2"/>
      <c r="D99" s="2"/>
      <c r="E99" s="2"/>
      <c r="F99" s="3"/>
      <c r="G99" s="125" t="s">
        <v>766</v>
      </c>
      <c r="H99" s="465"/>
      <c r="I99" s="465"/>
    </row>
    <row r="100">
      <c r="A100" s="126"/>
      <c r="B100" s="127" t="s">
        <v>1719</v>
      </c>
      <c r="C100" s="123" t="s">
        <v>1720</v>
      </c>
      <c r="D100" s="2"/>
      <c r="E100" s="3"/>
      <c r="F100" s="467"/>
      <c r="G100" s="3"/>
      <c r="H100" s="465"/>
      <c r="I100" s="465"/>
    </row>
    <row r="101">
      <c r="A101" s="20"/>
      <c r="B101" s="20"/>
      <c r="C101" s="120" t="s">
        <v>22</v>
      </c>
      <c r="D101" s="121">
        <v>13.0</v>
      </c>
      <c r="E101" s="121">
        <v>30.0</v>
      </c>
      <c r="F101" s="121">
        <f>E101*D101</f>
        <v>390</v>
      </c>
      <c r="G101" s="120" t="s">
        <v>772</v>
      </c>
      <c r="H101" s="465"/>
      <c r="I101" s="465"/>
    </row>
    <row r="102">
      <c r="A102" s="129" t="s">
        <v>42</v>
      </c>
      <c r="B102" s="2"/>
      <c r="C102" s="3"/>
      <c r="D102" s="121">
        <v>10.0</v>
      </c>
      <c r="E102" s="130" t="s">
        <v>22</v>
      </c>
      <c r="F102" s="121">
        <f>F101</f>
        <v>390</v>
      </c>
      <c r="G102" s="120"/>
      <c r="H102" s="465"/>
      <c r="I102" s="465"/>
    </row>
    <row r="103">
      <c r="A103" s="129" t="s">
        <v>800</v>
      </c>
      <c r="B103" s="2"/>
      <c r="C103" s="3"/>
      <c r="D103" s="121">
        <v>1.0</v>
      </c>
      <c r="E103" s="130" t="s">
        <v>22</v>
      </c>
      <c r="F103" s="121">
        <f>F102/D102</f>
        <v>39</v>
      </c>
      <c r="G103" s="120"/>
      <c r="H103" s="465"/>
      <c r="I103" s="465"/>
    </row>
    <row r="104">
      <c r="A104" s="133" t="s">
        <v>802</v>
      </c>
      <c r="B104" s="2"/>
      <c r="C104" s="2"/>
      <c r="D104" s="3"/>
      <c r="E104" s="121"/>
      <c r="F104" s="121">
        <f>F103*1%</f>
        <v>0.39</v>
      </c>
      <c r="G104" s="120"/>
      <c r="H104" s="465"/>
      <c r="I104" s="465"/>
    </row>
    <row r="105">
      <c r="A105" s="133" t="s">
        <v>42</v>
      </c>
      <c r="B105" s="2"/>
      <c r="C105" s="2"/>
      <c r="D105" s="3"/>
      <c r="E105" s="131"/>
      <c r="F105" s="121">
        <f>F103+F104</f>
        <v>39.39</v>
      </c>
      <c r="G105" s="120"/>
      <c r="H105" s="465"/>
      <c r="I105" s="465"/>
    </row>
    <row r="106">
      <c r="A106" s="133" t="s">
        <v>806</v>
      </c>
      <c r="B106" s="2"/>
      <c r="C106" s="2"/>
      <c r="D106" s="3"/>
      <c r="E106" s="121"/>
      <c r="F106" s="121">
        <f>F105*15%</f>
        <v>5.9085</v>
      </c>
      <c r="G106" s="120"/>
      <c r="H106" s="465"/>
      <c r="I106" s="465"/>
    </row>
    <row r="107">
      <c r="A107" s="133" t="s">
        <v>42</v>
      </c>
      <c r="B107" s="2"/>
      <c r="C107" s="2"/>
      <c r="D107" s="3"/>
      <c r="E107" s="131"/>
      <c r="F107" s="300">
        <f>round(F105+F106,2)</f>
        <v>45.3</v>
      </c>
      <c r="G107" s="120"/>
      <c r="H107" s="465"/>
      <c r="I107" s="465"/>
    </row>
    <row r="108">
      <c r="A108" s="124" t="s">
        <v>777</v>
      </c>
      <c r="B108" s="2"/>
      <c r="C108" s="2"/>
      <c r="D108" s="2"/>
      <c r="E108" s="2"/>
      <c r="F108" s="3"/>
      <c r="G108" s="125" t="s">
        <v>778</v>
      </c>
      <c r="H108" s="465"/>
      <c r="I108" s="465"/>
    </row>
    <row r="109">
      <c r="A109" s="127">
        <v>116.0</v>
      </c>
      <c r="B109" s="126"/>
      <c r="C109" s="123" t="s">
        <v>535</v>
      </c>
      <c r="D109" s="2"/>
      <c r="E109" s="3"/>
      <c r="F109" s="467"/>
      <c r="G109" s="3"/>
      <c r="H109" s="465"/>
      <c r="I109" s="465"/>
    </row>
    <row r="110">
      <c r="A110" s="20"/>
      <c r="B110" s="20"/>
      <c r="C110" s="120" t="s">
        <v>27</v>
      </c>
      <c r="D110" s="121">
        <v>0.33</v>
      </c>
      <c r="E110" s="121">
        <v>784.0</v>
      </c>
      <c r="F110" s="121">
        <f>E110*D110</f>
        <v>258.72</v>
      </c>
      <c r="G110" s="120" t="s">
        <v>780</v>
      </c>
      <c r="H110" s="465"/>
      <c r="I110" s="465"/>
    </row>
    <row r="111">
      <c r="A111" s="127">
        <v>117.0</v>
      </c>
      <c r="B111" s="126"/>
      <c r="C111" s="123" t="s">
        <v>856</v>
      </c>
      <c r="D111" s="2"/>
      <c r="E111" s="3"/>
      <c r="F111" s="467"/>
      <c r="G111" s="3"/>
      <c r="H111" s="465"/>
      <c r="I111" s="465"/>
    </row>
    <row r="112">
      <c r="A112" s="20"/>
      <c r="B112" s="20"/>
      <c r="C112" s="120" t="s">
        <v>27</v>
      </c>
      <c r="D112" s="121">
        <v>0.66</v>
      </c>
      <c r="E112" s="121">
        <v>714.0</v>
      </c>
      <c r="F112" s="121">
        <f>E112*D112</f>
        <v>471.24</v>
      </c>
      <c r="G112" s="120" t="s">
        <v>782</v>
      </c>
      <c r="H112" s="465"/>
      <c r="I112" s="465"/>
    </row>
    <row r="113">
      <c r="A113" s="127">
        <v>114.0</v>
      </c>
      <c r="B113" s="126"/>
      <c r="C113" s="123" t="s">
        <v>97</v>
      </c>
      <c r="D113" s="2"/>
      <c r="E113" s="3"/>
      <c r="F113" s="467"/>
      <c r="G113" s="3"/>
      <c r="H113" s="465"/>
      <c r="I113" s="465"/>
    </row>
    <row r="114">
      <c r="A114" s="20"/>
      <c r="B114" s="20"/>
      <c r="C114" s="120" t="s">
        <v>27</v>
      </c>
      <c r="D114" s="121">
        <v>0.66</v>
      </c>
      <c r="E114" s="121">
        <v>645.0</v>
      </c>
      <c r="F114" s="121">
        <f>E114*D114</f>
        <v>425.7</v>
      </c>
      <c r="G114" s="120" t="s">
        <v>791</v>
      </c>
      <c r="H114" s="465"/>
      <c r="I114" s="465"/>
    </row>
    <row r="115">
      <c r="A115" s="124" t="s">
        <v>793</v>
      </c>
      <c r="B115" s="2"/>
      <c r="C115" s="2"/>
      <c r="D115" s="2"/>
      <c r="E115" s="2"/>
      <c r="F115" s="3"/>
      <c r="G115" s="125" t="s">
        <v>778</v>
      </c>
      <c r="H115" s="465"/>
      <c r="I115" s="465"/>
    </row>
    <row r="116">
      <c r="A116" s="483">
        <v>18.78</v>
      </c>
      <c r="B116" s="476"/>
      <c r="C116" s="477" t="s">
        <v>1688</v>
      </c>
      <c r="D116" s="2"/>
      <c r="E116" s="3"/>
      <c r="F116" s="478"/>
      <c r="G116" s="3"/>
      <c r="H116" s="479"/>
      <c r="I116" s="479"/>
    </row>
    <row r="117">
      <c r="A117" s="20"/>
      <c r="B117" s="20"/>
      <c r="C117" s="480" t="s">
        <v>1014</v>
      </c>
      <c r="D117" s="481">
        <v>10.0</v>
      </c>
      <c r="E117" s="481">
        <v>128.39</v>
      </c>
      <c r="F117" s="481">
        <f>D117*E117</f>
        <v>1283.9</v>
      </c>
      <c r="G117" s="482" t="s">
        <v>797</v>
      </c>
      <c r="H117" s="479"/>
      <c r="I117" s="479"/>
    </row>
    <row r="118">
      <c r="A118" s="129" t="s">
        <v>42</v>
      </c>
      <c r="B118" s="2"/>
      <c r="C118" s="3"/>
      <c r="D118" s="121">
        <v>10.0</v>
      </c>
      <c r="E118" s="130" t="s">
        <v>22</v>
      </c>
      <c r="F118" s="470">
        <f>F110+F112+F114+F117</f>
        <v>2439.56</v>
      </c>
      <c r="G118" s="131"/>
      <c r="H118" s="465"/>
      <c r="I118" s="465"/>
    </row>
    <row r="119">
      <c r="A119" s="129" t="s">
        <v>800</v>
      </c>
      <c r="B119" s="2"/>
      <c r="C119" s="3"/>
      <c r="D119" s="121">
        <v>1.0</v>
      </c>
      <c r="E119" s="130" t="s">
        <v>22</v>
      </c>
      <c r="F119" s="121">
        <f>F118/D118</f>
        <v>243.956</v>
      </c>
      <c r="G119" s="131"/>
      <c r="H119" s="465"/>
      <c r="I119" s="465"/>
    </row>
    <row r="120">
      <c r="A120" s="133" t="s">
        <v>802</v>
      </c>
      <c r="B120" s="2"/>
      <c r="C120" s="2"/>
      <c r="D120" s="3"/>
      <c r="E120" s="121"/>
      <c r="F120" s="121">
        <f>F119*1%</f>
        <v>2.43956</v>
      </c>
      <c r="G120" s="131"/>
      <c r="H120" s="465"/>
      <c r="I120" s="465"/>
    </row>
    <row r="121">
      <c r="A121" s="133" t="s">
        <v>42</v>
      </c>
      <c r="B121" s="2"/>
      <c r="C121" s="2"/>
      <c r="D121" s="3"/>
      <c r="E121" s="131"/>
      <c r="F121" s="121">
        <f>F119+F120</f>
        <v>246.39556</v>
      </c>
      <c r="G121" s="131"/>
      <c r="H121" s="465"/>
      <c r="I121" s="465"/>
    </row>
    <row r="122">
      <c r="A122" s="133" t="s">
        <v>806</v>
      </c>
      <c r="B122" s="2"/>
      <c r="C122" s="2"/>
      <c r="D122" s="3"/>
      <c r="E122" s="121"/>
      <c r="F122" s="121">
        <f>F121*15%</f>
        <v>36.959334</v>
      </c>
      <c r="G122" s="131"/>
      <c r="H122" s="465"/>
      <c r="I122" s="465"/>
    </row>
    <row r="123">
      <c r="A123" s="133" t="s">
        <v>42</v>
      </c>
      <c r="B123" s="2"/>
      <c r="C123" s="2"/>
      <c r="D123" s="3"/>
      <c r="E123" s="131"/>
      <c r="F123" s="300">
        <f>round(F121+F122,2)</f>
        <v>283.35</v>
      </c>
      <c r="G123" s="131"/>
      <c r="H123" s="465"/>
      <c r="I123" s="465"/>
    </row>
    <row r="124">
      <c r="A124" s="471" t="str">
        <f>CONCATENATE("Say ₹ ",F107," + ",F123," x Cost Index")</f>
        <v>Say ₹ 45.3 + 283.35 x Cost Index</v>
      </c>
      <c r="B124" s="2"/>
      <c r="C124" s="2"/>
      <c r="D124" s="2"/>
      <c r="E124" s="2"/>
      <c r="F124" s="3"/>
      <c r="G124" s="472" t="s">
        <v>939</v>
      </c>
      <c r="H124" s="473">
        <f>F101*1.01*1.15/10</f>
        <v>45.2985</v>
      </c>
      <c r="I124" s="473">
        <f>(F110+F112+F114+F117)*1.01*1.15/10</f>
        <v>283.354894</v>
      </c>
    </row>
    <row r="125">
      <c r="A125" s="111" t="s">
        <v>742</v>
      </c>
      <c r="B125" s="111" t="s">
        <v>745</v>
      </c>
      <c r="C125" s="112" t="s">
        <v>6</v>
      </c>
      <c r="D125" s="2"/>
      <c r="E125" s="3"/>
      <c r="F125" s="112" t="s">
        <v>746</v>
      </c>
      <c r="G125" s="3"/>
      <c r="H125" s="465"/>
      <c r="I125" s="465"/>
    </row>
    <row r="126">
      <c r="A126" s="20"/>
      <c r="B126" s="20"/>
      <c r="C126" s="115" t="s">
        <v>8</v>
      </c>
      <c r="D126" s="115" t="s">
        <v>9</v>
      </c>
      <c r="E126" s="115" t="s">
        <v>358</v>
      </c>
      <c r="F126" s="115" t="s">
        <v>11</v>
      </c>
      <c r="G126" s="115" t="s">
        <v>751</v>
      </c>
      <c r="H126" s="465"/>
      <c r="I126" s="465"/>
    </row>
    <row r="127">
      <c r="A127" s="466" t="s">
        <v>1728</v>
      </c>
      <c r="B127" s="2"/>
      <c r="C127" s="2"/>
      <c r="D127" s="2"/>
      <c r="E127" s="2"/>
      <c r="F127" s="2"/>
      <c r="G127" s="3"/>
      <c r="H127" s="465"/>
      <c r="I127" s="465"/>
    </row>
    <row r="128">
      <c r="A128" s="119"/>
      <c r="B128" s="120" t="s">
        <v>754</v>
      </c>
      <c r="C128" s="120" t="s">
        <v>22</v>
      </c>
      <c r="D128" s="120" t="s">
        <v>757</v>
      </c>
      <c r="E128" s="121">
        <v>10.0</v>
      </c>
      <c r="F128" s="467"/>
      <c r="G128" s="3"/>
      <c r="H128" s="465"/>
      <c r="I128" s="465"/>
    </row>
    <row r="129">
      <c r="A129" s="120" t="s">
        <v>761</v>
      </c>
      <c r="B129" s="123" t="s">
        <v>1729</v>
      </c>
      <c r="C129" s="2"/>
      <c r="D129" s="2"/>
      <c r="E129" s="2"/>
      <c r="F129" s="2"/>
      <c r="G129" s="3"/>
      <c r="H129" s="465"/>
      <c r="I129" s="465"/>
    </row>
    <row r="130">
      <c r="A130" s="124" t="s">
        <v>764</v>
      </c>
      <c r="B130" s="2"/>
      <c r="C130" s="2"/>
      <c r="D130" s="2"/>
      <c r="E130" s="2"/>
      <c r="F130" s="3"/>
      <c r="G130" s="125" t="s">
        <v>766</v>
      </c>
      <c r="H130" s="465"/>
      <c r="I130" s="465"/>
    </row>
    <row r="131">
      <c r="A131" s="126"/>
      <c r="B131" s="127" t="s">
        <v>1730</v>
      </c>
      <c r="C131" s="123" t="s">
        <v>1731</v>
      </c>
      <c r="D131" s="2"/>
      <c r="E131" s="3"/>
      <c r="F131" s="467"/>
      <c r="G131" s="3"/>
      <c r="H131" s="465"/>
      <c r="I131" s="465"/>
    </row>
    <row r="132">
      <c r="A132" s="20"/>
      <c r="B132" s="20"/>
      <c r="C132" s="120" t="s">
        <v>22</v>
      </c>
      <c r="D132" s="121">
        <v>13.0</v>
      </c>
      <c r="E132" s="121">
        <v>61.0</v>
      </c>
      <c r="F132" s="121">
        <f>E132*D132</f>
        <v>793</v>
      </c>
      <c r="G132" s="120" t="s">
        <v>772</v>
      </c>
      <c r="H132" s="465"/>
      <c r="I132" s="465"/>
    </row>
    <row r="133">
      <c r="A133" s="129" t="s">
        <v>42</v>
      </c>
      <c r="B133" s="2"/>
      <c r="C133" s="3"/>
      <c r="D133" s="121">
        <v>10.0</v>
      </c>
      <c r="E133" s="130" t="s">
        <v>22</v>
      </c>
      <c r="F133" s="121">
        <f>F132</f>
        <v>793</v>
      </c>
      <c r="G133" s="120"/>
      <c r="H133" s="465"/>
      <c r="I133" s="465"/>
    </row>
    <row r="134">
      <c r="A134" s="129" t="s">
        <v>800</v>
      </c>
      <c r="B134" s="2"/>
      <c r="C134" s="3"/>
      <c r="D134" s="121">
        <v>1.0</v>
      </c>
      <c r="E134" s="130" t="s">
        <v>22</v>
      </c>
      <c r="F134" s="121">
        <f>F133/D133</f>
        <v>79.3</v>
      </c>
      <c r="G134" s="120"/>
      <c r="H134" s="465"/>
      <c r="I134" s="465"/>
    </row>
    <row r="135">
      <c r="A135" s="133" t="s">
        <v>802</v>
      </c>
      <c r="B135" s="2"/>
      <c r="C135" s="2"/>
      <c r="D135" s="3"/>
      <c r="E135" s="121"/>
      <c r="F135" s="121">
        <f>F134*1%</f>
        <v>0.793</v>
      </c>
      <c r="G135" s="120"/>
      <c r="H135" s="465"/>
      <c r="I135" s="465"/>
    </row>
    <row r="136">
      <c r="A136" s="133" t="s">
        <v>42</v>
      </c>
      <c r="B136" s="2"/>
      <c r="C136" s="2"/>
      <c r="D136" s="3"/>
      <c r="E136" s="131"/>
      <c r="F136" s="121">
        <f>F134+F135</f>
        <v>80.093</v>
      </c>
      <c r="G136" s="120"/>
      <c r="H136" s="465"/>
      <c r="I136" s="465"/>
    </row>
    <row r="137">
      <c r="A137" s="133" t="s">
        <v>806</v>
      </c>
      <c r="B137" s="2"/>
      <c r="C137" s="2"/>
      <c r="D137" s="3"/>
      <c r="E137" s="121"/>
      <c r="F137" s="121">
        <f>F136*15%</f>
        <v>12.01395</v>
      </c>
      <c r="G137" s="120"/>
      <c r="H137" s="465"/>
      <c r="I137" s="465"/>
    </row>
    <row r="138">
      <c r="A138" s="133" t="s">
        <v>42</v>
      </c>
      <c r="B138" s="2"/>
      <c r="C138" s="2"/>
      <c r="D138" s="3"/>
      <c r="E138" s="131"/>
      <c r="F138" s="300">
        <f>round(F136+F137,2)</f>
        <v>92.11</v>
      </c>
      <c r="G138" s="120"/>
      <c r="H138" s="465"/>
      <c r="I138" s="465"/>
    </row>
    <row r="139">
      <c r="A139" s="124" t="s">
        <v>777</v>
      </c>
      <c r="B139" s="2"/>
      <c r="C139" s="2"/>
      <c r="D139" s="2"/>
      <c r="E139" s="2"/>
      <c r="F139" s="3"/>
      <c r="G139" s="125" t="s">
        <v>778</v>
      </c>
      <c r="H139" s="465"/>
      <c r="I139" s="465"/>
    </row>
    <row r="140">
      <c r="A140" s="127">
        <v>116.0</v>
      </c>
      <c r="B140" s="126"/>
      <c r="C140" s="123" t="s">
        <v>535</v>
      </c>
      <c r="D140" s="2"/>
      <c r="E140" s="3"/>
      <c r="F140" s="467"/>
      <c r="G140" s="3"/>
      <c r="H140" s="465"/>
      <c r="I140" s="465"/>
    </row>
    <row r="141">
      <c r="A141" s="20"/>
      <c r="B141" s="20"/>
      <c r="C141" s="120" t="s">
        <v>27</v>
      </c>
      <c r="D141" s="121">
        <v>0.33</v>
      </c>
      <c r="E141" s="121">
        <v>784.0</v>
      </c>
      <c r="F141" s="121">
        <f>E141*D141</f>
        <v>258.72</v>
      </c>
      <c r="G141" s="120" t="s">
        <v>780</v>
      </c>
      <c r="H141" s="465"/>
      <c r="I141" s="465"/>
    </row>
    <row r="142">
      <c r="A142" s="127">
        <v>117.0</v>
      </c>
      <c r="B142" s="126"/>
      <c r="C142" s="123" t="s">
        <v>856</v>
      </c>
      <c r="D142" s="2"/>
      <c r="E142" s="3"/>
      <c r="F142" s="467"/>
      <c r="G142" s="3"/>
      <c r="H142" s="465"/>
      <c r="I142" s="465"/>
    </row>
    <row r="143">
      <c r="A143" s="20"/>
      <c r="B143" s="20"/>
      <c r="C143" s="120" t="s">
        <v>27</v>
      </c>
      <c r="D143" s="121">
        <v>0.66</v>
      </c>
      <c r="E143" s="121">
        <v>714.0</v>
      </c>
      <c r="F143" s="121">
        <f>E143*D143</f>
        <v>471.24</v>
      </c>
      <c r="G143" s="120" t="s">
        <v>782</v>
      </c>
      <c r="H143" s="465"/>
      <c r="I143" s="465"/>
    </row>
    <row r="144">
      <c r="A144" s="127">
        <v>114.0</v>
      </c>
      <c r="B144" s="126"/>
      <c r="C144" s="123" t="s">
        <v>97</v>
      </c>
      <c r="D144" s="2"/>
      <c r="E144" s="3"/>
      <c r="F144" s="467"/>
      <c r="G144" s="3"/>
      <c r="H144" s="465"/>
      <c r="I144" s="465"/>
    </row>
    <row r="145">
      <c r="A145" s="20"/>
      <c r="B145" s="20"/>
      <c r="C145" s="120" t="s">
        <v>27</v>
      </c>
      <c r="D145" s="121">
        <v>0.66</v>
      </c>
      <c r="E145" s="121">
        <v>645.0</v>
      </c>
      <c r="F145" s="121">
        <f>E145*D145</f>
        <v>425.7</v>
      </c>
      <c r="G145" s="120" t="s">
        <v>791</v>
      </c>
      <c r="H145" s="465"/>
      <c r="I145" s="465"/>
    </row>
    <row r="146">
      <c r="A146" s="124" t="s">
        <v>793</v>
      </c>
      <c r="B146" s="2"/>
      <c r="C146" s="2"/>
      <c r="D146" s="2"/>
      <c r="E146" s="2"/>
      <c r="F146" s="3"/>
      <c r="G146" s="125" t="s">
        <v>778</v>
      </c>
      <c r="H146" s="465"/>
      <c r="I146" s="465"/>
    </row>
    <row r="147">
      <c r="A147" s="483">
        <v>18.78</v>
      </c>
      <c r="B147" s="476"/>
      <c r="C147" s="477" t="s">
        <v>1688</v>
      </c>
      <c r="D147" s="2"/>
      <c r="E147" s="3"/>
      <c r="F147" s="478"/>
      <c r="G147" s="3"/>
      <c r="H147" s="479"/>
      <c r="I147" s="479"/>
    </row>
    <row r="148">
      <c r="A148" s="20"/>
      <c r="B148" s="20"/>
      <c r="C148" s="480" t="s">
        <v>1014</v>
      </c>
      <c r="D148" s="481">
        <v>10.0</v>
      </c>
      <c r="E148" s="481">
        <v>128.39</v>
      </c>
      <c r="F148" s="481">
        <f>D148*E148</f>
        <v>1283.9</v>
      </c>
      <c r="G148" s="482" t="s">
        <v>797</v>
      </c>
      <c r="H148" s="479"/>
      <c r="I148" s="479"/>
    </row>
    <row r="149">
      <c r="A149" s="129" t="s">
        <v>42</v>
      </c>
      <c r="B149" s="2"/>
      <c r="C149" s="3"/>
      <c r="D149" s="121">
        <v>10.0</v>
      </c>
      <c r="E149" s="130" t="s">
        <v>22</v>
      </c>
      <c r="F149" s="470">
        <f>F141+F143+F145+F148</f>
        <v>2439.56</v>
      </c>
      <c r="G149" s="131"/>
      <c r="H149" s="465"/>
      <c r="I149" s="465"/>
    </row>
    <row r="150">
      <c r="A150" s="129" t="s">
        <v>800</v>
      </c>
      <c r="B150" s="2"/>
      <c r="C150" s="3"/>
      <c r="D150" s="121">
        <v>1.0</v>
      </c>
      <c r="E150" s="130" t="s">
        <v>22</v>
      </c>
      <c r="F150" s="121">
        <f>F149/D149</f>
        <v>243.956</v>
      </c>
      <c r="G150" s="131"/>
      <c r="H150" s="465"/>
      <c r="I150" s="465"/>
    </row>
    <row r="151">
      <c r="A151" s="133" t="s">
        <v>802</v>
      </c>
      <c r="B151" s="2"/>
      <c r="C151" s="2"/>
      <c r="D151" s="3"/>
      <c r="E151" s="121"/>
      <c r="F151" s="121">
        <f>F150*1%</f>
        <v>2.43956</v>
      </c>
      <c r="G151" s="131"/>
      <c r="H151" s="465"/>
      <c r="I151" s="465"/>
    </row>
    <row r="152">
      <c r="A152" s="133" t="s">
        <v>42</v>
      </c>
      <c r="B152" s="2"/>
      <c r="C152" s="2"/>
      <c r="D152" s="3"/>
      <c r="E152" s="131"/>
      <c r="F152" s="121">
        <f>F150+F151</f>
        <v>246.39556</v>
      </c>
      <c r="G152" s="131"/>
      <c r="H152" s="465"/>
      <c r="I152" s="465"/>
    </row>
    <row r="153">
      <c r="A153" s="133" t="s">
        <v>806</v>
      </c>
      <c r="B153" s="2"/>
      <c r="C153" s="2"/>
      <c r="D153" s="3"/>
      <c r="E153" s="121"/>
      <c r="F153" s="121">
        <f>F152*15%</f>
        <v>36.959334</v>
      </c>
      <c r="G153" s="131"/>
      <c r="H153" s="465"/>
      <c r="I153" s="465"/>
    </row>
    <row r="154">
      <c r="A154" s="133" t="s">
        <v>42</v>
      </c>
      <c r="B154" s="2"/>
      <c r="C154" s="2"/>
      <c r="D154" s="3"/>
      <c r="E154" s="131"/>
      <c r="F154" s="300">
        <f>round(F152+F153,2)</f>
        <v>283.35</v>
      </c>
      <c r="G154" s="131"/>
      <c r="H154" s="465"/>
      <c r="I154" s="465"/>
    </row>
    <row r="155">
      <c r="A155" s="471" t="str">
        <f>CONCATENATE("Say ₹ ",F138," + ",F154," x Cost Index")</f>
        <v>Say ₹ 92.11 + 283.35 x Cost Index</v>
      </c>
      <c r="B155" s="2"/>
      <c r="C155" s="2"/>
      <c r="D155" s="2"/>
      <c r="E155" s="2"/>
      <c r="F155" s="3"/>
      <c r="G155" s="472" t="s">
        <v>939</v>
      </c>
      <c r="H155" s="473">
        <f>F132*1.01*1.15/10</f>
        <v>92.10695</v>
      </c>
      <c r="I155" s="473">
        <f>(F141+F143+F145+F148)*1.01*1.15/10</f>
        <v>283.354894</v>
      </c>
    </row>
    <row r="156">
      <c r="A156" s="111" t="s">
        <v>742</v>
      </c>
      <c r="B156" s="111" t="s">
        <v>745</v>
      </c>
      <c r="C156" s="112" t="s">
        <v>6</v>
      </c>
      <c r="D156" s="2"/>
      <c r="E156" s="3"/>
      <c r="F156" s="112" t="s">
        <v>746</v>
      </c>
      <c r="G156" s="3"/>
      <c r="H156" s="465"/>
      <c r="I156" s="465"/>
    </row>
    <row r="157">
      <c r="A157" s="20"/>
      <c r="B157" s="20"/>
      <c r="C157" s="115" t="s">
        <v>8</v>
      </c>
      <c r="D157" s="115" t="s">
        <v>9</v>
      </c>
      <c r="E157" s="115" t="s">
        <v>358</v>
      </c>
      <c r="F157" s="115" t="s">
        <v>11</v>
      </c>
      <c r="G157" s="115" t="s">
        <v>751</v>
      </c>
      <c r="H157" s="465"/>
      <c r="I157" s="465"/>
    </row>
    <row r="158">
      <c r="A158" s="466" t="s">
        <v>1738</v>
      </c>
      <c r="B158" s="2"/>
      <c r="C158" s="2"/>
      <c r="D158" s="2"/>
      <c r="E158" s="2"/>
      <c r="F158" s="2"/>
      <c r="G158" s="3"/>
      <c r="H158" s="465"/>
      <c r="I158" s="465"/>
    </row>
    <row r="159">
      <c r="A159" s="119"/>
      <c r="B159" s="120" t="s">
        <v>754</v>
      </c>
      <c r="C159" s="120" t="s">
        <v>22</v>
      </c>
      <c r="D159" s="120" t="s">
        <v>757</v>
      </c>
      <c r="E159" s="121">
        <v>10.0</v>
      </c>
      <c r="F159" s="467"/>
      <c r="G159" s="3"/>
      <c r="H159" s="465"/>
      <c r="I159" s="465"/>
    </row>
    <row r="160">
      <c r="A160" s="120" t="s">
        <v>761</v>
      </c>
      <c r="B160" s="123" t="s">
        <v>519</v>
      </c>
      <c r="C160" s="2"/>
      <c r="D160" s="2"/>
      <c r="E160" s="2"/>
      <c r="F160" s="2"/>
      <c r="G160" s="3"/>
      <c r="H160" s="465"/>
      <c r="I160" s="465"/>
    </row>
    <row r="161">
      <c r="A161" s="124" t="s">
        <v>764</v>
      </c>
      <c r="B161" s="2"/>
      <c r="C161" s="2"/>
      <c r="D161" s="2"/>
      <c r="E161" s="2"/>
      <c r="F161" s="3"/>
      <c r="G161" s="125" t="s">
        <v>766</v>
      </c>
      <c r="H161" s="465"/>
      <c r="I161" s="465"/>
    </row>
    <row r="162">
      <c r="A162" s="126"/>
      <c r="B162" s="127" t="s">
        <v>1739</v>
      </c>
      <c r="C162" s="123" t="s">
        <v>1740</v>
      </c>
      <c r="D162" s="2"/>
      <c r="E162" s="3"/>
      <c r="F162" s="467"/>
      <c r="G162" s="3"/>
      <c r="H162" s="465"/>
      <c r="I162" s="465"/>
    </row>
    <row r="163">
      <c r="A163" s="20"/>
      <c r="B163" s="20"/>
      <c r="C163" s="120" t="s">
        <v>22</v>
      </c>
      <c r="D163" s="121">
        <v>13.0</v>
      </c>
      <c r="E163" s="121">
        <v>48.0</v>
      </c>
      <c r="F163" s="121">
        <f>E163*D163</f>
        <v>624</v>
      </c>
      <c r="G163" s="120" t="s">
        <v>772</v>
      </c>
      <c r="H163" s="465"/>
      <c r="I163" s="465"/>
    </row>
    <row r="164">
      <c r="A164" s="129" t="s">
        <v>42</v>
      </c>
      <c r="B164" s="2"/>
      <c r="C164" s="3"/>
      <c r="D164" s="121">
        <v>10.0</v>
      </c>
      <c r="E164" s="130" t="s">
        <v>22</v>
      </c>
      <c r="F164" s="121">
        <f>F163</f>
        <v>624</v>
      </c>
      <c r="G164" s="120"/>
      <c r="H164" s="465"/>
      <c r="I164" s="465"/>
    </row>
    <row r="165">
      <c r="A165" s="129" t="s">
        <v>800</v>
      </c>
      <c r="B165" s="2"/>
      <c r="C165" s="3"/>
      <c r="D165" s="121">
        <v>1.0</v>
      </c>
      <c r="E165" s="130" t="s">
        <v>22</v>
      </c>
      <c r="F165" s="121">
        <f>F164/D164</f>
        <v>62.4</v>
      </c>
      <c r="G165" s="120"/>
      <c r="H165" s="465"/>
      <c r="I165" s="465"/>
    </row>
    <row r="166">
      <c r="A166" s="133" t="s">
        <v>802</v>
      </c>
      <c r="B166" s="2"/>
      <c r="C166" s="2"/>
      <c r="D166" s="3"/>
      <c r="E166" s="121"/>
      <c r="F166" s="121">
        <f>F165*1%</f>
        <v>0.624</v>
      </c>
      <c r="G166" s="120"/>
      <c r="H166" s="465"/>
      <c r="I166" s="465"/>
    </row>
    <row r="167">
      <c r="A167" s="133" t="s">
        <v>42</v>
      </c>
      <c r="B167" s="2"/>
      <c r="C167" s="2"/>
      <c r="D167" s="3"/>
      <c r="E167" s="131"/>
      <c r="F167" s="121">
        <f>F165+F166</f>
        <v>63.024</v>
      </c>
      <c r="G167" s="120"/>
      <c r="H167" s="465"/>
      <c r="I167" s="465"/>
    </row>
    <row r="168">
      <c r="A168" s="133" t="s">
        <v>806</v>
      </c>
      <c r="B168" s="2"/>
      <c r="C168" s="2"/>
      <c r="D168" s="3"/>
      <c r="E168" s="121"/>
      <c r="F168" s="121">
        <f>F167*15%</f>
        <v>9.4536</v>
      </c>
      <c r="G168" s="120"/>
      <c r="H168" s="465"/>
      <c r="I168" s="465"/>
    </row>
    <row r="169">
      <c r="A169" s="133" t="s">
        <v>42</v>
      </c>
      <c r="B169" s="2"/>
      <c r="C169" s="2"/>
      <c r="D169" s="3"/>
      <c r="E169" s="131"/>
      <c r="F169" s="300">
        <f>round(F167+F168,2)</f>
        <v>72.48</v>
      </c>
      <c r="G169" s="120"/>
      <c r="H169" s="465"/>
      <c r="I169" s="465"/>
    </row>
    <row r="170">
      <c r="A170" s="124" t="s">
        <v>777</v>
      </c>
      <c r="B170" s="2"/>
      <c r="C170" s="2"/>
      <c r="D170" s="2"/>
      <c r="E170" s="2"/>
      <c r="F170" s="3"/>
      <c r="G170" s="125" t="s">
        <v>778</v>
      </c>
      <c r="H170" s="465"/>
      <c r="I170" s="465"/>
    </row>
    <row r="171">
      <c r="A171" s="127">
        <v>116.0</v>
      </c>
      <c r="B171" s="126"/>
      <c r="C171" s="123" t="s">
        <v>535</v>
      </c>
      <c r="D171" s="2"/>
      <c r="E171" s="3"/>
      <c r="F171" s="467"/>
      <c r="G171" s="3"/>
      <c r="H171" s="465"/>
      <c r="I171" s="465"/>
    </row>
    <row r="172">
      <c r="A172" s="20"/>
      <c r="B172" s="20"/>
      <c r="C172" s="120" t="s">
        <v>27</v>
      </c>
      <c r="D172" s="121">
        <v>0.33</v>
      </c>
      <c r="E172" s="121">
        <v>784.0</v>
      </c>
      <c r="F172" s="121">
        <f>E172*D172</f>
        <v>258.72</v>
      </c>
      <c r="G172" s="120" t="s">
        <v>780</v>
      </c>
      <c r="H172" s="465"/>
      <c r="I172" s="465"/>
    </row>
    <row r="173">
      <c r="A173" s="127">
        <v>117.0</v>
      </c>
      <c r="B173" s="126"/>
      <c r="C173" s="123" t="s">
        <v>856</v>
      </c>
      <c r="D173" s="2"/>
      <c r="E173" s="3"/>
      <c r="F173" s="467"/>
      <c r="G173" s="3"/>
      <c r="H173" s="465"/>
      <c r="I173" s="465"/>
    </row>
    <row r="174">
      <c r="A174" s="20"/>
      <c r="B174" s="20"/>
      <c r="C174" s="120" t="s">
        <v>27</v>
      </c>
      <c r="D174" s="121">
        <v>0.66</v>
      </c>
      <c r="E174" s="121">
        <v>714.0</v>
      </c>
      <c r="F174" s="121">
        <f>E174*D174</f>
        <v>471.24</v>
      </c>
      <c r="G174" s="120" t="s">
        <v>782</v>
      </c>
      <c r="H174" s="465"/>
      <c r="I174" s="465"/>
    </row>
    <row r="175">
      <c r="A175" s="127">
        <v>114.0</v>
      </c>
      <c r="B175" s="126"/>
      <c r="C175" s="123" t="s">
        <v>97</v>
      </c>
      <c r="D175" s="2"/>
      <c r="E175" s="3"/>
      <c r="F175" s="467"/>
      <c r="G175" s="3"/>
      <c r="H175" s="465"/>
      <c r="I175" s="465"/>
    </row>
    <row r="176">
      <c r="A176" s="20"/>
      <c r="B176" s="20"/>
      <c r="C176" s="120" t="s">
        <v>27</v>
      </c>
      <c r="D176" s="121">
        <v>0.66</v>
      </c>
      <c r="E176" s="121">
        <v>645.0</v>
      </c>
      <c r="F176" s="121">
        <f>E176*D176</f>
        <v>425.7</v>
      </c>
      <c r="G176" s="120" t="s">
        <v>791</v>
      </c>
      <c r="H176" s="465"/>
      <c r="I176" s="465"/>
    </row>
    <row r="177">
      <c r="A177" s="124" t="s">
        <v>793</v>
      </c>
      <c r="B177" s="2"/>
      <c r="C177" s="2"/>
      <c r="D177" s="2"/>
      <c r="E177" s="2"/>
      <c r="F177" s="3"/>
      <c r="G177" s="125" t="s">
        <v>778</v>
      </c>
      <c r="H177" s="465"/>
      <c r="I177" s="465"/>
    </row>
    <row r="178">
      <c r="A178" s="483">
        <v>18.78</v>
      </c>
      <c r="B178" s="476"/>
      <c r="C178" s="477" t="s">
        <v>1688</v>
      </c>
      <c r="D178" s="2"/>
      <c r="E178" s="3"/>
      <c r="F178" s="478"/>
      <c r="G178" s="3"/>
      <c r="H178" s="479"/>
      <c r="I178" s="479"/>
    </row>
    <row r="179">
      <c r="A179" s="20"/>
      <c r="B179" s="20"/>
      <c r="C179" s="480" t="s">
        <v>1014</v>
      </c>
      <c r="D179" s="481">
        <v>10.0</v>
      </c>
      <c r="E179" s="481">
        <v>128.39</v>
      </c>
      <c r="F179" s="481">
        <f>D179*E179</f>
        <v>1283.9</v>
      </c>
      <c r="G179" s="482" t="s">
        <v>797</v>
      </c>
      <c r="H179" s="479"/>
      <c r="I179" s="479"/>
    </row>
    <row r="180">
      <c r="A180" s="129" t="s">
        <v>42</v>
      </c>
      <c r="B180" s="2"/>
      <c r="C180" s="3"/>
      <c r="D180" s="121">
        <v>10.0</v>
      </c>
      <c r="E180" s="130" t="s">
        <v>22</v>
      </c>
      <c r="F180" s="470">
        <f>F172+F174+F176+F179</f>
        <v>2439.56</v>
      </c>
      <c r="G180" s="131"/>
      <c r="H180" s="465"/>
      <c r="I180" s="465"/>
    </row>
    <row r="181">
      <c r="A181" s="129" t="s">
        <v>800</v>
      </c>
      <c r="B181" s="2"/>
      <c r="C181" s="3"/>
      <c r="D181" s="121">
        <v>1.0</v>
      </c>
      <c r="E181" s="130" t="s">
        <v>22</v>
      </c>
      <c r="F181" s="121">
        <f>F180/D180</f>
        <v>243.956</v>
      </c>
      <c r="G181" s="131"/>
      <c r="H181" s="465"/>
      <c r="I181" s="465"/>
    </row>
    <row r="182">
      <c r="A182" s="133" t="s">
        <v>802</v>
      </c>
      <c r="B182" s="2"/>
      <c r="C182" s="2"/>
      <c r="D182" s="3"/>
      <c r="E182" s="121"/>
      <c r="F182" s="121">
        <f>F181*1%</f>
        <v>2.43956</v>
      </c>
      <c r="G182" s="131"/>
      <c r="H182" s="465"/>
      <c r="I182" s="465"/>
    </row>
    <row r="183">
      <c r="A183" s="133" t="s">
        <v>42</v>
      </c>
      <c r="B183" s="2"/>
      <c r="C183" s="2"/>
      <c r="D183" s="3"/>
      <c r="E183" s="131"/>
      <c r="F183" s="121">
        <f>F181+F182</f>
        <v>246.39556</v>
      </c>
      <c r="G183" s="131"/>
      <c r="H183" s="465"/>
      <c r="I183" s="465"/>
    </row>
    <row r="184">
      <c r="A184" s="133" t="s">
        <v>806</v>
      </c>
      <c r="B184" s="2"/>
      <c r="C184" s="2"/>
      <c r="D184" s="3"/>
      <c r="E184" s="121"/>
      <c r="F184" s="121">
        <f>F183*15%</f>
        <v>36.959334</v>
      </c>
      <c r="G184" s="131"/>
      <c r="H184" s="465"/>
      <c r="I184" s="465"/>
    </row>
    <row r="185">
      <c r="A185" s="133" t="s">
        <v>42</v>
      </c>
      <c r="B185" s="2"/>
      <c r="C185" s="2"/>
      <c r="D185" s="3"/>
      <c r="E185" s="131"/>
      <c r="F185" s="300">
        <f>round(F183+F184,2)</f>
        <v>283.35</v>
      </c>
      <c r="G185" s="131"/>
      <c r="H185" s="465"/>
      <c r="I185" s="465"/>
    </row>
    <row r="186">
      <c r="A186" s="471" t="str">
        <f>CONCATENATE("Say ₹ ",F169," + ",F185," x Cost Index")</f>
        <v>Say ₹ 72.48 + 283.35 x Cost Index</v>
      </c>
      <c r="B186" s="2"/>
      <c r="C186" s="2"/>
      <c r="D186" s="2"/>
      <c r="E186" s="2"/>
      <c r="F186" s="3"/>
      <c r="G186" s="472" t="s">
        <v>939</v>
      </c>
      <c r="H186" s="473">
        <f>F163*1.01*1.15/10</f>
        <v>72.4776</v>
      </c>
      <c r="I186" s="473">
        <f>(F172+F174+F176+F179)*1.01*1.15/10</f>
        <v>283.354894</v>
      </c>
    </row>
    <row r="187">
      <c r="A187" s="111" t="s">
        <v>742</v>
      </c>
      <c r="B187" s="111" t="s">
        <v>745</v>
      </c>
      <c r="C187" s="112" t="s">
        <v>6</v>
      </c>
      <c r="D187" s="2"/>
      <c r="E187" s="3"/>
      <c r="F187" s="112" t="s">
        <v>746</v>
      </c>
      <c r="G187" s="3"/>
      <c r="H187" s="465"/>
      <c r="I187" s="465"/>
    </row>
    <row r="188">
      <c r="A188" s="20"/>
      <c r="B188" s="20"/>
      <c r="C188" s="115" t="s">
        <v>8</v>
      </c>
      <c r="D188" s="115" t="s">
        <v>9</v>
      </c>
      <c r="E188" s="115" t="s">
        <v>358</v>
      </c>
      <c r="F188" s="115" t="s">
        <v>11</v>
      </c>
      <c r="G188" s="115" t="s">
        <v>751</v>
      </c>
      <c r="H188" s="465"/>
      <c r="I188" s="465"/>
    </row>
    <row r="189">
      <c r="A189" s="466" t="s">
        <v>1749</v>
      </c>
      <c r="B189" s="2"/>
      <c r="C189" s="2"/>
      <c r="D189" s="2"/>
      <c r="E189" s="2"/>
      <c r="F189" s="2"/>
      <c r="G189" s="3"/>
      <c r="H189" s="465"/>
      <c r="I189" s="465"/>
    </row>
    <row r="190">
      <c r="A190" s="119"/>
      <c r="B190" s="120" t="s">
        <v>754</v>
      </c>
      <c r="C190" s="120" t="s">
        <v>22</v>
      </c>
      <c r="D190" s="120" t="s">
        <v>757</v>
      </c>
      <c r="E190" s="121">
        <v>10.0</v>
      </c>
      <c r="F190" s="467"/>
      <c r="G190" s="3"/>
      <c r="H190" s="465"/>
      <c r="I190" s="465"/>
    </row>
    <row r="191">
      <c r="A191" s="120" t="s">
        <v>761</v>
      </c>
      <c r="B191" s="123" t="s">
        <v>519</v>
      </c>
      <c r="C191" s="2"/>
      <c r="D191" s="2"/>
      <c r="E191" s="2"/>
      <c r="F191" s="2"/>
      <c r="G191" s="3"/>
      <c r="H191" s="465"/>
      <c r="I191" s="465"/>
    </row>
    <row r="192">
      <c r="A192" s="124" t="s">
        <v>764</v>
      </c>
      <c r="B192" s="2"/>
      <c r="C192" s="2"/>
      <c r="D192" s="2"/>
      <c r="E192" s="2"/>
      <c r="F192" s="3"/>
      <c r="G192" s="125" t="s">
        <v>766</v>
      </c>
      <c r="H192" s="465"/>
      <c r="I192" s="465"/>
    </row>
    <row r="193">
      <c r="A193" s="126"/>
      <c r="B193" s="127" t="s">
        <v>1751</v>
      </c>
      <c r="C193" s="123" t="s">
        <v>1752</v>
      </c>
      <c r="D193" s="2"/>
      <c r="E193" s="3"/>
      <c r="F193" s="467"/>
      <c r="G193" s="3"/>
      <c r="H193" s="465"/>
      <c r="I193" s="465"/>
    </row>
    <row r="194">
      <c r="A194" s="20"/>
      <c r="B194" s="20"/>
      <c r="C194" s="120" t="s">
        <v>22</v>
      </c>
      <c r="D194" s="121">
        <v>13.0</v>
      </c>
      <c r="E194" s="121">
        <v>65.0</v>
      </c>
      <c r="F194" s="121">
        <f>E194*D194</f>
        <v>845</v>
      </c>
      <c r="G194" s="120" t="s">
        <v>772</v>
      </c>
      <c r="H194" s="465"/>
      <c r="I194" s="465"/>
    </row>
    <row r="195">
      <c r="A195" s="129" t="s">
        <v>42</v>
      </c>
      <c r="B195" s="2"/>
      <c r="C195" s="3"/>
      <c r="D195" s="121">
        <v>10.0</v>
      </c>
      <c r="E195" s="130" t="s">
        <v>22</v>
      </c>
      <c r="F195" s="121">
        <f>F194</f>
        <v>845</v>
      </c>
      <c r="G195" s="120"/>
      <c r="H195" s="465"/>
      <c r="I195" s="465"/>
    </row>
    <row r="196">
      <c r="A196" s="129" t="s">
        <v>800</v>
      </c>
      <c r="B196" s="2"/>
      <c r="C196" s="3"/>
      <c r="D196" s="121">
        <v>1.0</v>
      </c>
      <c r="E196" s="130" t="s">
        <v>22</v>
      </c>
      <c r="F196" s="121">
        <f>F195/D195</f>
        <v>84.5</v>
      </c>
      <c r="G196" s="120"/>
      <c r="H196" s="465"/>
      <c r="I196" s="465"/>
    </row>
    <row r="197">
      <c r="A197" s="133" t="s">
        <v>802</v>
      </c>
      <c r="B197" s="2"/>
      <c r="C197" s="2"/>
      <c r="D197" s="3"/>
      <c r="E197" s="121"/>
      <c r="F197" s="121">
        <f>F196*1%</f>
        <v>0.845</v>
      </c>
      <c r="G197" s="120"/>
      <c r="H197" s="465"/>
      <c r="I197" s="465"/>
    </row>
    <row r="198">
      <c r="A198" s="133" t="s">
        <v>42</v>
      </c>
      <c r="B198" s="2"/>
      <c r="C198" s="2"/>
      <c r="D198" s="3"/>
      <c r="E198" s="131"/>
      <c r="F198" s="121">
        <f>F196+F197</f>
        <v>85.345</v>
      </c>
      <c r="G198" s="120"/>
      <c r="H198" s="465"/>
      <c r="I198" s="465"/>
    </row>
    <row r="199">
      <c r="A199" s="133" t="s">
        <v>806</v>
      </c>
      <c r="B199" s="2"/>
      <c r="C199" s="2"/>
      <c r="D199" s="3"/>
      <c r="E199" s="121"/>
      <c r="F199" s="121">
        <f>F198*15%</f>
        <v>12.80175</v>
      </c>
      <c r="G199" s="120"/>
      <c r="H199" s="465"/>
      <c r="I199" s="465"/>
    </row>
    <row r="200">
      <c r="A200" s="133" t="s">
        <v>42</v>
      </c>
      <c r="B200" s="2"/>
      <c r="C200" s="2"/>
      <c r="D200" s="3"/>
      <c r="E200" s="131"/>
      <c r="F200" s="300">
        <f>round(F198+F199,2)</f>
        <v>98.15</v>
      </c>
      <c r="G200" s="120"/>
      <c r="H200" s="465"/>
      <c r="I200" s="465"/>
    </row>
    <row r="201">
      <c r="A201" s="124" t="s">
        <v>777</v>
      </c>
      <c r="B201" s="2"/>
      <c r="C201" s="2"/>
      <c r="D201" s="2"/>
      <c r="E201" s="2"/>
      <c r="F201" s="3"/>
      <c r="G201" s="125" t="s">
        <v>778</v>
      </c>
      <c r="H201" s="465"/>
      <c r="I201" s="465"/>
    </row>
    <row r="202">
      <c r="A202" s="127">
        <v>116.0</v>
      </c>
      <c r="B202" s="126"/>
      <c r="C202" s="123" t="s">
        <v>535</v>
      </c>
      <c r="D202" s="2"/>
      <c r="E202" s="3"/>
      <c r="F202" s="467"/>
      <c r="G202" s="3"/>
      <c r="H202" s="465"/>
      <c r="I202" s="465"/>
    </row>
    <row r="203">
      <c r="A203" s="20"/>
      <c r="B203" s="20"/>
      <c r="C203" s="120" t="s">
        <v>27</v>
      </c>
      <c r="D203" s="121">
        <v>0.33</v>
      </c>
      <c r="E203" s="121">
        <v>784.0</v>
      </c>
      <c r="F203" s="121">
        <f>E203*D203</f>
        <v>258.72</v>
      </c>
      <c r="G203" s="120" t="s">
        <v>780</v>
      </c>
      <c r="H203" s="465"/>
      <c r="I203" s="465"/>
    </row>
    <row r="204">
      <c r="A204" s="127">
        <v>117.0</v>
      </c>
      <c r="B204" s="126"/>
      <c r="C204" s="123" t="s">
        <v>856</v>
      </c>
      <c r="D204" s="2"/>
      <c r="E204" s="3"/>
      <c r="F204" s="467"/>
      <c r="G204" s="3"/>
      <c r="H204" s="465"/>
      <c r="I204" s="465"/>
    </row>
    <row r="205">
      <c r="A205" s="20"/>
      <c r="B205" s="20"/>
      <c r="C205" s="120" t="s">
        <v>27</v>
      </c>
      <c r="D205" s="121">
        <v>0.66</v>
      </c>
      <c r="E205" s="121">
        <v>714.0</v>
      </c>
      <c r="F205" s="121">
        <f>E205*D205</f>
        <v>471.24</v>
      </c>
      <c r="G205" s="120" t="s">
        <v>782</v>
      </c>
      <c r="H205" s="465"/>
      <c r="I205" s="465"/>
    </row>
    <row r="206">
      <c r="A206" s="127">
        <v>114.0</v>
      </c>
      <c r="B206" s="126"/>
      <c r="C206" s="123" t="s">
        <v>97</v>
      </c>
      <c r="D206" s="2"/>
      <c r="E206" s="3"/>
      <c r="F206" s="467"/>
      <c r="G206" s="3"/>
      <c r="H206" s="465"/>
      <c r="I206" s="465"/>
    </row>
    <row r="207">
      <c r="A207" s="20"/>
      <c r="B207" s="20"/>
      <c r="C207" s="120" t="s">
        <v>27</v>
      </c>
      <c r="D207" s="121">
        <v>0.66</v>
      </c>
      <c r="E207" s="121">
        <v>645.0</v>
      </c>
      <c r="F207" s="121">
        <f>E207*D207</f>
        <v>425.7</v>
      </c>
      <c r="G207" s="120" t="s">
        <v>791</v>
      </c>
      <c r="H207" s="465"/>
      <c r="I207" s="465"/>
    </row>
    <row r="208">
      <c r="A208" s="124" t="s">
        <v>793</v>
      </c>
      <c r="B208" s="2"/>
      <c r="C208" s="2"/>
      <c r="D208" s="2"/>
      <c r="E208" s="2"/>
      <c r="F208" s="3"/>
      <c r="G208" s="125" t="s">
        <v>778</v>
      </c>
      <c r="H208" s="465"/>
      <c r="I208" s="465"/>
    </row>
    <row r="209">
      <c r="A209" s="483">
        <v>18.78</v>
      </c>
      <c r="B209" s="476"/>
      <c r="C209" s="477" t="s">
        <v>1688</v>
      </c>
      <c r="D209" s="2"/>
      <c r="E209" s="3"/>
      <c r="F209" s="478"/>
      <c r="G209" s="3"/>
      <c r="H209" s="479"/>
      <c r="I209" s="479"/>
    </row>
    <row r="210">
      <c r="A210" s="20"/>
      <c r="B210" s="20"/>
      <c r="C210" s="480" t="s">
        <v>1014</v>
      </c>
      <c r="D210" s="481">
        <v>10.0</v>
      </c>
      <c r="E210" s="481">
        <v>128.39</v>
      </c>
      <c r="F210" s="481">
        <f>D210*E210</f>
        <v>1283.9</v>
      </c>
      <c r="G210" s="482" t="s">
        <v>797</v>
      </c>
      <c r="H210" s="479"/>
      <c r="I210" s="479"/>
    </row>
    <row r="211">
      <c r="A211" s="129" t="s">
        <v>42</v>
      </c>
      <c r="B211" s="2"/>
      <c r="C211" s="3"/>
      <c r="D211" s="121">
        <v>10.0</v>
      </c>
      <c r="E211" s="130" t="s">
        <v>22</v>
      </c>
      <c r="F211" s="470">
        <f>F203+F205+F207+F210</f>
        <v>2439.56</v>
      </c>
      <c r="G211" s="131"/>
      <c r="H211" s="465"/>
      <c r="I211" s="465"/>
    </row>
    <row r="212">
      <c r="A212" s="129" t="s">
        <v>800</v>
      </c>
      <c r="B212" s="2"/>
      <c r="C212" s="3"/>
      <c r="D212" s="121">
        <v>1.0</v>
      </c>
      <c r="E212" s="130" t="s">
        <v>22</v>
      </c>
      <c r="F212" s="121">
        <f>F211/D211</f>
        <v>243.956</v>
      </c>
      <c r="G212" s="131"/>
      <c r="H212" s="465"/>
      <c r="I212" s="465"/>
    </row>
    <row r="213">
      <c r="A213" s="133" t="s">
        <v>802</v>
      </c>
      <c r="B213" s="2"/>
      <c r="C213" s="2"/>
      <c r="D213" s="3"/>
      <c r="E213" s="121"/>
      <c r="F213" s="121">
        <f>F212*1%</f>
        <v>2.43956</v>
      </c>
      <c r="G213" s="131"/>
      <c r="H213" s="465"/>
      <c r="I213" s="465"/>
    </row>
    <row r="214">
      <c r="A214" s="133" t="s">
        <v>42</v>
      </c>
      <c r="B214" s="2"/>
      <c r="C214" s="2"/>
      <c r="D214" s="3"/>
      <c r="E214" s="131"/>
      <c r="F214" s="121">
        <f>F212+F213</f>
        <v>246.39556</v>
      </c>
      <c r="G214" s="131"/>
      <c r="H214" s="465"/>
      <c r="I214" s="465"/>
    </row>
    <row r="215">
      <c r="A215" s="133" t="s">
        <v>806</v>
      </c>
      <c r="B215" s="2"/>
      <c r="C215" s="2"/>
      <c r="D215" s="3"/>
      <c r="E215" s="121"/>
      <c r="F215" s="121">
        <f>F214*15%</f>
        <v>36.959334</v>
      </c>
      <c r="G215" s="131"/>
      <c r="H215" s="465"/>
      <c r="I215" s="465"/>
    </row>
    <row r="216">
      <c r="A216" s="133" t="s">
        <v>42</v>
      </c>
      <c r="B216" s="2"/>
      <c r="C216" s="2"/>
      <c r="D216" s="3"/>
      <c r="E216" s="131"/>
      <c r="F216" s="300">
        <f>round(F214+F215,2)</f>
        <v>283.35</v>
      </c>
      <c r="G216" s="131"/>
      <c r="H216" s="465"/>
      <c r="I216" s="465"/>
    </row>
    <row r="217">
      <c r="A217" s="471" t="str">
        <f>CONCATENATE("Say ₹ ",F200," + ",F216," x Cost Index")</f>
        <v>Say ₹ 98.15 + 283.35 x Cost Index</v>
      </c>
      <c r="B217" s="2"/>
      <c r="C217" s="2"/>
      <c r="D217" s="2"/>
      <c r="E217" s="2"/>
      <c r="F217" s="3"/>
      <c r="G217" s="472" t="s">
        <v>939</v>
      </c>
      <c r="H217" s="473">
        <f>F194*1.01*1.15/10</f>
        <v>98.14675</v>
      </c>
      <c r="I217" s="473">
        <f>(F203+F205+F207+F210)*1.01*1.15/10</f>
        <v>283.354894</v>
      </c>
    </row>
    <row r="218">
      <c r="A218" s="111" t="s">
        <v>742</v>
      </c>
      <c r="B218" s="111" t="s">
        <v>745</v>
      </c>
      <c r="C218" s="112" t="s">
        <v>6</v>
      </c>
      <c r="D218" s="2"/>
      <c r="E218" s="3"/>
      <c r="F218" s="112" t="s">
        <v>746</v>
      </c>
      <c r="G218" s="3"/>
      <c r="H218" s="465"/>
      <c r="I218" s="465"/>
    </row>
    <row r="219">
      <c r="A219" s="20"/>
      <c r="B219" s="20"/>
      <c r="C219" s="115" t="s">
        <v>8</v>
      </c>
      <c r="D219" s="115" t="s">
        <v>9</v>
      </c>
      <c r="E219" s="115" t="s">
        <v>358</v>
      </c>
      <c r="F219" s="115" t="s">
        <v>11</v>
      </c>
      <c r="G219" s="115" t="s">
        <v>751</v>
      </c>
      <c r="H219" s="465"/>
      <c r="I219" s="465"/>
    </row>
    <row r="220">
      <c r="A220" s="466" t="s">
        <v>1761</v>
      </c>
      <c r="B220" s="2"/>
      <c r="C220" s="2"/>
      <c r="D220" s="2"/>
      <c r="E220" s="2"/>
      <c r="F220" s="2"/>
      <c r="G220" s="3"/>
      <c r="H220" s="465"/>
      <c r="I220" s="465"/>
    </row>
    <row r="221">
      <c r="A221" s="119"/>
      <c r="B221" s="120" t="s">
        <v>754</v>
      </c>
      <c r="C221" s="120" t="s">
        <v>22</v>
      </c>
      <c r="D221" s="120" t="s">
        <v>757</v>
      </c>
      <c r="E221" s="121">
        <v>10.0</v>
      </c>
      <c r="F221" s="467"/>
      <c r="G221" s="3"/>
      <c r="H221" s="465"/>
      <c r="I221" s="465"/>
    </row>
    <row r="222">
      <c r="A222" s="120" t="s">
        <v>761</v>
      </c>
      <c r="B222" s="123" t="s">
        <v>519</v>
      </c>
      <c r="C222" s="2"/>
      <c r="D222" s="2"/>
      <c r="E222" s="2"/>
      <c r="F222" s="2"/>
      <c r="G222" s="3"/>
      <c r="H222" s="465"/>
      <c r="I222" s="465"/>
    </row>
    <row r="223">
      <c r="A223" s="124" t="s">
        <v>764</v>
      </c>
      <c r="B223" s="2"/>
      <c r="C223" s="2"/>
      <c r="D223" s="2"/>
      <c r="E223" s="2"/>
      <c r="F223" s="3"/>
      <c r="G223" s="125" t="s">
        <v>766</v>
      </c>
      <c r="H223" s="465"/>
      <c r="I223" s="465"/>
    </row>
    <row r="224">
      <c r="A224" s="126"/>
      <c r="B224" s="127" t="s">
        <v>1751</v>
      </c>
      <c r="C224" s="123" t="s">
        <v>1764</v>
      </c>
      <c r="D224" s="2"/>
      <c r="E224" s="3"/>
      <c r="F224" s="467"/>
      <c r="G224" s="3"/>
      <c r="H224" s="465"/>
      <c r="I224" s="465"/>
    </row>
    <row r="225">
      <c r="A225" s="20"/>
      <c r="B225" s="20"/>
      <c r="C225" s="120" t="s">
        <v>22</v>
      </c>
      <c r="D225" s="121">
        <v>13.0</v>
      </c>
      <c r="E225" s="121">
        <v>52.0</v>
      </c>
      <c r="F225" s="121">
        <f>E225*D225</f>
        <v>676</v>
      </c>
      <c r="G225" s="120" t="s">
        <v>772</v>
      </c>
      <c r="H225" s="465"/>
      <c r="I225" s="465"/>
    </row>
    <row r="226">
      <c r="A226" s="129" t="s">
        <v>42</v>
      </c>
      <c r="B226" s="2"/>
      <c r="C226" s="3"/>
      <c r="D226" s="121">
        <v>10.0</v>
      </c>
      <c r="E226" s="130" t="s">
        <v>22</v>
      </c>
      <c r="F226" s="121">
        <f>F225</f>
        <v>676</v>
      </c>
      <c r="G226" s="120"/>
      <c r="H226" s="465"/>
      <c r="I226" s="465"/>
    </row>
    <row r="227">
      <c r="A227" s="129" t="s">
        <v>800</v>
      </c>
      <c r="B227" s="2"/>
      <c r="C227" s="3"/>
      <c r="D227" s="121">
        <v>1.0</v>
      </c>
      <c r="E227" s="130" t="s">
        <v>22</v>
      </c>
      <c r="F227" s="121">
        <f>F226/D226</f>
        <v>67.6</v>
      </c>
      <c r="G227" s="120"/>
      <c r="H227" s="465"/>
      <c r="I227" s="465"/>
    </row>
    <row r="228">
      <c r="A228" s="133" t="s">
        <v>802</v>
      </c>
      <c r="B228" s="2"/>
      <c r="C228" s="2"/>
      <c r="D228" s="3"/>
      <c r="E228" s="121"/>
      <c r="F228" s="121">
        <f>F227*1%</f>
        <v>0.676</v>
      </c>
      <c r="G228" s="120"/>
      <c r="H228" s="465"/>
      <c r="I228" s="465"/>
    </row>
    <row r="229">
      <c r="A229" s="133" t="s">
        <v>42</v>
      </c>
      <c r="B229" s="2"/>
      <c r="C229" s="2"/>
      <c r="D229" s="3"/>
      <c r="E229" s="131"/>
      <c r="F229" s="121">
        <f>F227+F228</f>
        <v>68.276</v>
      </c>
      <c r="G229" s="120"/>
      <c r="H229" s="465"/>
      <c r="I229" s="465"/>
    </row>
    <row r="230">
      <c r="A230" s="133" t="s">
        <v>806</v>
      </c>
      <c r="B230" s="2"/>
      <c r="C230" s="2"/>
      <c r="D230" s="3"/>
      <c r="E230" s="121"/>
      <c r="F230" s="121">
        <f>F229*15%</f>
        <v>10.2414</v>
      </c>
      <c r="G230" s="120"/>
      <c r="H230" s="465"/>
      <c r="I230" s="465"/>
    </row>
    <row r="231">
      <c r="A231" s="133" t="s">
        <v>42</v>
      </c>
      <c r="B231" s="2"/>
      <c r="C231" s="2"/>
      <c r="D231" s="3"/>
      <c r="E231" s="131"/>
      <c r="F231" s="300">
        <f>round(F229+F230,2)</f>
        <v>78.52</v>
      </c>
      <c r="G231" s="120"/>
      <c r="H231" s="465"/>
      <c r="I231" s="465"/>
    </row>
    <row r="232">
      <c r="A232" s="124" t="s">
        <v>777</v>
      </c>
      <c r="B232" s="2"/>
      <c r="C232" s="2"/>
      <c r="D232" s="2"/>
      <c r="E232" s="2"/>
      <c r="F232" s="3"/>
      <c r="G232" s="125" t="s">
        <v>778</v>
      </c>
      <c r="H232" s="465"/>
      <c r="I232" s="465"/>
    </row>
    <row r="233">
      <c r="A233" s="127">
        <v>116.0</v>
      </c>
      <c r="B233" s="126"/>
      <c r="C233" s="123" t="s">
        <v>535</v>
      </c>
      <c r="D233" s="2"/>
      <c r="E233" s="3"/>
      <c r="F233" s="467"/>
      <c r="G233" s="3"/>
      <c r="H233" s="465"/>
      <c r="I233" s="465"/>
    </row>
    <row r="234">
      <c r="A234" s="20"/>
      <c r="B234" s="20"/>
      <c r="C234" s="120" t="s">
        <v>27</v>
      </c>
      <c r="D234" s="121">
        <v>0.33</v>
      </c>
      <c r="E234" s="121">
        <v>784.0</v>
      </c>
      <c r="F234" s="121">
        <f>E234*D234</f>
        <v>258.72</v>
      </c>
      <c r="G234" s="120" t="s">
        <v>780</v>
      </c>
      <c r="H234" s="465"/>
      <c r="I234" s="465"/>
    </row>
    <row r="235">
      <c r="A235" s="127">
        <v>117.0</v>
      </c>
      <c r="B235" s="126"/>
      <c r="C235" s="123" t="s">
        <v>856</v>
      </c>
      <c r="D235" s="2"/>
      <c r="E235" s="3"/>
      <c r="F235" s="467"/>
      <c r="G235" s="3"/>
      <c r="H235" s="465"/>
      <c r="I235" s="465"/>
    </row>
    <row r="236">
      <c r="A236" s="20"/>
      <c r="B236" s="20"/>
      <c r="C236" s="120" t="s">
        <v>27</v>
      </c>
      <c r="D236" s="121">
        <v>0.66</v>
      </c>
      <c r="E236" s="121">
        <v>714.0</v>
      </c>
      <c r="F236" s="121">
        <f>E236*D236</f>
        <v>471.24</v>
      </c>
      <c r="G236" s="120" t="s">
        <v>782</v>
      </c>
      <c r="H236" s="465"/>
      <c r="I236" s="465"/>
    </row>
    <row r="237">
      <c r="A237" s="127">
        <v>114.0</v>
      </c>
      <c r="B237" s="126"/>
      <c r="C237" s="123" t="s">
        <v>97</v>
      </c>
      <c r="D237" s="2"/>
      <c r="E237" s="3"/>
      <c r="F237" s="467"/>
      <c r="G237" s="3"/>
      <c r="H237" s="465"/>
      <c r="I237" s="465"/>
    </row>
    <row r="238">
      <c r="A238" s="20"/>
      <c r="B238" s="20"/>
      <c r="C238" s="120" t="s">
        <v>27</v>
      </c>
      <c r="D238" s="121">
        <v>0.66</v>
      </c>
      <c r="E238" s="121">
        <v>645.0</v>
      </c>
      <c r="F238" s="121">
        <f>E238*D238</f>
        <v>425.7</v>
      </c>
      <c r="G238" s="120" t="s">
        <v>791</v>
      </c>
      <c r="H238" s="465"/>
      <c r="I238" s="465"/>
    </row>
    <row r="239">
      <c r="A239" s="124" t="s">
        <v>793</v>
      </c>
      <c r="B239" s="2"/>
      <c r="C239" s="2"/>
      <c r="D239" s="2"/>
      <c r="E239" s="2"/>
      <c r="F239" s="3"/>
      <c r="G239" s="125" t="s">
        <v>778</v>
      </c>
      <c r="H239" s="465"/>
      <c r="I239" s="465"/>
    </row>
    <row r="240">
      <c r="A240" s="483">
        <v>18.78</v>
      </c>
      <c r="B240" s="476"/>
      <c r="C240" s="477" t="s">
        <v>1688</v>
      </c>
      <c r="D240" s="2"/>
      <c r="E240" s="3"/>
      <c r="F240" s="478"/>
      <c r="G240" s="3"/>
      <c r="H240" s="479"/>
      <c r="I240" s="479"/>
    </row>
    <row r="241">
      <c r="A241" s="20"/>
      <c r="B241" s="20"/>
      <c r="C241" s="480" t="s">
        <v>1014</v>
      </c>
      <c r="D241" s="481">
        <v>10.0</v>
      </c>
      <c r="E241" s="481">
        <v>128.39</v>
      </c>
      <c r="F241" s="481">
        <f>D241*E241</f>
        <v>1283.9</v>
      </c>
      <c r="G241" s="482" t="s">
        <v>797</v>
      </c>
      <c r="H241" s="479"/>
      <c r="I241" s="479"/>
    </row>
    <row r="242">
      <c r="A242" s="129" t="s">
        <v>42</v>
      </c>
      <c r="B242" s="2"/>
      <c r="C242" s="3"/>
      <c r="D242" s="121">
        <v>10.0</v>
      </c>
      <c r="E242" s="130" t="s">
        <v>22</v>
      </c>
      <c r="F242" s="470">
        <f>F234+F236+F238+F241</f>
        <v>2439.56</v>
      </c>
      <c r="G242" s="131"/>
      <c r="H242" s="465"/>
      <c r="I242" s="465"/>
    </row>
    <row r="243">
      <c r="A243" s="129" t="s">
        <v>800</v>
      </c>
      <c r="B243" s="2"/>
      <c r="C243" s="3"/>
      <c r="D243" s="121">
        <v>1.0</v>
      </c>
      <c r="E243" s="130" t="s">
        <v>22</v>
      </c>
      <c r="F243" s="121">
        <f>F242/D242</f>
        <v>243.956</v>
      </c>
      <c r="G243" s="131"/>
      <c r="H243" s="465"/>
      <c r="I243" s="465"/>
    </row>
    <row r="244">
      <c r="A244" s="133" t="s">
        <v>802</v>
      </c>
      <c r="B244" s="2"/>
      <c r="C244" s="2"/>
      <c r="D244" s="3"/>
      <c r="E244" s="121"/>
      <c r="F244" s="121">
        <f>F243*1%</f>
        <v>2.43956</v>
      </c>
      <c r="G244" s="131"/>
      <c r="H244" s="465"/>
      <c r="I244" s="465"/>
    </row>
    <row r="245">
      <c r="A245" s="133" t="s">
        <v>42</v>
      </c>
      <c r="B245" s="2"/>
      <c r="C245" s="2"/>
      <c r="D245" s="3"/>
      <c r="E245" s="131"/>
      <c r="F245" s="121">
        <f>F243+F244</f>
        <v>246.39556</v>
      </c>
      <c r="G245" s="131"/>
      <c r="H245" s="465"/>
      <c r="I245" s="465"/>
    </row>
    <row r="246">
      <c r="A246" s="133" t="s">
        <v>806</v>
      </c>
      <c r="B246" s="2"/>
      <c r="C246" s="2"/>
      <c r="D246" s="3"/>
      <c r="E246" s="121"/>
      <c r="F246" s="121">
        <f>F245*15%</f>
        <v>36.959334</v>
      </c>
      <c r="G246" s="131"/>
      <c r="H246" s="465"/>
      <c r="I246" s="465"/>
    </row>
    <row r="247">
      <c r="A247" s="133" t="s">
        <v>42</v>
      </c>
      <c r="B247" s="2"/>
      <c r="C247" s="2"/>
      <c r="D247" s="3"/>
      <c r="E247" s="131"/>
      <c r="F247" s="300">
        <f>round(F245+F246,2)</f>
        <v>283.35</v>
      </c>
      <c r="G247" s="131"/>
      <c r="H247" s="465"/>
      <c r="I247" s="465"/>
    </row>
    <row r="248">
      <c r="A248" s="471" t="str">
        <f>CONCATENATE("Say ₹ ",F231," + ",F247," x Cost Index")</f>
        <v>Say ₹ 78.52 + 283.35 x Cost Index</v>
      </c>
      <c r="B248" s="2"/>
      <c r="C248" s="2"/>
      <c r="D248" s="2"/>
      <c r="E248" s="2"/>
      <c r="F248" s="3"/>
      <c r="G248" s="472" t="s">
        <v>939</v>
      </c>
      <c r="H248" s="473">
        <f>F225*1.01*1.15/10</f>
        <v>78.5174</v>
      </c>
      <c r="I248" s="473">
        <f>(F234+F236+F238+F241)*1.01*1.15/10</f>
        <v>283.354894</v>
      </c>
    </row>
    <row r="249">
      <c r="A249" s="111" t="s">
        <v>742</v>
      </c>
      <c r="B249" s="111" t="s">
        <v>745</v>
      </c>
      <c r="C249" s="112" t="s">
        <v>6</v>
      </c>
      <c r="D249" s="2"/>
      <c r="E249" s="3"/>
      <c r="F249" s="112" t="s">
        <v>746</v>
      </c>
      <c r="G249" s="3"/>
      <c r="H249" s="465"/>
      <c r="I249" s="465"/>
    </row>
    <row r="250">
      <c r="A250" s="20"/>
      <c r="B250" s="20"/>
      <c r="C250" s="115" t="s">
        <v>8</v>
      </c>
      <c r="D250" s="115" t="s">
        <v>9</v>
      </c>
      <c r="E250" s="115" t="s">
        <v>358</v>
      </c>
      <c r="F250" s="115" t="s">
        <v>11</v>
      </c>
      <c r="G250" s="115" t="s">
        <v>751</v>
      </c>
      <c r="H250" s="465"/>
      <c r="I250" s="465"/>
    </row>
    <row r="251">
      <c r="A251" s="466" t="s">
        <v>1768</v>
      </c>
      <c r="B251" s="2"/>
      <c r="C251" s="2"/>
      <c r="D251" s="2"/>
      <c r="E251" s="2"/>
      <c r="F251" s="2"/>
      <c r="G251" s="3"/>
      <c r="H251" s="465"/>
      <c r="I251" s="465"/>
    </row>
    <row r="252">
      <c r="A252" s="119"/>
      <c r="B252" s="120" t="s">
        <v>754</v>
      </c>
      <c r="C252" s="120" t="s">
        <v>22</v>
      </c>
      <c r="D252" s="120" t="s">
        <v>757</v>
      </c>
      <c r="E252" s="121">
        <v>10.0</v>
      </c>
      <c r="F252" s="467"/>
      <c r="G252" s="3"/>
      <c r="H252" s="465"/>
      <c r="I252" s="465"/>
    </row>
    <row r="253">
      <c r="A253" s="120" t="s">
        <v>761</v>
      </c>
      <c r="B253" s="123" t="s">
        <v>1769</v>
      </c>
      <c r="C253" s="2"/>
      <c r="D253" s="2"/>
      <c r="E253" s="2"/>
      <c r="F253" s="2"/>
      <c r="G253" s="3"/>
      <c r="H253" s="465"/>
      <c r="I253" s="465"/>
    </row>
    <row r="254">
      <c r="A254" s="124" t="s">
        <v>764</v>
      </c>
      <c r="B254" s="2"/>
      <c r="C254" s="2"/>
      <c r="D254" s="2"/>
      <c r="E254" s="2"/>
      <c r="F254" s="3"/>
      <c r="G254" s="125" t="s">
        <v>766</v>
      </c>
      <c r="H254" s="465"/>
      <c r="I254" s="465"/>
    </row>
    <row r="255">
      <c r="A255" s="126"/>
      <c r="B255" s="127" t="s">
        <v>1770</v>
      </c>
      <c r="C255" s="123" t="s">
        <v>1771</v>
      </c>
      <c r="D255" s="2"/>
      <c r="E255" s="3"/>
      <c r="F255" s="467"/>
      <c r="G255" s="3"/>
      <c r="H255" s="465"/>
      <c r="I255" s="465"/>
    </row>
    <row r="256">
      <c r="A256" s="20"/>
      <c r="B256" s="20"/>
      <c r="C256" s="120" t="s">
        <v>22</v>
      </c>
      <c r="D256" s="121">
        <v>13.0</v>
      </c>
      <c r="E256" s="121">
        <v>84.0</v>
      </c>
      <c r="F256" s="121">
        <f>E256*D256</f>
        <v>1092</v>
      </c>
      <c r="G256" s="120" t="s">
        <v>772</v>
      </c>
      <c r="H256" s="465"/>
      <c r="I256" s="465"/>
    </row>
    <row r="257">
      <c r="A257" s="129" t="s">
        <v>42</v>
      </c>
      <c r="B257" s="2"/>
      <c r="C257" s="3"/>
      <c r="D257" s="121">
        <v>10.0</v>
      </c>
      <c r="E257" s="130" t="s">
        <v>22</v>
      </c>
      <c r="F257" s="121">
        <f>F256</f>
        <v>1092</v>
      </c>
      <c r="G257" s="120"/>
      <c r="H257" s="465"/>
      <c r="I257" s="465"/>
    </row>
    <row r="258">
      <c r="A258" s="129" t="s">
        <v>800</v>
      </c>
      <c r="B258" s="2"/>
      <c r="C258" s="3"/>
      <c r="D258" s="121">
        <v>1.0</v>
      </c>
      <c r="E258" s="130" t="s">
        <v>22</v>
      </c>
      <c r="F258" s="121">
        <f>F257/D257</f>
        <v>109.2</v>
      </c>
      <c r="G258" s="120"/>
      <c r="H258" s="465"/>
      <c r="I258" s="465"/>
    </row>
    <row r="259">
      <c r="A259" s="133" t="s">
        <v>802</v>
      </c>
      <c r="B259" s="2"/>
      <c r="C259" s="2"/>
      <c r="D259" s="3"/>
      <c r="E259" s="121"/>
      <c r="F259" s="121">
        <f>F258*1%</f>
        <v>1.092</v>
      </c>
      <c r="G259" s="120"/>
      <c r="H259" s="465"/>
      <c r="I259" s="465"/>
    </row>
    <row r="260">
      <c r="A260" s="133" t="s">
        <v>42</v>
      </c>
      <c r="B260" s="2"/>
      <c r="C260" s="2"/>
      <c r="D260" s="3"/>
      <c r="E260" s="131"/>
      <c r="F260" s="121">
        <f>F258+F259</f>
        <v>110.292</v>
      </c>
      <c r="G260" s="120"/>
      <c r="H260" s="465"/>
      <c r="I260" s="465"/>
    </row>
    <row r="261">
      <c r="A261" s="133" t="s">
        <v>806</v>
      </c>
      <c r="B261" s="2"/>
      <c r="C261" s="2"/>
      <c r="D261" s="3"/>
      <c r="E261" s="121"/>
      <c r="F261" s="121">
        <f>F260*15%</f>
        <v>16.5438</v>
      </c>
      <c r="G261" s="120"/>
      <c r="H261" s="465"/>
      <c r="I261" s="465"/>
    </row>
    <row r="262">
      <c r="A262" s="133" t="s">
        <v>42</v>
      </c>
      <c r="B262" s="2"/>
      <c r="C262" s="2"/>
      <c r="D262" s="3"/>
      <c r="E262" s="131"/>
      <c r="F262" s="300">
        <f>round(F260+F261,2)</f>
        <v>126.84</v>
      </c>
      <c r="G262" s="120"/>
      <c r="H262" s="465"/>
      <c r="I262" s="465"/>
    </row>
    <row r="263">
      <c r="A263" s="124" t="s">
        <v>777</v>
      </c>
      <c r="B263" s="2"/>
      <c r="C263" s="2"/>
      <c r="D263" s="2"/>
      <c r="E263" s="2"/>
      <c r="F263" s="3"/>
      <c r="G263" s="125" t="s">
        <v>778</v>
      </c>
      <c r="H263" s="465"/>
      <c r="I263" s="465"/>
    </row>
    <row r="264">
      <c r="A264" s="127">
        <v>116.0</v>
      </c>
      <c r="B264" s="126"/>
      <c r="C264" s="123" t="s">
        <v>535</v>
      </c>
      <c r="D264" s="2"/>
      <c r="E264" s="3"/>
      <c r="F264" s="467"/>
      <c r="G264" s="3"/>
      <c r="H264" s="465"/>
      <c r="I264" s="465"/>
    </row>
    <row r="265">
      <c r="A265" s="20"/>
      <c r="B265" s="20"/>
      <c r="C265" s="120" t="s">
        <v>27</v>
      </c>
      <c r="D265" s="121">
        <v>0.33</v>
      </c>
      <c r="E265" s="121">
        <v>784.0</v>
      </c>
      <c r="F265" s="121">
        <f>E265*D265</f>
        <v>258.72</v>
      </c>
      <c r="G265" s="120" t="s">
        <v>780</v>
      </c>
      <c r="H265" s="465"/>
      <c r="I265" s="465"/>
    </row>
    <row r="266">
      <c r="A266" s="127">
        <v>117.0</v>
      </c>
      <c r="B266" s="126"/>
      <c r="C266" s="123" t="s">
        <v>856</v>
      </c>
      <c r="D266" s="2"/>
      <c r="E266" s="3"/>
      <c r="F266" s="467"/>
      <c r="G266" s="3"/>
      <c r="H266" s="465"/>
      <c r="I266" s="465"/>
    </row>
    <row r="267">
      <c r="A267" s="20"/>
      <c r="B267" s="20"/>
      <c r="C267" s="120" t="s">
        <v>27</v>
      </c>
      <c r="D267" s="121">
        <v>0.66</v>
      </c>
      <c r="E267" s="121">
        <v>714.0</v>
      </c>
      <c r="F267" s="121">
        <f>E267*D267</f>
        <v>471.24</v>
      </c>
      <c r="G267" s="120" t="s">
        <v>782</v>
      </c>
      <c r="H267" s="465"/>
      <c r="I267" s="465"/>
    </row>
    <row r="268">
      <c r="A268" s="127">
        <v>114.0</v>
      </c>
      <c r="B268" s="126"/>
      <c r="C268" s="123" t="s">
        <v>97</v>
      </c>
      <c r="D268" s="2"/>
      <c r="E268" s="3"/>
      <c r="F268" s="467"/>
      <c r="G268" s="3"/>
      <c r="H268" s="465"/>
      <c r="I268" s="465"/>
    </row>
    <row r="269">
      <c r="A269" s="20"/>
      <c r="B269" s="20"/>
      <c r="C269" s="120" t="s">
        <v>27</v>
      </c>
      <c r="D269" s="121">
        <v>0.66</v>
      </c>
      <c r="E269" s="121">
        <v>645.0</v>
      </c>
      <c r="F269" s="121">
        <f>E269*D269</f>
        <v>425.7</v>
      </c>
      <c r="G269" s="120" t="s">
        <v>791</v>
      </c>
      <c r="H269" s="465"/>
      <c r="I269" s="465"/>
    </row>
    <row r="270">
      <c r="A270" s="124" t="s">
        <v>793</v>
      </c>
      <c r="B270" s="2"/>
      <c r="C270" s="2"/>
      <c r="D270" s="2"/>
      <c r="E270" s="2"/>
      <c r="F270" s="3"/>
      <c r="G270" s="125" t="s">
        <v>778</v>
      </c>
      <c r="H270" s="465"/>
      <c r="I270" s="465"/>
    </row>
    <row r="271">
      <c r="A271" s="483">
        <v>18.78</v>
      </c>
      <c r="B271" s="476"/>
      <c r="C271" s="477" t="s">
        <v>1688</v>
      </c>
      <c r="D271" s="2"/>
      <c r="E271" s="3"/>
      <c r="F271" s="478"/>
      <c r="G271" s="3"/>
      <c r="H271" s="479"/>
      <c r="I271" s="479"/>
    </row>
    <row r="272">
      <c r="A272" s="20"/>
      <c r="B272" s="20"/>
      <c r="C272" s="480" t="s">
        <v>1014</v>
      </c>
      <c r="D272" s="481">
        <v>10.0</v>
      </c>
      <c r="E272" s="481">
        <v>128.39</v>
      </c>
      <c r="F272" s="481">
        <f>D272*E272</f>
        <v>1283.9</v>
      </c>
      <c r="G272" s="482" t="s">
        <v>797</v>
      </c>
      <c r="H272" s="479"/>
      <c r="I272" s="479"/>
    </row>
    <row r="273">
      <c r="A273" s="129" t="s">
        <v>42</v>
      </c>
      <c r="B273" s="2"/>
      <c r="C273" s="3"/>
      <c r="D273" s="121">
        <v>10.0</v>
      </c>
      <c r="E273" s="130" t="s">
        <v>22</v>
      </c>
      <c r="F273" s="470">
        <f>F265+F267+F269+F272</f>
        <v>2439.56</v>
      </c>
      <c r="G273" s="131"/>
      <c r="H273" s="465"/>
      <c r="I273" s="465"/>
    </row>
    <row r="274">
      <c r="A274" s="129" t="s">
        <v>800</v>
      </c>
      <c r="B274" s="2"/>
      <c r="C274" s="3"/>
      <c r="D274" s="121">
        <v>1.0</v>
      </c>
      <c r="E274" s="130" t="s">
        <v>22</v>
      </c>
      <c r="F274" s="121">
        <f>F273/D273</f>
        <v>243.956</v>
      </c>
      <c r="G274" s="131"/>
      <c r="H274" s="465"/>
      <c r="I274" s="465"/>
    </row>
    <row r="275">
      <c r="A275" s="133" t="s">
        <v>802</v>
      </c>
      <c r="B275" s="2"/>
      <c r="C275" s="2"/>
      <c r="D275" s="3"/>
      <c r="E275" s="121"/>
      <c r="F275" s="121">
        <f>F274*1%</f>
        <v>2.43956</v>
      </c>
      <c r="G275" s="131"/>
      <c r="H275" s="465"/>
      <c r="I275" s="465"/>
    </row>
    <row r="276">
      <c r="A276" s="133" t="s">
        <v>42</v>
      </c>
      <c r="B276" s="2"/>
      <c r="C276" s="2"/>
      <c r="D276" s="3"/>
      <c r="E276" s="131"/>
      <c r="F276" s="121">
        <f>F274+F275</f>
        <v>246.39556</v>
      </c>
      <c r="G276" s="131"/>
      <c r="H276" s="465"/>
      <c r="I276" s="465"/>
    </row>
    <row r="277">
      <c r="A277" s="133" t="s">
        <v>806</v>
      </c>
      <c r="B277" s="2"/>
      <c r="C277" s="2"/>
      <c r="D277" s="3"/>
      <c r="E277" s="121"/>
      <c r="F277" s="121">
        <f>F276*15%</f>
        <v>36.959334</v>
      </c>
      <c r="G277" s="131"/>
      <c r="H277" s="465"/>
      <c r="I277" s="465"/>
    </row>
    <row r="278">
      <c r="A278" s="133" t="s">
        <v>42</v>
      </c>
      <c r="B278" s="2"/>
      <c r="C278" s="2"/>
      <c r="D278" s="3"/>
      <c r="E278" s="131"/>
      <c r="F278" s="300">
        <f>round(F276+F277,2)</f>
        <v>283.35</v>
      </c>
      <c r="G278" s="131"/>
      <c r="H278" s="465"/>
      <c r="I278" s="465"/>
    </row>
    <row r="279">
      <c r="A279" s="471" t="str">
        <f>CONCATENATE("Say ₹ ",F262," + ",F278," x Cost Index")</f>
        <v>Say ₹ 126.84 + 283.35 x Cost Index</v>
      </c>
      <c r="B279" s="2"/>
      <c r="C279" s="2"/>
      <c r="D279" s="2"/>
      <c r="E279" s="2"/>
      <c r="F279" s="3"/>
      <c r="G279" s="472" t="s">
        <v>939</v>
      </c>
      <c r="H279" s="473">
        <f>F256*1.01*1.15/10</f>
        <v>126.8358</v>
      </c>
      <c r="I279" s="473">
        <f>(F265+F267+F269+F272)*1.01*1.15/10</f>
        <v>283.354894</v>
      </c>
    </row>
    <row r="280">
      <c r="A280" s="111" t="s">
        <v>742</v>
      </c>
      <c r="B280" s="111" t="s">
        <v>745</v>
      </c>
      <c r="C280" s="112" t="s">
        <v>6</v>
      </c>
      <c r="D280" s="2"/>
      <c r="E280" s="3"/>
      <c r="F280" s="112" t="s">
        <v>746</v>
      </c>
      <c r="G280" s="3"/>
      <c r="H280" s="465"/>
      <c r="I280" s="465"/>
    </row>
    <row r="281">
      <c r="A281" s="20"/>
      <c r="B281" s="20"/>
      <c r="C281" s="115" t="s">
        <v>8</v>
      </c>
      <c r="D281" s="115" t="s">
        <v>9</v>
      </c>
      <c r="E281" s="115" t="s">
        <v>358</v>
      </c>
      <c r="F281" s="115" t="s">
        <v>11</v>
      </c>
      <c r="G281" s="115" t="s">
        <v>751</v>
      </c>
      <c r="H281" s="465"/>
      <c r="I281" s="465"/>
    </row>
    <row r="282">
      <c r="A282" s="466" t="s">
        <v>1780</v>
      </c>
      <c r="B282" s="2"/>
      <c r="C282" s="2"/>
      <c r="D282" s="2"/>
      <c r="E282" s="2"/>
      <c r="F282" s="2"/>
      <c r="G282" s="3"/>
      <c r="H282" s="465"/>
      <c r="I282" s="465"/>
    </row>
    <row r="283">
      <c r="A283" s="119"/>
      <c r="B283" s="120" t="s">
        <v>754</v>
      </c>
      <c r="C283" s="120" t="s">
        <v>22</v>
      </c>
      <c r="D283" s="120" t="s">
        <v>757</v>
      </c>
      <c r="E283" s="121">
        <v>10.0</v>
      </c>
      <c r="F283" s="467"/>
      <c r="G283" s="3"/>
      <c r="H283" s="465"/>
      <c r="I283" s="465"/>
    </row>
    <row r="284">
      <c r="A284" s="120" t="s">
        <v>761</v>
      </c>
      <c r="B284" s="123" t="s">
        <v>519</v>
      </c>
      <c r="C284" s="2"/>
      <c r="D284" s="2"/>
      <c r="E284" s="2"/>
      <c r="F284" s="2"/>
      <c r="G284" s="3"/>
      <c r="H284" s="465"/>
      <c r="I284" s="465"/>
    </row>
    <row r="285">
      <c r="A285" s="124" t="s">
        <v>764</v>
      </c>
      <c r="B285" s="2"/>
      <c r="C285" s="2"/>
      <c r="D285" s="2"/>
      <c r="E285" s="2"/>
      <c r="F285" s="3"/>
      <c r="G285" s="125" t="s">
        <v>766</v>
      </c>
      <c r="H285" s="465"/>
      <c r="I285" s="465"/>
    </row>
    <row r="286">
      <c r="A286" s="126"/>
      <c r="B286" s="127" t="s">
        <v>1781</v>
      </c>
      <c r="C286" s="123" t="s">
        <v>1782</v>
      </c>
      <c r="D286" s="2"/>
      <c r="E286" s="3"/>
      <c r="F286" s="467"/>
      <c r="G286" s="3"/>
      <c r="H286" s="465"/>
      <c r="I286" s="465"/>
    </row>
    <row r="287">
      <c r="A287" s="20"/>
      <c r="B287" s="20"/>
      <c r="C287" s="120" t="s">
        <v>22</v>
      </c>
      <c r="D287" s="121">
        <v>13.0</v>
      </c>
      <c r="E287" s="121">
        <v>53.0</v>
      </c>
      <c r="F287" s="121">
        <f>E287*D287</f>
        <v>689</v>
      </c>
      <c r="G287" s="120" t="s">
        <v>772</v>
      </c>
      <c r="H287" s="465"/>
      <c r="I287" s="465"/>
    </row>
    <row r="288">
      <c r="A288" s="129" t="s">
        <v>42</v>
      </c>
      <c r="B288" s="2"/>
      <c r="C288" s="3"/>
      <c r="D288" s="121">
        <v>10.0</v>
      </c>
      <c r="E288" s="130" t="s">
        <v>22</v>
      </c>
      <c r="F288" s="121">
        <f>F287</f>
        <v>689</v>
      </c>
      <c r="G288" s="120"/>
      <c r="H288" s="465"/>
      <c r="I288" s="465"/>
    </row>
    <row r="289">
      <c r="A289" s="129" t="s">
        <v>800</v>
      </c>
      <c r="B289" s="2"/>
      <c r="C289" s="3"/>
      <c r="D289" s="121">
        <v>1.0</v>
      </c>
      <c r="E289" s="130" t="s">
        <v>22</v>
      </c>
      <c r="F289" s="121">
        <f>F288/D288</f>
        <v>68.9</v>
      </c>
      <c r="G289" s="120"/>
      <c r="H289" s="465"/>
      <c r="I289" s="465"/>
    </row>
    <row r="290">
      <c r="A290" s="133" t="s">
        <v>802</v>
      </c>
      <c r="B290" s="2"/>
      <c r="C290" s="2"/>
      <c r="D290" s="3"/>
      <c r="E290" s="121"/>
      <c r="F290" s="121">
        <f>F289*1%</f>
        <v>0.689</v>
      </c>
      <c r="G290" s="120"/>
      <c r="H290" s="465"/>
      <c r="I290" s="465"/>
    </row>
    <row r="291">
      <c r="A291" s="133" t="s">
        <v>42</v>
      </c>
      <c r="B291" s="2"/>
      <c r="C291" s="2"/>
      <c r="D291" s="3"/>
      <c r="E291" s="131"/>
      <c r="F291" s="121">
        <f>F289+F290</f>
        <v>69.589</v>
      </c>
      <c r="G291" s="120"/>
      <c r="H291" s="465"/>
      <c r="I291" s="465"/>
    </row>
    <row r="292">
      <c r="A292" s="133" t="s">
        <v>806</v>
      </c>
      <c r="B292" s="2"/>
      <c r="C292" s="2"/>
      <c r="D292" s="3"/>
      <c r="E292" s="121"/>
      <c r="F292" s="121">
        <f>F291*15%</f>
        <v>10.43835</v>
      </c>
      <c r="G292" s="120"/>
      <c r="H292" s="465"/>
      <c r="I292" s="465"/>
    </row>
    <row r="293">
      <c r="A293" s="133" t="s">
        <v>42</v>
      </c>
      <c r="B293" s="2"/>
      <c r="C293" s="2"/>
      <c r="D293" s="3"/>
      <c r="E293" s="131"/>
      <c r="F293" s="300">
        <f>round(F291+F292,2)</f>
        <v>80.03</v>
      </c>
      <c r="G293" s="120"/>
      <c r="H293" s="465"/>
      <c r="I293" s="465"/>
    </row>
    <row r="294">
      <c r="A294" s="124" t="s">
        <v>777</v>
      </c>
      <c r="B294" s="2"/>
      <c r="C294" s="2"/>
      <c r="D294" s="2"/>
      <c r="E294" s="2"/>
      <c r="F294" s="3"/>
      <c r="G294" s="125" t="s">
        <v>778</v>
      </c>
      <c r="H294" s="465"/>
      <c r="I294" s="465"/>
    </row>
    <row r="295">
      <c r="A295" s="127">
        <v>116.0</v>
      </c>
      <c r="B295" s="126"/>
      <c r="C295" s="123" t="s">
        <v>535</v>
      </c>
      <c r="D295" s="2"/>
      <c r="E295" s="3"/>
      <c r="F295" s="467"/>
      <c r="G295" s="3"/>
      <c r="H295" s="465"/>
      <c r="I295" s="465"/>
    </row>
    <row r="296">
      <c r="A296" s="20"/>
      <c r="B296" s="20"/>
      <c r="C296" s="120" t="s">
        <v>27</v>
      </c>
      <c r="D296" s="121">
        <v>0.33</v>
      </c>
      <c r="E296" s="121">
        <v>784.0</v>
      </c>
      <c r="F296" s="121">
        <f>E296*D296</f>
        <v>258.72</v>
      </c>
      <c r="G296" s="120" t="s">
        <v>780</v>
      </c>
      <c r="H296" s="465"/>
      <c r="I296" s="465"/>
    </row>
    <row r="297">
      <c r="A297" s="127">
        <v>117.0</v>
      </c>
      <c r="B297" s="126"/>
      <c r="C297" s="123" t="s">
        <v>856</v>
      </c>
      <c r="D297" s="2"/>
      <c r="E297" s="3"/>
      <c r="F297" s="467"/>
      <c r="G297" s="3"/>
      <c r="H297" s="465"/>
      <c r="I297" s="465"/>
    </row>
    <row r="298">
      <c r="A298" s="20"/>
      <c r="B298" s="20"/>
      <c r="C298" s="120" t="s">
        <v>27</v>
      </c>
      <c r="D298" s="121">
        <v>0.66</v>
      </c>
      <c r="E298" s="121">
        <v>714.0</v>
      </c>
      <c r="F298" s="121">
        <f>E298*D298</f>
        <v>471.24</v>
      </c>
      <c r="G298" s="120" t="s">
        <v>782</v>
      </c>
      <c r="H298" s="465"/>
      <c r="I298" s="465"/>
    </row>
    <row r="299">
      <c r="A299" s="127">
        <v>114.0</v>
      </c>
      <c r="B299" s="126"/>
      <c r="C299" s="123" t="s">
        <v>97</v>
      </c>
      <c r="D299" s="2"/>
      <c r="E299" s="3"/>
      <c r="F299" s="467"/>
      <c r="G299" s="3"/>
      <c r="H299" s="465"/>
      <c r="I299" s="465"/>
    </row>
    <row r="300">
      <c r="A300" s="20"/>
      <c r="B300" s="20"/>
      <c r="C300" s="120" t="s">
        <v>27</v>
      </c>
      <c r="D300" s="121">
        <v>0.66</v>
      </c>
      <c r="E300" s="121">
        <v>645.0</v>
      </c>
      <c r="F300" s="121">
        <f>E300*D300</f>
        <v>425.7</v>
      </c>
      <c r="G300" s="120" t="s">
        <v>791</v>
      </c>
      <c r="H300" s="465"/>
      <c r="I300" s="465"/>
    </row>
    <row r="301">
      <c r="A301" s="124" t="s">
        <v>793</v>
      </c>
      <c r="B301" s="2"/>
      <c r="C301" s="2"/>
      <c r="D301" s="2"/>
      <c r="E301" s="2"/>
      <c r="F301" s="3"/>
      <c r="G301" s="125" t="s">
        <v>778</v>
      </c>
      <c r="H301" s="465"/>
      <c r="I301" s="465"/>
    </row>
    <row r="302">
      <c r="A302" s="483">
        <v>18.78</v>
      </c>
      <c r="B302" s="476"/>
      <c r="C302" s="477" t="s">
        <v>1688</v>
      </c>
      <c r="D302" s="2"/>
      <c r="E302" s="3"/>
      <c r="F302" s="478"/>
      <c r="G302" s="3"/>
      <c r="H302" s="479"/>
      <c r="I302" s="479"/>
    </row>
    <row r="303">
      <c r="A303" s="20"/>
      <c r="B303" s="20"/>
      <c r="C303" s="480" t="s">
        <v>1014</v>
      </c>
      <c r="D303" s="481">
        <v>10.0</v>
      </c>
      <c r="E303" s="481">
        <v>128.39</v>
      </c>
      <c r="F303" s="481">
        <f>D303*E303</f>
        <v>1283.9</v>
      </c>
      <c r="G303" s="482" t="s">
        <v>797</v>
      </c>
      <c r="H303" s="479"/>
      <c r="I303" s="479"/>
    </row>
    <row r="304">
      <c r="A304" s="129" t="s">
        <v>42</v>
      </c>
      <c r="B304" s="2"/>
      <c r="C304" s="3"/>
      <c r="D304" s="121">
        <v>10.0</v>
      </c>
      <c r="E304" s="130" t="s">
        <v>22</v>
      </c>
      <c r="F304" s="470">
        <f>F296+F298+F300+F303</f>
        <v>2439.56</v>
      </c>
      <c r="G304" s="131"/>
      <c r="H304" s="465"/>
      <c r="I304" s="465"/>
    </row>
    <row r="305">
      <c r="A305" s="129" t="s">
        <v>800</v>
      </c>
      <c r="B305" s="2"/>
      <c r="C305" s="3"/>
      <c r="D305" s="121">
        <v>1.0</v>
      </c>
      <c r="E305" s="130" t="s">
        <v>22</v>
      </c>
      <c r="F305" s="121">
        <f>F304/D304</f>
        <v>243.956</v>
      </c>
      <c r="G305" s="131"/>
      <c r="H305" s="465"/>
      <c r="I305" s="465"/>
    </row>
    <row r="306">
      <c r="A306" s="133" t="s">
        <v>802</v>
      </c>
      <c r="B306" s="2"/>
      <c r="C306" s="2"/>
      <c r="D306" s="3"/>
      <c r="E306" s="121"/>
      <c r="F306" s="121">
        <f>F305*1%</f>
        <v>2.43956</v>
      </c>
      <c r="G306" s="131"/>
      <c r="H306" s="465"/>
      <c r="I306" s="465"/>
    </row>
    <row r="307">
      <c r="A307" s="133" t="s">
        <v>42</v>
      </c>
      <c r="B307" s="2"/>
      <c r="C307" s="2"/>
      <c r="D307" s="3"/>
      <c r="E307" s="131"/>
      <c r="F307" s="121">
        <f>F305+F306</f>
        <v>246.39556</v>
      </c>
      <c r="G307" s="131"/>
      <c r="H307" s="465"/>
      <c r="I307" s="465"/>
    </row>
    <row r="308">
      <c r="A308" s="133" t="s">
        <v>806</v>
      </c>
      <c r="B308" s="2"/>
      <c r="C308" s="2"/>
      <c r="D308" s="3"/>
      <c r="E308" s="121"/>
      <c r="F308" s="121">
        <f>F307*15%</f>
        <v>36.959334</v>
      </c>
      <c r="G308" s="131"/>
      <c r="H308" s="465"/>
      <c r="I308" s="465"/>
    </row>
    <row r="309">
      <c r="A309" s="133" t="s">
        <v>42</v>
      </c>
      <c r="B309" s="2"/>
      <c r="C309" s="2"/>
      <c r="D309" s="3"/>
      <c r="E309" s="131"/>
      <c r="F309" s="300">
        <f>round(F307+F308,2)</f>
        <v>283.35</v>
      </c>
      <c r="G309" s="131"/>
      <c r="H309" s="465"/>
      <c r="I309" s="465"/>
    </row>
    <row r="310">
      <c r="A310" s="471" t="str">
        <f>CONCATENATE("Say ₹ ",F293," + ",F309," x Cost Index")</f>
        <v>Say ₹ 80.03 + 283.35 x Cost Index</v>
      </c>
      <c r="B310" s="2"/>
      <c r="C310" s="2"/>
      <c r="D310" s="2"/>
      <c r="E310" s="2"/>
      <c r="F310" s="3"/>
      <c r="G310" s="472" t="s">
        <v>939</v>
      </c>
      <c r="H310" s="473">
        <f>F287*1.01*1.15/10</f>
        <v>80.02735</v>
      </c>
      <c r="I310" s="473">
        <f>(F296+F298+F300+F303)*1.01*1.15/10</f>
        <v>283.354894</v>
      </c>
    </row>
    <row r="311">
      <c r="A311" s="111" t="s">
        <v>742</v>
      </c>
      <c r="B311" s="111" t="s">
        <v>745</v>
      </c>
      <c r="C311" s="112" t="s">
        <v>6</v>
      </c>
      <c r="D311" s="2"/>
      <c r="E311" s="3"/>
      <c r="F311" s="112" t="s">
        <v>746</v>
      </c>
      <c r="G311" s="3"/>
      <c r="H311" s="465"/>
      <c r="I311" s="465"/>
    </row>
    <row r="312">
      <c r="A312" s="20"/>
      <c r="B312" s="20"/>
      <c r="C312" s="115" t="s">
        <v>8</v>
      </c>
      <c r="D312" s="115" t="s">
        <v>9</v>
      </c>
      <c r="E312" s="115" t="s">
        <v>358</v>
      </c>
      <c r="F312" s="115" t="s">
        <v>11</v>
      </c>
      <c r="G312" s="115" t="s">
        <v>751</v>
      </c>
      <c r="H312" s="465"/>
      <c r="I312" s="465"/>
    </row>
    <row r="313">
      <c r="A313" s="466" t="s">
        <v>1788</v>
      </c>
      <c r="B313" s="2"/>
      <c r="C313" s="2"/>
      <c r="D313" s="2"/>
      <c r="E313" s="2"/>
      <c r="F313" s="2"/>
      <c r="G313" s="3"/>
      <c r="H313" s="465"/>
      <c r="I313" s="465"/>
    </row>
    <row r="314">
      <c r="A314" s="507"/>
      <c r="B314" s="508" t="s">
        <v>754</v>
      </c>
      <c r="C314" s="508" t="s">
        <v>22</v>
      </c>
      <c r="D314" s="508" t="s">
        <v>757</v>
      </c>
      <c r="E314" s="470">
        <v>10.0</v>
      </c>
      <c r="F314" s="509"/>
      <c r="G314" s="3"/>
      <c r="H314" s="465"/>
      <c r="I314" s="465"/>
    </row>
    <row r="315">
      <c r="A315" s="508" t="s">
        <v>761</v>
      </c>
      <c r="B315" s="510" t="s">
        <v>519</v>
      </c>
      <c r="C315" s="2"/>
      <c r="D315" s="2"/>
      <c r="E315" s="2"/>
      <c r="F315" s="2"/>
      <c r="G315" s="3"/>
      <c r="H315" s="465"/>
      <c r="I315" s="465"/>
    </row>
    <row r="316">
      <c r="A316" s="124" t="s">
        <v>764</v>
      </c>
      <c r="B316" s="2"/>
      <c r="C316" s="2"/>
      <c r="D316" s="2"/>
      <c r="E316" s="2"/>
      <c r="F316" s="3"/>
      <c r="G316" s="125" t="s">
        <v>766</v>
      </c>
      <c r="H316" s="465"/>
      <c r="I316" s="465"/>
    </row>
    <row r="317">
      <c r="A317" s="511"/>
      <c r="B317" s="512" t="s">
        <v>1789</v>
      </c>
      <c r="C317" s="510" t="s">
        <v>1790</v>
      </c>
      <c r="D317" s="2"/>
      <c r="E317" s="3"/>
      <c r="F317" s="509"/>
      <c r="G317" s="3"/>
      <c r="H317" s="465"/>
      <c r="I317" s="465"/>
    </row>
    <row r="318">
      <c r="A318" s="20"/>
      <c r="B318" s="20"/>
      <c r="C318" s="508" t="s">
        <v>22</v>
      </c>
      <c r="D318" s="470">
        <v>13.0</v>
      </c>
      <c r="E318" s="470">
        <v>90.0</v>
      </c>
      <c r="F318" s="121">
        <f>E318*D318</f>
        <v>1170</v>
      </c>
      <c r="G318" s="508" t="s">
        <v>772</v>
      </c>
      <c r="H318" s="465"/>
      <c r="I318" s="465"/>
    </row>
    <row r="319">
      <c r="A319" s="129" t="s">
        <v>42</v>
      </c>
      <c r="B319" s="2"/>
      <c r="C319" s="3"/>
      <c r="D319" s="121">
        <v>10.0</v>
      </c>
      <c r="E319" s="130" t="s">
        <v>22</v>
      </c>
      <c r="F319" s="121">
        <f>F318</f>
        <v>1170</v>
      </c>
      <c r="G319" s="508"/>
      <c r="H319" s="465"/>
      <c r="I319" s="465"/>
    </row>
    <row r="320">
      <c r="A320" s="129" t="s">
        <v>800</v>
      </c>
      <c r="B320" s="2"/>
      <c r="C320" s="3"/>
      <c r="D320" s="121">
        <v>1.0</v>
      </c>
      <c r="E320" s="130" t="s">
        <v>22</v>
      </c>
      <c r="F320" s="121">
        <f>F319/D319</f>
        <v>117</v>
      </c>
      <c r="G320" s="508"/>
      <c r="H320" s="465"/>
      <c r="I320" s="465"/>
    </row>
    <row r="321">
      <c r="A321" s="133" t="s">
        <v>802</v>
      </c>
      <c r="B321" s="2"/>
      <c r="C321" s="2"/>
      <c r="D321" s="3"/>
      <c r="E321" s="121"/>
      <c r="F321" s="121">
        <f>F320*1%</f>
        <v>1.17</v>
      </c>
      <c r="G321" s="508"/>
      <c r="H321" s="465"/>
      <c r="I321" s="465"/>
    </row>
    <row r="322">
      <c r="A322" s="133" t="s">
        <v>42</v>
      </c>
      <c r="B322" s="2"/>
      <c r="C322" s="2"/>
      <c r="D322" s="3"/>
      <c r="E322" s="131"/>
      <c r="F322" s="121">
        <f>F320+F321</f>
        <v>118.17</v>
      </c>
      <c r="G322" s="508"/>
      <c r="H322" s="465"/>
      <c r="I322" s="465"/>
    </row>
    <row r="323">
      <c r="A323" s="133" t="s">
        <v>806</v>
      </c>
      <c r="B323" s="2"/>
      <c r="C323" s="2"/>
      <c r="D323" s="3"/>
      <c r="E323" s="121"/>
      <c r="F323" s="121">
        <f>F322*15%</f>
        <v>17.7255</v>
      </c>
      <c r="G323" s="508"/>
      <c r="H323" s="465"/>
      <c r="I323" s="465"/>
    </row>
    <row r="324">
      <c r="A324" s="133" t="s">
        <v>42</v>
      </c>
      <c r="B324" s="2"/>
      <c r="C324" s="2"/>
      <c r="D324" s="3"/>
      <c r="E324" s="131"/>
      <c r="F324" s="300">
        <f>round(F322+F323,2)</f>
        <v>135.9</v>
      </c>
      <c r="G324" s="508"/>
      <c r="H324" s="465"/>
      <c r="I324" s="465"/>
    </row>
    <row r="325">
      <c r="A325" s="124" t="s">
        <v>777</v>
      </c>
      <c r="B325" s="2"/>
      <c r="C325" s="2"/>
      <c r="D325" s="2"/>
      <c r="E325" s="2"/>
      <c r="F325" s="3"/>
      <c r="G325" s="125" t="s">
        <v>778</v>
      </c>
      <c r="H325" s="465"/>
      <c r="I325" s="465"/>
    </row>
    <row r="326">
      <c r="A326" s="512">
        <v>116.0</v>
      </c>
      <c r="B326" s="511"/>
      <c r="C326" s="510" t="s">
        <v>535</v>
      </c>
      <c r="D326" s="2"/>
      <c r="E326" s="3"/>
      <c r="F326" s="509"/>
      <c r="G326" s="3"/>
      <c r="H326" s="465"/>
      <c r="I326" s="465"/>
    </row>
    <row r="327">
      <c r="A327" s="20"/>
      <c r="B327" s="20"/>
      <c r="C327" s="508" t="s">
        <v>27</v>
      </c>
      <c r="D327" s="470">
        <v>0.33</v>
      </c>
      <c r="E327" s="470">
        <v>784.0</v>
      </c>
      <c r="F327" s="121">
        <f>E327*D327</f>
        <v>258.72</v>
      </c>
      <c r="G327" s="508" t="s">
        <v>780</v>
      </c>
      <c r="H327" s="465"/>
      <c r="I327" s="465"/>
    </row>
    <row r="328">
      <c r="A328" s="512">
        <v>117.0</v>
      </c>
      <c r="B328" s="511"/>
      <c r="C328" s="510" t="s">
        <v>856</v>
      </c>
      <c r="D328" s="2"/>
      <c r="E328" s="3"/>
      <c r="F328" s="509"/>
      <c r="G328" s="3"/>
      <c r="H328" s="465"/>
      <c r="I328" s="465"/>
    </row>
    <row r="329">
      <c r="A329" s="20"/>
      <c r="B329" s="20"/>
      <c r="C329" s="508" t="s">
        <v>27</v>
      </c>
      <c r="D329" s="470">
        <v>0.66</v>
      </c>
      <c r="E329" s="470">
        <v>714.0</v>
      </c>
      <c r="F329" s="121">
        <f>E329*D329</f>
        <v>471.24</v>
      </c>
      <c r="G329" s="508" t="s">
        <v>782</v>
      </c>
      <c r="H329" s="465"/>
      <c r="I329" s="465"/>
    </row>
    <row r="330">
      <c r="A330" s="512">
        <v>114.0</v>
      </c>
      <c r="B330" s="511"/>
      <c r="C330" s="510" t="s">
        <v>97</v>
      </c>
      <c r="D330" s="2"/>
      <c r="E330" s="3"/>
      <c r="F330" s="509"/>
      <c r="G330" s="3"/>
      <c r="H330" s="465"/>
      <c r="I330" s="465"/>
    </row>
    <row r="331">
      <c r="A331" s="20"/>
      <c r="B331" s="20"/>
      <c r="C331" s="508" t="s">
        <v>27</v>
      </c>
      <c r="D331" s="470">
        <v>0.66</v>
      </c>
      <c r="E331" s="470">
        <v>645.0</v>
      </c>
      <c r="F331" s="121">
        <f>E331*D331</f>
        <v>425.7</v>
      </c>
      <c r="G331" s="508" t="s">
        <v>791</v>
      </c>
      <c r="H331" s="465"/>
      <c r="I331" s="465"/>
    </row>
    <row r="332">
      <c r="A332" s="124" t="s">
        <v>793</v>
      </c>
      <c r="B332" s="2"/>
      <c r="C332" s="2"/>
      <c r="D332" s="2"/>
      <c r="E332" s="2"/>
      <c r="F332" s="3"/>
      <c r="G332" s="125" t="s">
        <v>778</v>
      </c>
      <c r="H332" s="465"/>
      <c r="I332" s="465"/>
    </row>
    <row r="333">
      <c r="A333" s="483">
        <v>18.78</v>
      </c>
      <c r="B333" s="476"/>
      <c r="C333" s="477" t="s">
        <v>1688</v>
      </c>
      <c r="D333" s="2"/>
      <c r="E333" s="3"/>
      <c r="F333" s="478"/>
      <c r="G333" s="3"/>
      <c r="H333" s="479"/>
      <c r="I333" s="479"/>
    </row>
    <row r="334">
      <c r="A334" s="20"/>
      <c r="B334" s="20"/>
      <c r="C334" s="480" t="s">
        <v>1014</v>
      </c>
      <c r="D334" s="481">
        <v>10.0</v>
      </c>
      <c r="E334" s="481">
        <v>128.39</v>
      </c>
      <c r="F334" s="481">
        <f>D334*E334</f>
        <v>1283.9</v>
      </c>
      <c r="G334" s="482" t="s">
        <v>797</v>
      </c>
      <c r="H334" s="479"/>
      <c r="I334" s="479"/>
    </row>
    <row r="335">
      <c r="A335" s="129" t="s">
        <v>42</v>
      </c>
      <c r="B335" s="2"/>
      <c r="C335" s="3"/>
      <c r="D335" s="121">
        <v>10.0</v>
      </c>
      <c r="E335" s="130" t="s">
        <v>22</v>
      </c>
      <c r="F335" s="470">
        <f>F327+F329+F331+F334</f>
        <v>2439.56</v>
      </c>
      <c r="G335" s="131"/>
      <c r="H335" s="465"/>
      <c r="I335" s="465"/>
    </row>
    <row r="336">
      <c r="A336" s="129" t="s">
        <v>800</v>
      </c>
      <c r="B336" s="2"/>
      <c r="C336" s="3"/>
      <c r="D336" s="121">
        <v>1.0</v>
      </c>
      <c r="E336" s="130" t="s">
        <v>22</v>
      </c>
      <c r="F336" s="121">
        <f>F335/D335</f>
        <v>243.956</v>
      </c>
      <c r="G336" s="131"/>
      <c r="H336" s="465"/>
      <c r="I336" s="465"/>
    </row>
    <row r="337">
      <c r="A337" s="133" t="s">
        <v>802</v>
      </c>
      <c r="B337" s="2"/>
      <c r="C337" s="2"/>
      <c r="D337" s="3"/>
      <c r="E337" s="121"/>
      <c r="F337" s="121">
        <f>F336*1%</f>
        <v>2.43956</v>
      </c>
      <c r="G337" s="131"/>
      <c r="H337" s="465"/>
      <c r="I337" s="465"/>
    </row>
    <row r="338">
      <c r="A338" s="133" t="s">
        <v>42</v>
      </c>
      <c r="B338" s="2"/>
      <c r="C338" s="2"/>
      <c r="D338" s="3"/>
      <c r="E338" s="131"/>
      <c r="F338" s="121">
        <f>F336+F337</f>
        <v>246.39556</v>
      </c>
      <c r="G338" s="131"/>
      <c r="H338" s="465"/>
      <c r="I338" s="465"/>
    </row>
    <row r="339">
      <c r="A339" s="133" t="s">
        <v>806</v>
      </c>
      <c r="B339" s="2"/>
      <c r="C339" s="2"/>
      <c r="D339" s="3"/>
      <c r="E339" s="121"/>
      <c r="F339" s="121">
        <f>F338*15%</f>
        <v>36.959334</v>
      </c>
      <c r="G339" s="131"/>
      <c r="H339" s="465"/>
      <c r="I339" s="465"/>
    </row>
    <row r="340">
      <c r="A340" s="133" t="s">
        <v>42</v>
      </c>
      <c r="B340" s="2"/>
      <c r="C340" s="2"/>
      <c r="D340" s="3"/>
      <c r="E340" s="131"/>
      <c r="F340" s="300">
        <f>round(F338+F339,2)</f>
        <v>283.35</v>
      </c>
      <c r="G340" s="131"/>
      <c r="H340" s="465"/>
      <c r="I340" s="465"/>
    </row>
    <row r="341">
      <c r="A341" s="471" t="str">
        <f>CONCATENATE("Say ₹ ",F324," + ",F340," x Cost Index")</f>
        <v>Say ₹ 135.9 + 283.35 x Cost Index</v>
      </c>
      <c r="B341" s="2"/>
      <c r="C341" s="2"/>
      <c r="D341" s="2"/>
      <c r="E341" s="2"/>
      <c r="F341" s="3"/>
      <c r="G341" s="472" t="s">
        <v>939</v>
      </c>
      <c r="H341" s="473">
        <f>F318*1.01*1.15/10</f>
        <v>135.8955</v>
      </c>
      <c r="I341" s="473">
        <f>(F327+F329+F331+F334)*1.01*1.15/10</f>
        <v>283.354894</v>
      </c>
    </row>
    <row r="342">
      <c r="A342" s="111" t="s">
        <v>742</v>
      </c>
      <c r="B342" s="111" t="s">
        <v>745</v>
      </c>
      <c r="C342" s="112" t="s">
        <v>6</v>
      </c>
      <c r="D342" s="2"/>
      <c r="E342" s="3"/>
      <c r="F342" s="112" t="s">
        <v>746</v>
      </c>
      <c r="G342" s="3"/>
      <c r="H342" s="465"/>
      <c r="I342" s="465"/>
    </row>
    <row r="343">
      <c r="A343" s="20"/>
      <c r="B343" s="20"/>
      <c r="C343" s="115" t="s">
        <v>8</v>
      </c>
      <c r="D343" s="115" t="s">
        <v>9</v>
      </c>
      <c r="E343" s="115" t="s">
        <v>358</v>
      </c>
      <c r="F343" s="115" t="s">
        <v>11</v>
      </c>
      <c r="G343" s="115" t="s">
        <v>751</v>
      </c>
      <c r="H343" s="465"/>
      <c r="I343" s="465"/>
    </row>
    <row r="344">
      <c r="A344" s="466" t="s">
        <v>1795</v>
      </c>
      <c r="B344" s="2"/>
      <c r="C344" s="2"/>
      <c r="D344" s="2"/>
      <c r="E344" s="2"/>
      <c r="F344" s="2"/>
      <c r="G344" s="3"/>
      <c r="H344" s="465"/>
      <c r="I344" s="465"/>
    </row>
    <row r="345">
      <c r="A345" s="119"/>
      <c r="B345" s="120" t="s">
        <v>754</v>
      </c>
      <c r="C345" s="120" t="s">
        <v>22</v>
      </c>
      <c r="D345" s="120" t="s">
        <v>757</v>
      </c>
      <c r="E345" s="121">
        <v>10.0</v>
      </c>
      <c r="F345" s="467"/>
      <c r="G345" s="3"/>
      <c r="H345" s="465"/>
      <c r="I345" s="465"/>
    </row>
    <row r="346">
      <c r="A346" s="120" t="s">
        <v>761</v>
      </c>
      <c r="B346" s="123" t="s">
        <v>519</v>
      </c>
      <c r="C346" s="2"/>
      <c r="D346" s="2"/>
      <c r="E346" s="2"/>
      <c r="F346" s="2"/>
      <c r="G346" s="3"/>
      <c r="H346" s="465"/>
      <c r="I346" s="465"/>
    </row>
    <row r="347">
      <c r="A347" s="124" t="s">
        <v>764</v>
      </c>
      <c r="B347" s="2"/>
      <c r="C347" s="2"/>
      <c r="D347" s="2"/>
      <c r="E347" s="2"/>
      <c r="F347" s="3"/>
      <c r="G347" s="125" t="s">
        <v>766</v>
      </c>
      <c r="H347" s="465"/>
      <c r="I347" s="465"/>
    </row>
    <row r="348">
      <c r="A348" s="126"/>
      <c r="B348" s="127" t="s">
        <v>1799</v>
      </c>
      <c r="C348" s="123" t="s">
        <v>1801</v>
      </c>
      <c r="D348" s="2"/>
      <c r="E348" s="3"/>
      <c r="F348" s="467"/>
      <c r="G348" s="3"/>
      <c r="H348" s="465"/>
      <c r="I348" s="465"/>
    </row>
    <row r="349">
      <c r="A349" s="20"/>
      <c r="B349" s="20"/>
      <c r="C349" s="120" t="s">
        <v>22</v>
      </c>
      <c r="D349" s="121">
        <v>13.0</v>
      </c>
      <c r="E349" s="121">
        <v>60.0</v>
      </c>
      <c r="F349" s="121">
        <f>E349*D349</f>
        <v>780</v>
      </c>
      <c r="G349" s="120" t="s">
        <v>772</v>
      </c>
      <c r="H349" s="465"/>
      <c r="I349" s="465"/>
    </row>
    <row r="350">
      <c r="A350" s="129" t="s">
        <v>42</v>
      </c>
      <c r="B350" s="2"/>
      <c r="C350" s="3"/>
      <c r="D350" s="121">
        <v>10.0</v>
      </c>
      <c r="E350" s="130" t="s">
        <v>22</v>
      </c>
      <c r="F350" s="121">
        <f>F349</f>
        <v>780</v>
      </c>
      <c r="G350" s="120"/>
      <c r="H350" s="465"/>
      <c r="I350" s="465"/>
    </row>
    <row r="351">
      <c r="A351" s="129" t="s">
        <v>800</v>
      </c>
      <c r="B351" s="2"/>
      <c r="C351" s="3"/>
      <c r="D351" s="121">
        <v>1.0</v>
      </c>
      <c r="E351" s="130" t="s">
        <v>22</v>
      </c>
      <c r="F351" s="121">
        <f>F350/D350</f>
        <v>78</v>
      </c>
      <c r="G351" s="120"/>
      <c r="H351" s="465"/>
      <c r="I351" s="465"/>
    </row>
    <row r="352">
      <c r="A352" s="133" t="s">
        <v>802</v>
      </c>
      <c r="B352" s="2"/>
      <c r="C352" s="2"/>
      <c r="D352" s="3"/>
      <c r="E352" s="121"/>
      <c r="F352" s="121">
        <f>F351*1%</f>
        <v>0.78</v>
      </c>
      <c r="G352" s="120"/>
      <c r="H352" s="465"/>
      <c r="I352" s="465"/>
    </row>
    <row r="353">
      <c r="A353" s="133" t="s">
        <v>42</v>
      </c>
      <c r="B353" s="2"/>
      <c r="C353" s="2"/>
      <c r="D353" s="3"/>
      <c r="E353" s="131"/>
      <c r="F353" s="121">
        <f>F351+F352</f>
        <v>78.78</v>
      </c>
      <c r="G353" s="120"/>
      <c r="H353" s="465"/>
      <c r="I353" s="465"/>
    </row>
    <row r="354">
      <c r="A354" s="133" t="s">
        <v>806</v>
      </c>
      <c r="B354" s="2"/>
      <c r="C354" s="2"/>
      <c r="D354" s="3"/>
      <c r="E354" s="121"/>
      <c r="F354" s="121">
        <f>F353*15%</f>
        <v>11.817</v>
      </c>
      <c r="G354" s="120"/>
      <c r="H354" s="465"/>
      <c r="I354" s="465"/>
    </row>
    <row r="355">
      <c r="A355" s="133" t="s">
        <v>42</v>
      </c>
      <c r="B355" s="2"/>
      <c r="C355" s="2"/>
      <c r="D355" s="3"/>
      <c r="E355" s="131"/>
      <c r="F355" s="300">
        <f>round(F353+F354,2)</f>
        <v>90.6</v>
      </c>
      <c r="G355" s="120"/>
      <c r="H355" s="465"/>
      <c r="I355" s="465"/>
    </row>
    <row r="356">
      <c r="A356" s="124" t="s">
        <v>777</v>
      </c>
      <c r="B356" s="2"/>
      <c r="C356" s="2"/>
      <c r="D356" s="2"/>
      <c r="E356" s="2"/>
      <c r="F356" s="3"/>
      <c r="G356" s="125" t="s">
        <v>778</v>
      </c>
      <c r="H356" s="465"/>
      <c r="I356" s="465"/>
    </row>
    <row r="357">
      <c r="A357" s="127">
        <v>116.0</v>
      </c>
      <c r="B357" s="126"/>
      <c r="C357" s="123" t="s">
        <v>535</v>
      </c>
      <c r="D357" s="2"/>
      <c r="E357" s="3"/>
      <c r="F357" s="467"/>
      <c r="G357" s="3"/>
      <c r="H357" s="465"/>
      <c r="I357" s="465"/>
    </row>
    <row r="358">
      <c r="A358" s="20"/>
      <c r="B358" s="20"/>
      <c r="C358" s="120" t="s">
        <v>27</v>
      </c>
      <c r="D358" s="121">
        <v>0.33</v>
      </c>
      <c r="E358" s="121">
        <v>784.0</v>
      </c>
      <c r="F358" s="121">
        <f>E358*D358</f>
        <v>258.72</v>
      </c>
      <c r="G358" s="120" t="s">
        <v>780</v>
      </c>
      <c r="H358" s="465"/>
      <c r="I358" s="465"/>
    </row>
    <row r="359">
      <c r="A359" s="127">
        <v>117.0</v>
      </c>
      <c r="B359" s="126"/>
      <c r="C359" s="123" t="s">
        <v>856</v>
      </c>
      <c r="D359" s="2"/>
      <c r="E359" s="3"/>
      <c r="F359" s="467"/>
      <c r="G359" s="3"/>
      <c r="H359" s="465"/>
      <c r="I359" s="465"/>
    </row>
    <row r="360">
      <c r="A360" s="20"/>
      <c r="B360" s="20"/>
      <c r="C360" s="120" t="s">
        <v>27</v>
      </c>
      <c r="D360" s="121">
        <v>0.66</v>
      </c>
      <c r="E360" s="121">
        <v>714.0</v>
      </c>
      <c r="F360" s="121">
        <f>E360*D360</f>
        <v>471.24</v>
      </c>
      <c r="G360" s="120" t="s">
        <v>782</v>
      </c>
      <c r="H360" s="465"/>
      <c r="I360" s="465"/>
    </row>
    <row r="361">
      <c r="A361" s="127">
        <v>114.0</v>
      </c>
      <c r="B361" s="126"/>
      <c r="C361" s="123" t="s">
        <v>97</v>
      </c>
      <c r="D361" s="2"/>
      <c r="E361" s="3"/>
      <c r="F361" s="467"/>
      <c r="G361" s="3"/>
      <c r="H361" s="465"/>
      <c r="I361" s="465"/>
    </row>
    <row r="362">
      <c r="A362" s="20"/>
      <c r="B362" s="20"/>
      <c r="C362" s="120" t="s">
        <v>27</v>
      </c>
      <c r="D362" s="121">
        <v>0.66</v>
      </c>
      <c r="E362" s="121">
        <v>645.0</v>
      </c>
      <c r="F362" s="121">
        <f>E362*D362</f>
        <v>425.7</v>
      </c>
      <c r="G362" s="120" t="s">
        <v>791</v>
      </c>
      <c r="H362" s="465"/>
      <c r="I362" s="465"/>
    </row>
    <row r="363">
      <c r="A363" s="124" t="s">
        <v>793</v>
      </c>
      <c r="B363" s="2"/>
      <c r="C363" s="2"/>
      <c r="D363" s="2"/>
      <c r="E363" s="2"/>
      <c r="F363" s="3"/>
      <c r="G363" s="125" t="s">
        <v>778</v>
      </c>
      <c r="H363" s="465"/>
      <c r="I363" s="465"/>
    </row>
    <row r="364">
      <c r="A364" s="483">
        <v>18.78</v>
      </c>
      <c r="B364" s="476"/>
      <c r="C364" s="477" t="s">
        <v>1688</v>
      </c>
      <c r="D364" s="2"/>
      <c r="E364" s="3"/>
      <c r="F364" s="478"/>
      <c r="G364" s="3"/>
      <c r="H364" s="479"/>
      <c r="I364" s="479"/>
    </row>
    <row r="365">
      <c r="A365" s="20"/>
      <c r="B365" s="20"/>
      <c r="C365" s="480" t="s">
        <v>1014</v>
      </c>
      <c r="D365" s="481">
        <v>10.0</v>
      </c>
      <c r="E365" s="481">
        <v>128.39</v>
      </c>
      <c r="F365" s="481">
        <f>D365*E365</f>
        <v>1283.9</v>
      </c>
      <c r="G365" s="482" t="s">
        <v>797</v>
      </c>
      <c r="H365" s="479"/>
      <c r="I365" s="479"/>
    </row>
    <row r="366">
      <c r="A366" s="129" t="s">
        <v>42</v>
      </c>
      <c r="B366" s="2"/>
      <c r="C366" s="3"/>
      <c r="D366" s="121">
        <v>10.0</v>
      </c>
      <c r="E366" s="130" t="s">
        <v>22</v>
      </c>
      <c r="F366" s="470">
        <f>F358+F360+F362+F365</f>
        <v>2439.56</v>
      </c>
      <c r="G366" s="131"/>
      <c r="H366" s="465"/>
      <c r="I366" s="465"/>
    </row>
    <row r="367">
      <c r="A367" s="129" t="s">
        <v>800</v>
      </c>
      <c r="B367" s="2"/>
      <c r="C367" s="3"/>
      <c r="D367" s="121">
        <v>1.0</v>
      </c>
      <c r="E367" s="130" t="s">
        <v>22</v>
      </c>
      <c r="F367" s="121">
        <f>F366/D366</f>
        <v>243.956</v>
      </c>
      <c r="G367" s="131"/>
      <c r="H367" s="465"/>
      <c r="I367" s="465"/>
    </row>
    <row r="368">
      <c r="A368" s="133" t="s">
        <v>802</v>
      </c>
      <c r="B368" s="2"/>
      <c r="C368" s="2"/>
      <c r="D368" s="3"/>
      <c r="E368" s="121"/>
      <c r="F368" s="121">
        <f>F367*1%</f>
        <v>2.43956</v>
      </c>
      <c r="G368" s="131"/>
      <c r="H368" s="465"/>
      <c r="I368" s="465"/>
    </row>
    <row r="369">
      <c r="A369" s="133" t="s">
        <v>42</v>
      </c>
      <c r="B369" s="2"/>
      <c r="C369" s="2"/>
      <c r="D369" s="3"/>
      <c r="E369" s="131"/>
      <c r="F369" s="121">
        <f>F367+F368</f>
        <v>246.39556</v>
      </c>
      <c r="G369" s="131"/>
      <c r="H369" s="465"/>
      <c r="I369" s="465"/>
    </row>
    <row r="370">
      <c r="A370" s="133" t="s">
        <v>806</v>
      </c>
      <c r="B370" s="2"/>
      <c r="C370" s="2"/>
      <c r="D370" s="3"/>
      <c r="E370" s="121"/>
      <c r="F370" s="121">
        <f>F369*15%</f>
        <v>36.959334</v>
      </c>
      <c r="G370" s="131"/>
      <c r="H370" s="465"/>
      <c r="I370" s="465"/>
    </row>
    <row r="371">
      <c r="A371" s="133" t="s">
        <v>42</v>
      </c>
      <c r="B371" s="2"/>
      <c r="C371" s="2"/>
      <c r="D371" s="3"/>
      <c r="E371" s="131"/>
      <c r="F371" s="300">
        <f>round(F369+F370,2)</f>
        <v>283.35</v>
      </c>
      <c r="G371" s="131"/>
      <c r="H371" s="465"/>
      <c r="I371" s="465"/>
    </row>
    <row r="372">
      <c r="A372" s="471" t="str">
        <f>CONCATENATE("Say ₹ ",F355," + ",F371," x Cost Index")</f>
        <v>Say ₹ 90.6 + 283.35 x Cost Index</v>
      </c>
      <c r="B372" s="2"/>
      <c r="C372" s="2"/>
      <c r="D372" s="2"/>
      <c r="E372" s="2"/>
      <c r="F372" s="3"/>
      <c r="G372" s="472" t="s">
        <v>939</v>
      </c>
      <c r="H372" s="473">
        <f>F349*1.01*1.15/10</f>
        <v>90.597</v>
      </c>
      <c r="I372" s="473">
        <f>(F358+F360+F362+F365)*1.01*1.15/10</f>
        <v>283.354894</v>
      </c>
    </row>
    <row r="373">
      <c r="A373" s="111" t="s">
        <v>742</v>
      </c>
      <c r="B373" s="111" t="s">
        <v>745</v>
      </c>
      <c r="C373" s="112" t="s">
        <v>6</v>
      </c>
      <c r="D373" s="2"/>
      <c r="E373" s="3"/>
      <c r="F373" s="112" t="s">
        <v>746</v>
      </c>
      <c r="G373" s="3"/>
      <c r="H373" s="465"/>
      <c r="I373" s="465"/>
    </row>
    <row r="374">
      <c r="A374" s="20"/>
      <c r="B374" s="20"/>
      <c r="C374" s="115" t="s">
        <v>8</v>
      </c>
      <c r="D374" s="115" t="s">
        <v>9</v>
      </c>
      <c r="E374" s="115" t="s">
        <v>358</v>
      </c>
      <c r="F374" s="115" t="s">
        <v>11</v>
      </c>
      <c r="G374" s="115" t="s">
        <v>751</v>
      </c>
      <c r="H374" s="465"/>
      <c r="I374" s="465"/>
    </row>
    <row r="375">
      <c r="A375" s="466" t="s">
        <v>1809</v>
      </c>
      <c r="B375" s="2"/>
      <c r="C375" s="2"/>
      <c r="D375" s="2"/>
      <c r="E375" s="2"/>
      <c r="F375" s="2"/>
      <c r="G375" s="3"/>
      <c r="H375" s="465"/>
      <c r="I375" s="465"/>
    </row>
    <row r="376">
      <c r="A376" s="119"/>
      <c r="B376" s="120" t="s">
        <v>754</v>
      </c>
      <c r="C376" s="120" t="s">
        <v>22</v>
      </c>
      <c r="D376" s="120" t="s">
        <v>757</v>
      </c>
      <c r="E376" s="121">
        <v>10.0</v>
      </c>
      <c r="F376" s="467"/>
      <c r="G376" s="3"/>
      <c r="H376" s="465"/>
      <c r="I376" s="465"/>
    </row>
    <row r="377">
      <c r="A377" s="120" t="s">
        <v>761</v>
      </c>
      <c r="B377" s="123" t="s">
        <v>519</v>
      </c>
      <c r="C377" s="2"/>
      <c r="D377" s="2"/>
      <c r="E377" s="2"/>
      <c r="F377" s="2"/>
      <c r="G377" s="3"/>
      <c r="H377" s="465"/>
      <c r="I377" s="465"/>
    </row>
    <row r="378">
      <c r="A378" s="124" t="s">
        <v>764</v>
      </c>
      <c r="B378" s="2"/>
      <c r="C378" s="2"/>
      <c r="D378" s="2"/>
      <c r="E378" s="2"/>
      <c r="F378" s="3"/>
      <c r="G378" s="125" t="s">
        <v>766</v>
      </c>
      <c r="H378" s="465"/>
      <c r="I378" s="465"/>
    </row>
    <row r="379">
      <c r="A379" s="126"/>
      <c r="B379" s="127" t="s">
        <v>1810</v>
      </c>
      <c r="C379" s="123" t="s">
        <v>1811</v>
      </c>
      <c r="D379" s="2"/>
      <c r="E379" s="3"/>
      <c r="F379" s="467"/>
      <c r="G379" s="3"/>
      <c r="H379" s="465"/>
      <c r="I379" s="465"/>
    </row>
    <row r="380">
      <c r="A380" s="20"/>
      <c r="B380" s="20"/>
      <c r="C380" s="120" t="s">
        <v>22</v>
      </c>
      <c r="D380" s="121">
        <v>10.5</v>
      </c>
      <c r="E380" s="121">
        <v>118.0</v>
      </c>
      <c r="F380" s="121">
        <f>E380*D380</f>
        <v>1239</v>
      </c>
      <c r="G380" s="120" t="s">
        <v>772</v>
      </c>
      <c r="H380" s="465"/>
      <c r="I380" s="465"/>
    </row>
    <row r="381">
      <c r="A381" s="129" t="s">
        <v>42</v>
      </c>
      <c r="B381" s="2"/>
      <c r="C381" s="3"/>
      <c r="D381" s="121">
        <v>10.0</v>
      </c>
      <c r="E381" s="130" t="s">
        <v>22</v>
      </c>
      <c r="F381" s="121">
        <f>F380</f>
        <v>1239</v>
      </c>
      <c r="G381" s="120"/>
      <c r="H381" s="465"/>
      <c r="I381" s="465"/>
    </row>
    <row r="382">
      <c r="A382" s="129" t="s">
        <v>800</v>
      </c>
      <c r="B382" s="2"/>
      <c r="C382" s="3"/>
      <c r="D382" s="121">
        <v>1.0</v>
      </c>
      <c r="E382" s="130" t="s">
        <v>22</v>
      </c>
      <c r="F382" s="121">
        <f>F381/D381</f>
        <v>123.9</v>
      </c>
      <c r="G382" s="120"/>
      <c r="H382" s="465"/>
      <c r="I382" s="465"/>
    </row>
    <row r="383">
      <c r="A383" s="133" t="s">
        <v>802</v>
      </c>
      <c r="B383" s="2"/>
      <c r="C383" s="2"/>
      <c r="D383" s="3"/>
      <c r="E383" s="121"/>
      <c r="F383" s="121">
        <f>F382*1%</f>
        <v>1.239</v>
      </c>
      <c r="G383" s="120"/>
      <c r="H383" s="465"/>
      <c r="I383" s="465"/>
    </row>
    <row r="384">
      <c r="A384" s="133" t="s">
        <v>42</v>
      </c>
      <c r="B384" s="2"/>
      <c r="C384" s="2"/>
      <c r="D384" s="3"/>
      <c r="E384" s="131"/>
      <c r="F384" s="121">
        <f>F382+F383</f>
        <v>125.139</v>
      </c>
      <c r="G384" s="120"/>
      <c r="H384" s="465"/>
      <c r="I384" s="465"/>
    </row>
    <row r="385">
      <c r="A385" s="133" t="s">
        <v>806</v>
      </c>
      <c r="B385" s="2"/>
      <c r="C385" s="2"/>
      <c r="D385" s="3"/>
      <c r="E385" s="121"/>
      <c r="F385" s="121">
        <f>F384*15%</f>
        <v>18.77085</v>
      </c>
      <c r="G385" s="120"/>
      <c r="H385" s="465"/>
      <c r="I385" s="465"/>
    </row>
    <row r="386">
      <c r="A386" s="133" t="s">
        <v>42</v>
      </c>
      <c r="B386" s="2"/>
      <c r="C386" s="2"/>
      <c r="D386" s="3"/>
      <c r="E386" s="131"/>
      <c r="F386" s="300">
        <f>round(F384+F385,2)</f>
        <v>143.91</v>
      </c>
      <c r="G386" s="120"/>
      <c r="H386" s="465"/>
      <c r="I386" s="465"/>
    </row>
    <row r="387">
      <c r="A387" s="124" t="s">
        <v>777</v>
      </c>
      <c r="B387" s="2"/>
      <c r="C387" s="2"/>
      <c r="D387" s="2"/>
      <c r="E387" s="2"/>
      <c r="F387" s="3"/>
      <c r="G387" s="125" t="s">
        <v>778</v>
      </c>
      <c r="H387" s="465"/>
      <c r="I387" s="465"/>
    </row>
    <row r="388">
      <c r="A388" s="127">
        <v>116.0</v>
      </c>
      <c r="B388" s="126"/>
      <c r="C388" s="123" t="s">
        <v>535</v>
      </c>
      <c r="D388" s="2"/>
      <c r="E388" s="3"/>
      <c r="F388" s="467"/>
      <c r="G388" s="3"/>
      <c r="H388" s="465"/>
      <c r="I388" s="465"/>
    </row>
    <row r="389">
      <c r="A389" s="20"/>
      <c r="B389" s="20"/>
      <c r="C389" s="120" t="s">
        <v>27</v>
      </c>
      <c r="D389" s="121">
        <v>0.33</v>
      </c>
      <c r="E389" s="121">
        <v>784.0</v>
      </c>
      <c r="F389" s="121">
        <f>E389*D389</f>
        <v>258.72</v>
      </c>
      <c r="G389" s="120" t="s">
        <v>780</v>
      </c>
      <c r="H389" s="465"/>
      <c r="I389" s="465"/>
    </row>
    <row r="390">
      <c r="A390" s="127">
        <v>117.0</v>
      </c>
      <c r="B390" s="126"/>
      <c r="C390" s="123" t="s">
        <v>856</v>
      </c>
      <c r="D390" s="2"/>
      <c r="E390" s="3"/>
      <c r="F390" s="467"/>
      <c r="G390" s="3"/>
      <c r="H390" s="465"/>
      <c r="I390" s="465"/>
    </row>
    <row r="391">
      <c r="A391" s="20"/>
      <c r="B391" s="20"/>
      <c r="C391" s="120" t="s">
        <v>27</v>
      </c>
      <c r="D391" s="121">
        <v>0.66</v>
      </c>
      <c r="E391" s="121">
        <v>714.0</v>
      </c>
      <c r="F391" s="121">
        <f>E391*D391</f>
        <v>471.24</v>
      </c>
      <c r="G391" s="120" t="s">
        <v>782</v>
      </c>
      <c r="H391" s="465"/>
      <c r="I391" s="465"/>
    </row>
    <row r="392">
      <c r="A392" s="127">
        <v>114.0</v>
      </c>
      <c r="B392" s="126"/>
      <c r="C392" s="123" t="s">
        <v>97</v>
      </c>
      <c r="D392" s="2"/>
      <c r="E392" s="3"/>
      <c r="F392" s="467"/>
      <c r="G392" s="3"/>
      <c r="H392" s="465"/>
      <c r="I392" s="465"/>
    </row>
    <row r="393">
      <c r="A393" s="20"/>
      <c r="B393" s="20"/>
      <c r="C393" s="120" t="s">
        <v>27</v>
      </c>
      <c r="D393" s="121">
        <v>0.66</v>
      </c>
      <c r="E393" s="121">
        <v>645.0</v>
      </c>
      <c r="F393" s="121">
        <f>E393*D393</f>
        <v>425.7</v>
      </c>
      <c r="G393" s="120" t="s">
        <v>791</v>
      </c>
      <c r="H393" s="465"/>
      <c r="I393" s="465"/>
    </row>
    <row r="394">
      <c r="A394" s="124" t="s">
        <v>793</v>
      </c>
      <c r="B394" s="2"/>
      <c r="C394" s="2"/>
      <c r="D394" s="2"/>
      <c r="E394" s="2"/>
      <c r="F394" s="3"/>
      <c r="G394" s="125" t="s">
        <v>778</v>
      </c>
      <c r="H394" s="465"/>
      <c r="I394" s="465"/>
    </row>
    <row r="395">
      <c r="A395" s="127" t="s">
        <v>1814</v>
      </c>
      <c r="B395" s="476"/>
      <c r="C395" s="541" t="s">
        <v>1815</v>
      </c>
      <c r="D395" s="2"/>
      <c r="E395" s="3"/>
      <c r="F395" s="478"/>
      <c r="G395" s="3"/>
      <c r="H395" s="479"/>
      <c r="I395" s="479"/>
    </row>
    <row r="396">
      <c r="A396" s="20"/>
      <c r="B396" s="20"/>
      <c r="C396" s="480" t="s">
        <v>1014</v>
      </c>
      <c r="D396" s="481">
        <v>10.0</v>
      </c>
      <c r="E396" s="542">
        <v>210.03</v>
      </c>
      <c r="F396" s="481">
        <f>D396*E396</f>
        <v>2100.3</v>
      </c>
      <c r="G396" s="482" t="s">
        <v>797</v>
      </c>
      <c r="H396" s="479"/>
      <c r="I396" s="479"/>
    </row>
    <row r="397">
      <c r="A397" s="129" t="s">
        <v>42</v>
      </c>
      <c r="B397" s="2"/>
      <c r="C397" s="3"/>
      <c r="D397" s="121">
        <v>10.0</v>
      </c>
      <c r="E397" s="130" t="s">
        <v>22</v>
      </c>
      <c r="F397" s="470">
        <f>F389+F391+F393+F396</f>
        <v>3255.96</v>
      </c>
      <c r="G397" s="131"/>
      <c r="H397" s="465"/>
      <c r="I397" s="465"/>
    </row>
    <row r="398">
      <c r="A398" s="129" t="s">
        <v>800</v>
      </c>
      <c r="B398" s="2"/>
      <c r="C398" s="3"/>
      <c r="D398" s="121">
        <v>1.0</v>
      </c>
      <c r="E398" s="130" t="s">
        <v>22</v>
      </c>
      <c r="F398" s="121">
        <f>F397/D397</f>
        <v>325.596</v>
      </c>
      <c r="G398" s="131"/>
      <c r="H398" s="465"/>
      <c r="I398" s="465"/>
    </row>
    <row r="399">
      <c r="A399" s="133" t="s">
        <v>802</v>
      </c>
      <c r="B399" s="2"/>
      <c r="C399" s="2"/>
      <c r="D399" s="3"/>
      <c r="E399" s="121"/>
      <c r="F399" s="121">
        <f>F398*1%</f>
        <v>3.25596</v>
      </c>
      <c r="G399" s="131"/>
      <c r="H399" s="465"/>
      <c r="I399" s="465"/>
    </row>
    <row r="400">
      <c r="A400" s="133" t="s">
        <v>42</v>
      </c>
      <c r="B400" s="2"/>
      <c r="C400" s="2"/>
      <c r="D400" s="3"/>
      <c r="E400" s="131"/>
      <c r="F400" s="121">
        <f>F398+F399</f>
        <v>328.85196</v>
      </c>
      <c r="G400" s="131"/>
      <c r="H400" s="465"/>
      <c r="I400" s="465"/>
    </row>
    <row r="401">
      <c r="A401" s="133" t="s">
        <v>806</v>
      </c>
      <c r="B401" s="2"/>
      <c r="C401" s="2"/>
      <c r="D401" s="3"/>
      <c r="E401" s="121"/>
      <c r="F401" s="121">
        <f>F400*15%</f>
        <v>49.327794</v>
      </c>
      <c r="G401" s="131"/>
      <c r="H401" s="465"/>
      <c r="I401" s="465"/>
    </row>
    <row r="402">
      <c r="A402" s="133" t="s">
        <v>42</v>
      </c>
      <c r="B402" s="2"/>
      <c r="C402" s="2"/>
      <c r="D402" s="3"/>
      <c r="E402" s="131"/>
      <c r="F402" s="300">
        <f>round(F400+F401,2)</f>
        <v>378.18</v>
      </c>
      <c r="G402" s="131"/>
      <c r="H402" s="465"/>
      <c r="I402" s="465"/>
    </row>
    <row r="403">
      <c r="A403" s="471" t="str">
        <f>CONCATENATE("Say ₹ ",F386," + ",F402," x Cost Index")</f>
        <v>Say ₹ 143.91 + 378.18 x Cost Index</v>
      </c>
      <c r="B403" s="2"/>
      <c r="C403" s="2"/>
      <c r="D403" s="2"/>
      <c r="E403" s="2"/>
      <c r="F403" s="3"/>
      <c r="G403" s="472" t="s">
        <v>939</v>
      </c>
      <c r="H403" s="473">
        <f>F380*1.01*1.15/10</f>
        <v>143.90985</v>
      </c>
      <c r="I403" s="473">
        <f>(F389+F391+F393+F396)*1.01*1.15/10</f>
        <v>378.179754</v>
      </c>
    </row>
    <row r="404">
      <c r="A404" s="111" t="s">
        <v>742</v>
      </c>
      <c r="B404" s="111" t="s">
        <v>745</v>
      </c>
      <c r="C404" s="112" t="s">
        <v>6</v>
      </c>
      <c r="D404" s="2"/>
      <c r="E404" s="3"/>
      <c r="F404" s="112" t="s">
        <v>746</v>
      </c>
      <c r="G404" s="3"/>
      <c r="H404" s="465"/>
      <c r="I404" s="465"/>
    </row>
    <row r="405">
      <c r="A405" s="20"/>
      <c r="B405" s="20"/>
      <c r="C405" s="115" t="s">
        <v>8</v>
      </c>
      <c r="D405" s="115" t="s">
        <v>9</v>
      </c>
      <c r="E405" s="115" t="s">
        <v>358</v>
      </c>
      <c r="F405" s="115" t="s">
        <v>11</v>
      </c>
      <c r="G405" s="115" t="s">
        <v>751</v>
      </c>
      <c r="H405" s="465"/>
      <c r="I405" s="465"/>
    </row>
    <row r="406">
      <c r="A406" s="466" t="s">
        <v>1823</v>
      </c>
      <c r="B406" s="2"/>
      <c r="C406" s="2"/>
      <c r="D406" s="2"/>
      <c r="E406" s="2"/>
      <c r="F406" s="2"/>
      <c r="G406" s="3"/>
      <c r="H406" s="465"/>
      <c r="I406" s="465"/>
    </row>
    <row r="407">
      <c r="A407" s="119"/>
      <c r="B407" s="120" t="s">
        <v>754</v>
      </c>
      <c r="C407" s="120" t="s">
        <v>22</v>
      </c>
      <c r="D407" s="120" t="s">
        <v>757</v>
      </c>
      <c r="E407" s="121">
        <v>10.0</v>
      </c>
      <c r="F407" s="467"/>
      <c r="G407" s="3"/>
      <c r="H407" s="465"/>
      <c r="I407" s="465"/>
    </row>
    <row r="408">
      <c r="A408" s="120" t="s">
        <v>761</v>
      </c>
      <c r="B408" s="123" t="s">
        <v>519</v>
      </c>
      <c r="C408" s="2"/>
      <c r="D408" s="2"/>
      <c r="E408" s="2"/>
      <c r="F408" s="2"/>
      <c r="G408" s="3"/>
      <c r="H408" s="465"/>
      <c r="I408" s="465"/>
    </row>
    <row r="409">
      <c r="A409" s="124" t="s">
        <v>764</v>
      </c>
      <c r="B409" s="2"/>
      <c r="C409" s="2"/>
      <c r="D409" s="2"/>
      <c r="E409" s="2"/>
      <c r="F409" s="3"/>
      <c r="G409" s="125" t="s">
        <v>766</v>
      </c>
      <c r="H409" s="465"/>
      <c r="I409" s="465"/>
    </row>
    <row r="410">
      <c r="A410" s="126"/>
      <c r="B410" s="127" t="s">
        <v>1824</v>
      </c>
      <c r="C410" s="123" t="s">
        <v>1825</v>
      </c>
      <c r="D410" s="2"/>
      <c r="E410" s="3"/>
      <c r="F410" s="467"/>
      <c r="G410" s="3"/>
      <c r="H410" s="465"/>
      <c r="I410" s="465"/>
    </row>
    <row r="411">
      <c r="A411" s="20"/>
      <c r="B411" s="20"/>
      <c r="C411" s="120" t="s">
        <v>22</v>
      </c>
      <c r="D411" s="121">
        <v>10.5</v>
      </c>
      <c r="E411" s="121">
        <v>83.0</v>
      </c>
      <c r="F411" s="121">
        <f>E411*D411</f>
        <v>871.5</v>
      </c>
      <c r="G411" s="120" t="s">
        <v>772</v>
      </c>
      <c r="H411" s="465"/>
      <c r="I411" s="465"/>
    </row>
    <row r="412">
      <c r="A412" s="129" t="s">
        <v>42</v>
      </c>
      <c r="B412" s="2"/>
      <c r="C412" s="3"/>
      <c r="D412" s="121">
        <v>10.0</v>
      </c>
      <c r="E412" s="130" t="s">
        <v>22</v>
      </c>
      <c r="F412" s="121">
        <f>F411</f>
        <v>871.5</v>
      </c>
      <c r="G412" s="120"/>
      <c r="H412" s="465"/>
      <c r="I412" s="465"/>
    </row>
    <row r="413">
      <c r="A413" s="129" t="s">
        <v>800</v>
      </c>
      <c r="B413" s="2"/>
      <c r="C413" s="3"/>
      <c r="D413" s="121">
        <v>1.0</v>
      </c>
      <c r="E413" s="130" t="s">
        <v>22</v>
      </c>
      <c r="F413" s="121">
        <f>F412/D412</f>
        <v>87.15</v>
      </c>
      <c r="G413" s="120"/>
      <c r="H413" s="465"/>
      <c r="I413" s="465"/>
    </row>
    <row r="414">
      <c r="A414" s="133" t="s">
        <v>802</v>
      </c>
      <c r="B414" s="2"/>
      <c r="C414" s="2"/>
      <c r="D414" s="3"/>
      <c r="E414" s="121"/>
      <c r="F414" s="121">
        <f>F413*1%</f>
        <v>0.8715</v>
      </c>
      <c r="G414" s="120"/>
      <c r="H414" s="465"/>
      <c r="I414" s="465"/>
    </row>
    <row r="415">
      <c r="A415" s="133" t="s">
        <v>42</v>
      </c>
      <c r="B415" s="2"/>
      <c r="C415" s="2"/>
      <c r="D415" s="3"/>
      <c r="E415" s="131"/>
      <c r="F415" s="121">
        <f>F413+F414</f>
        <v>88.0215</v>
      </c>
      <c r="G415" s="120"/>
      <c r="H415" s="465"/>
      <c r="I415" s="465"/>
    </row>
    <row r="416">
      <c r="A416" s="133" t="s">
        <v>806</v>
      </c>
      <c r="B416" s="2"/>
      <c r="C416" s="2"/>
      <c r="D416" s="3"/>
      <c r="E416" s="121"/>
      <c r="F416" s="121">
        <f>F415*15%</f>
        <v>13.203225</v>
      </c>
      <c r="G416" s="120"/>
      <c r="H416" s="465"/>
      <c r="I416" s="465"/>
    </row>
    <row r="417">
      <c r="A417" s="133" t="s">
        <v>42</v>
      </c>
      <c r="B417" s="2"/>
      <c r="C417" s="2"/>
      <c r="D417" s="3"/>
      <c r="E417" s="131"/>
      <c r="F417" s="300">
        <f>round(F415+F416,2)</f>
        <v>101.22</v>
      </c>
      <c r="G417" s="120"/>
      <c r="H417" s="465"/>
      <c r="I417" s="465"/>
    </row>
    <row r="418">
      <c r="A418" s="124" t="s">
        <v>777</v>
      </c>
      <c r="B418" s="2"/>
      <c r="C418" s="2"/>
      <c r="D418" s="2"/>
      <c r="E418" s="2"/>
      <c r="F418" s="3"/>
      <c r="G418" s="125" t="s">
        <v>778</v>
      </c>
      <c r="H418" s="465"/>
      <c r="I418" s="465"/>
    </row>
    <row r="419">
      <c r="A419" s="127">
        <v>116.0</v>
      </c>
      <c r="B419" s="126"/>
      <c r="C419" s="123" t="s">
        <v>535</v>
      </c>
      <c r="D419" s="2"/>
      <c r="E419" s="3"/>
      <c r="F419" s="467"/>
      <c r="G419" s="3"/>
      <c r="H419" s="465"/>
      <c r="I419" s="465"/>
    </row>
    <row r="420">
      <c r="A420" s="20"/>
      <c r="B420" s="20"/>
      <c r="C420" s="120" t="s">
        <v>27</v>
      </c>
      <c r="D420" s="121">
        <v>0.33</v>
      </c>
      <c r="E420" s="121">
        <v>784.0</v>
      </c>
      <c r="F420" s="121">
        <f>E420*D420</f>
        <v>258.72</v>
      </c>
      <c r="G420" s="120" t="s">
        <v>780</v>
      </c>
      <c r="H420" s="465"/>
      <c r="I420" s="465"/>
    </row>
    <row r="421">
      <c r="A421" s="127">
        <v>117.0</v>
      </c>
      <c r="B421" s="126"/>
      <c r="C421" s="123" t="s">
        <v>856</v>
      </c>
      <c r="D421" s="2"/>
      <c r="E421" s="3"/>
      <c r="F421" s="467"/>
      <c r="G421" s="3"/>
      <c r="H421" s="465"/>
      <c r="I421" s="465"/>
    </row>
    <row r="422">
      <c r="A422" s="20"/>
      <c r="B422" s="20"/>
      <c r="C422" s="120" t="s">
        <v>27</v>
      </c>
      <c r="D422" s="121">
        <v>0.66</v>
      </c>
      <c r="E422" s="121">
        <v>714.0</v>
      </c>
      <c r="F422" s="121">
        <f>E422*D422</f>
        <v>471.24</v>
      </c>
      <c r="G422" s="120" t="s">
        <v>782</v>
      </c>
      <c r="H422" s="465"/>
      <c r="I422" s="465"/>
    </row>
    <row r="423">
      <c r="A423" s="127">
        <v>114.0</v>
      </c>
      <c r="B423" s="126"/>
      <c r="C423" s="123" t="s">
        <v>97</v>
      </c>
      <c r="D423" s="2"/>
      <c r="E423" s="3"/>
      <c r="F423" s="467"/>
      <c r="G423" s="3"/>
      <c r="H423" s="465"/>
      <c r="I423" s="465"/>
    </row>
    <row r="424">
      <c r="A424" s="20"/>
      <c r="B424" s="20"/>
      <c r="C424" s="120" t="s">
        <v>27</v>
      </c>
      <c r="D424" s="121">
        <v>0.66</v>
      </c>
      <c r="E424" s="121">
        <v>645.0</v>
      </c>
      <c r="F424" s="121">
        <f>E424*D424</f>
        <v>425.7</v>
      </c>
      <c r="G424" s="120" t="s">
        <v>791</v>
      </c>
      <c r="H424" s="465"/>
      <c r="I424" s="465"/>
    </row>
    <row r="425">
      <c r="A425" s="124" t="s">
        <v>793</v>
      </c>
      <c r="B425" s="2"/>
      <c r="C425" s="2"/>
      <c r="D425" s="2"/>
      <c r="E425" s="2"/>
      <c r="F425" s="3"/>
      <c r="G425" s="125" t="s">
        <v>778</v>
      </c>
      <c r="H425" s="465"/>
      <c r="I425" s="465"/>
    </row>
    <row r="426">
      <c r="A426" s="127" t="s">
        <v>1814</v>
      </c>
      <c r="B426" s="476"/>
      <c r="C426" s="541" t="s">
        <v>1815</v>
      </c>
      <c r="D426" s="2"/>
      <c r="E426" s="3"/>
      <c r="F426" s="478"/>
      <c r="G426" s="3"/>
      <c r="H426" s="479"/>
      <c r="I426" s="479"/>
    </row>
    <row r="427">
      <c r="A427" s="20"/>
      <c r="B427" s="20"/>
      <c r="C427" s="480" t="s">
        <v>1014</v>
      </c>
      <c r="D427" s="481">
        <v>10.0</v>
      </c>
      <c r="E427" s="542">
        <v>210.03</v>
      </c>
      <c r="F427" s="481">
        <f>D427*E427</f>
        <v>2100.3</v>
      </c>
      <c r="G427" s="482" t="s">
        <v>797</v>
      </c>
      <c r="H427" s="479"/>
      <c r="I427" s="479"/>
    </row>
    <row r="428">
      <c r="A428" s="129" t="s">
        <v>42</v>
      </c>
      <c r="B428" s="2"/>
      <c r="C428" s="3"/>
      <c r="D428" s="121">
        <v>10.0</v>
      </c>
      <c r="E428" s="130" t="s">
        <v>22</v>
      </c>
      <c r="F428" s="470">
        <f>F420+F422+F424+F427</f>
        <v>3255.96</v>
      </c>
      <c r="G428" s="131"/>
      <c r="H428" s="465"/>
      <c r="I428" s="465"/>
    </row>
    <row r="429">
      <c r="A429" s="129" t="s">
        <v>800</v>
      </c>
      <c r="B429" s="2"/>
      <c r="C429" s="3"/>
      <c r="D429" s="121">
        <v>1.0</v>
      </c>
      <c r="E429" s="130" t="s">
        <v>22</v>
      </c>
      <c r="F429" s="121">
        <f>F428/D428</f>
        <v>325.596</v>
      </c>
      <c r="G429" s="131"/>
      <c r="H429" s="465"/>
      <c r="I429" s="465"/>
    </row>
    <row r="430">
      <c r="A430" s="133" t="s">
        <v>802</v>
      </c>
      <c r="B430" s="2"/>
      <c r="C430" s="2"/>
      <c r="D430" s="3"/>
      <c r="E430" s="121"/>
      <c r="F430" s="121">
        <f>F429*1%</f>
        <v>3.25596</v>
      </c>
      <c r="G430" s="131"/>
      <c r="H430" s="465"/>
      <c r="I430" s="465"/>
    </row>
    <row r="431">
      <c r="A431" s="133" t="s">
        <v>42</v>
      </c>
      <c r="B431" s="2"/>
      <c r="C431" s="2"/>
      <c r="D431" s="3"/>
      <c r="E431" s="131"/>
      <c r="F431" s="121">
        <f>F429+F430</f>
        <v>328.85196</v>
      </c>
      <c r="G431" s="131"/>
      <c r="H431" s="465"/>
      <c r="I431" s="465"/>
    </row>
    <row r="432">
      <c r="A432" s="133" t="s">
        <v>806</v>
      </c>
      <c r="B432" s="2"/>
      <c r="C432" s="2"/>
      <c r="D432" s="3"/>
      <c r="E432" s="121"/>
      <c r="F432" s="121">
        <f>F431*15%</f>
        <v>49.327794</v>
      </c>
      <c r="G432" s="131"/>
      <c r="H432" s="465"/>
      <c r="I432" s="465"/>
    </row>
    <row r="433">
      <c r="A433" s="133" t="s">
        <v>42</v>
      </c>
      <c r="B433" s="2"/>
      <c r="C433" s="2"/>
      <c r="D433" s="3"/>
      <c r="E433" s="131"/>
      <c r="F433" s="300">
        <f>round(F431+F432,2)</f>
        <v>378.18</v>
      </c>
      <c r="G433" s="131"/>
      <c r="H433" s="465"/>
      <c r="I433" s="465"/>
    </row>
    <row r="434">
      <c r="A434" s="471" t="str">
        <f>CONCATENATE("Say ₹ ",F417," + ",F433," x Cost Index")</f>
        <v>Say ₹ 101.22 + 378.18 x Cost Index</v>
      </c>
      <c r="B434" s="2"/>
      <c r="C434" s="2"/>
      <c r="D434" s="2"/>
      <c r="E434" s="2"/>
      <c r="F434" s="3"/>
      <c r="G434" s="472" t="s">
        <v>939</v>
      </c>
      <c r="H434" s="473">
        <f>F411*1.01*1.15/10</f>
        <v>101.224725</v>
      </c>
      <c r="I434" s="473">
        <f>(F420+F422+F424+F427)*1.01*1.15/10</f>
        <v>378.179754</v>
      </c>
    </row>
    <row r="435">
      <c r="A435" s="111" t="s">
        <v>742</v>
      </c>
      <c r="B435" s="111" t="s">
        <v>745</v>
      </c>
      <c r="C435" s="112" t="s">
        <v>6</v>
      </c>
      <c r="D435" s="2"/>
      <c r="E435" s="3"/>
      <c r="F435" s="112" t="s">
        <v>746</v>
      </c>
      <c r="G435" s="3"/>
      <c r="H435" s="465"/>
      <c r="I435" s="465"/>
    </row>
    <row r="436">
      <c r="A436" s="20"/>
      <c r="B436" s="20"/>
      <c r="C436" s="115" t="s">
        <v>8</v>
      </c>
      <c r="D436" s="115" t="s">
        <v>9</v>
      </c>
      <c r="E436" s="115" t="s">
        <v>358</v>
      </c>
      <c r="F436" s="115" t="s">
        <v>11</v>
      </c>
      <c r="G436" s="115" t="s">
        <v>751</v>
      </c>
      <c r="H436" s="465"/>
      <c r="I436" s="465"/>
    </row>
    <row r="437">
      <c r="A437" s="466" t="s">
        <v>1828</v>
      </c>
      <c r="B437" s="2"/>
      <c r="C437" s="2"/>
      <c r="D437" s="2"/>
      <c r="E437" s="2"/>
      <c r="F437" s="2"/>
      <c r="G437" s="3"/>
      <c r="H437" s="465"/>
      <c r="I437" s="465"/>
    </row>
    <row r="438">
      <c r="A438" s="119"/>
      <c r="B438" s="120" t="s">
        <v>754</v>
      </c>
      <c r="C438" s="120" t="s">
        <v>22</v>
      </c>
      <c r="D438" s="120" t="s">
        <v>757</v>
      </c>
      <c r="E438" s="121">
        <v>10.0</v>
      </c>
      <c r="F438" s="467"/>
      <c r="G438" s="3"/>
      <c r="H438" s="465"/>
      <c r="I438" s="465"/>
    </row>
    <row r="439">
      <c r="A439" s="120" t="s">
        <v>761</v>
      </c>
      <c r="B439" s="123" t="s">
        <v>519</v>
      </c>
      <c r="C439" s="2"/>
      <c r="D439" s="2"/>
      <c r="E439" s="2"/>
      <c r="F439" s="2"/>
      <c r="G439" s="3"/>
      <c r="H439" s="465"/>
      <c r="I439" s="465"/>
    </row>
    <row r="440">
      <c r="A440" s="124" t="s">
        <v>764</v>
      </c>
      <c r="B440" s="2"/>
      <c r="C440" s="2"/>
      <c r="D440" s="2"/>
      <c r="E440" s="2"/>
      <c r="F440" s="3"/>
      <c r="G440" s="125" t="s">
        <v>766</v>
      </c>
      <c r="H440" s="465"/>
      <c r="I440" s="465"/>
    </row>
    <row r="441">
      <c r="A441" s="126"/>
      <c r="B441" s="127" t="s">
        <v>1830</v>
      </c>
      <c r="C441" s="123" t="s">
        <v>1831</v>
      </c>
      <c r="D441" s="2"/>
      <c r="E441" s="3"/>
      <c r="F441" s="467"/>
      <c r="G441" s="3"/>
      <c r="H441" s="465"/>
      <c r="I441" s="465"/>
    </row>
    <row r="442">
      <c r="A442" s="20"/>
      <c r="B442" s="20"/>
      <c r="C442" s="120" t="s">
        <v>22</v>
      </c>
      <c r="D442" s="121">
        <v>10.5</v>
      </c>
      <c r="E442" s="121">
        <v>129.0</v>
      </c>
      <c r="F442" s="121">
        <f>E442*D442</f>
        <v>1354.5</v>
      </c>
      <c r="G442" s="120" t="s">
        <v>772</v>
      </c>
      <c r="H442" s="465"/>
      <c r="I442" s="465"/>
    </row>
    <row r="443">
      <c r="A443" s="129" t="s">
        <v>42</v>
      </c>
      <c r="B443" s="2"/>
      <c r="C443" s="3"/>
      <c r="D443" s="121">
        <v>10.0</v>
      </c>
      <c r="E443" s="130" t="s">
        <v>22</v>
      </c>
      <c r="F443" s="121">
        <f>F442</f>
        <v>1354.5</v>
      </c>
      <c r="G443" s="120"/>
      <c r="H443" s="465"/>
      <c r="I443" s="465"/>
    </row>
    <row r="444">
      <c r="A444" s="129" t="s">
        <v>800</v>
      </c>
      <c r="B444" s="2"/>
      <c r="C444" s="3"/>
      <c r="D444" s="121">
        <v>1.0</v>
      </c>
      <c r="E444" s="130" t="s">
        <v>22</v>
      </c>
      <c r="F444" s="121">
        <f>F443/D443</f>
        <v>135.45</v>
      </c>
      <c r="G444" s="120"/>
      <c r="H444" s="465"/>
      <c r="I444" s="465"/>
    </row>
    <row r="445">
      <c r="A445" s="133" t="s">
        <v>802</v>
      </c>
      <c r="B445" s="2"/>
      <c r="C445" s="2"/>
      <c r="D445" s="3"/>
      <c r="E445" s="121"/>
      <c r="F445" s="121">
        <f>F444*1%</f>
        <v>1.3545</v>
      </c>
      <c r="G445" s="120"/>
      <c r="H445" s="465"/>
      <c r="I445" s="465"/>
    </row>
    <row r="446">
      <c r="A446" s="133" t="s">
        <v>42</v>
      </c>
      <c r="B446" s="2"/>
      <c r="C446" s="2"/>
      <c r="D446" s="3"/>
      <c r="E446" s="131"/>
      <c r="F446" s="121">
        <f>F444+F445</f>
        <v>136.8045</v>
      </c>
      <c r="G446" s="120"/>
      <c r="H446" s="465"/>
      <c r="I446" s="465"/>
    </row>
    <row r="447">
      <c r="A447" s="133" t="s">
        <v>806</v>
      </c>
      <c r="B447" s="2"/>
      <c r="C447" s="2"/>
      <c r="D447" s="3"/>
      <c r="E447" s="121"/>
      <c r="F447" s="121">
        <f>F446*15%</f>
        <v>20.520675</v>
      </c>
      <c r="G447" s="120"/>
      <c r="H447" s="465"/>
      <c r="I447" s="465"/>
    </row>
    <row r="448">
      <c r="A448" s="133" t="s">
        <v>42</v>
      </c>
      <c r="B448" s="2"/>
      <c r="C448" s="2"/>
      <c r="D448" s="3"/>
      <c r="E448" s="131"/>
      <c r="F448" s="300">
        <f>round(F446+F447,2)</f>
        <v>157.33</v>
      </c>
      <c r="G448" s="120"/>
      <c r="H448" s="465"/>
      <c r="I448" s="465"/>
    </row>
    <row r="449">
      <c r="A449" s="124" t="s">
        <v>777</v>
      </c>
      <c r="B449" s="2"/>
      <c r="C449" s="2"/>
      <c r="D449" s="2"/>
      <c r="E449" s="2"/>
      <c r="F449" s="3"/>
      <c r="G449" s="125" t="s">
        <v>778</v>
      </c>
      <c r="H449" s="465"/>
      <c r="I449" s="465"/>
    </row>
    <row r="450">
      <c r="A450" s="127">
        <v>116.0</v>
      </c>
      <c r="B450" s="126"/>
      <c r="C450" s="123" t="s">
        <v>535</v>
      </c>
      <c r="D450" s="2"/>
      <c r="E450" s="3"/>
      <c r="F450" s="467"/>
      <c r="G450" s="3"/>
      <c r="H450" s="465"/>
      <c r="I450" s="465"/>
    </row>
    <row r="451">
      <c r="A451" s="20"/>
      <c r="B451" s="20"/>
      <c r="C451" s="120" t="s">
        <v>27</v>
      </c>
      <c r="D451" s="121">
        <v>0.33</v>
      </c>
      <c r="E451" s="121">
        <v>784.0</v>
      </c>
      <c r="F451" s="121">
        <f>E451*D451</f>
        <v>258.72</v>
      </c>
      <c r="G451" s="120" t="s">
        <v>780</v>
      </c>
      <c r="H451" s="465"/>
      <c r="I451" s="465"/>
    </row>
    <row r="452">
      <c r="A452" s="127">
        <v>117.0</v>
      </c>
      <c r="B452" s="126"/>
      <c r="C452" s="123" t="s">
        <v>856</v>
      </c>
      <c r="D452" s="2"/>
      <c r="E452" s="3"/>
      <c r="F452" s="467"/>
      <c r="G452" s="3"/>
      <c r="H452" s="465"/>
      <c r="I452" s="465"/>
    </row>
    <row r="453">
      <c r="A453" s="20"/>
      <c r="B453" s="20"/>
      <c r="C453" s="120" t="s">
        <v>27</v>
      </c>
      <c r="D453" s="121">
        <v>0.66</v>
      </c>
      <c r="E453" s="121">
        <v>714.0</v>
      </c>
      <c r="F453" s="121">
        <f>E453*D453</f>
        <v>471.24</v>
      </c>
      <c r="G453" s="120" t="s">
        <v>782</v>
      </c>
      <c r="H453" s="465"/>
      <c r="I453" s="465"/>
    </row>
    <row r="454">
      <c r="A454" s="127">
        <v>114.0</v>
      </c>
      <c r="B454" s="126"/>
      <c r="C454" s="123" t="s">
        <v>97</v>
      </c>
      <c r="D454" s="2"/>
      <c r="E454" s="3"/>
      <c r="F454" s="467"/>
      <c r="G454" s="3"/>
      <c r="H454" s="465"/>
      <c r="I454" s="465"/>
    </row>
    <row r="455">
      <c r="A455" s="20"/>
      <c r="B455" s="20"/>
      <c r="C455" s="120" t="s">
        <v>27</v>
      </c>
      <c r="D455" s="121">
        <v>0.66</v>
      </c>
      <c r="E455" s="121">
        <v>645.0</v>
      </c>
      <c r="F455" s="121">
        <f>E455*D455</f>
        <v>425.7</v>
      </c>
      <c r="G455" s="120" t="s">
        <v>791</v>
      </c>
      <c r="H455" s="465"/>
      <c r="I455" s="465"/>
    </row>
    <row r="456">
      <c r="A456" s="124" t="s">
        <v>793</v>
      </c>
      <c r="B456" s="2"/>
      <c r="C456" s="2"/>
      <c r="D456" s="2"/>
      <c r="E456" s="2"/>
      <c r="F456" s="3"/>
      <c r="G456" s="125" t="s">
        <v>778</v>
      </c>
      <c r="H456" s="465"/>
      <c r="I456" s="465"/>
    </row>
    <row r="457">
      <c r="A457" s="127" t="s">
        <v>1814</v>
      </c>
      <c r="B457" s="476"/>
      <c r="C457" s="541" t="s">
        <v>1815</v>
      </c>
      <c r="D457" s="2"/>
      <c r="E457" s="3"/>
      <c r="F457" s="478"/>
      <c r="G457" s="3"/>
      <c r="H457" s="479"/>
      <c r="I457" s="479"/>
    </row>
    <row r="458">
      <c r="A458" s="20"/>
      <c r="B458" s="20"/>
      <c r="C458" s="480" t="s">
        <v>1014</v>
      </c>
      <c r="D458" s="481">
        <v>10.0</v>
      </c>
      <c r="E458" s="542">
        <v>210.03</v>
      </c>
      <c r="F458" s="481">
        <f>D458*E458</f>
        <v>2100.3</v>
      </c>
      <c r="G458" s="482" t="s">
        <v>797</v>
      </c>
      <c r="H458" s="479"/>
      <c r="I458" s="479"/>
    </row>
    <row r="459">
      <c r="A459" s="129" t="s">
        <v>42</v>
      </c>
      <c r="B459" s="2"/>
      <c r="C459" s="3"/>
      <c r="D459" s="121">
        <v>10.0</v>
      </c>
      <c r="E459" s="130" t="s">
        <v>22</v>
      </c>
      <c r="F459" s="470">
        <f>F451+F453+F455+F458</f>
        <v>3255.96</v>
      </c>
      <c r="G459" s="131"/>
      <c r="H459" s="465"/>
      <c r="I459" s="465"/>
    </row>
    <row r="460">
      <c r="A460" s="129" t="s">
        <v>800</v>
      </c>
      <c r="B460" s="2"/>
      <c r="C460" s="3"/>
      <c r="D460" s="121">
        <v>1.0</v>
      </c>
      <c r="E460" s="130" t="s">
        <v>22</v>
      </c>
      <c r="F460" s="121">
        <f>F459/D459</f>
        <v>325.596</v>
      </c>
      <c r="G460" s="131"/>
      <c r="H460" s="465"/>
      <c r="I460" s="465"/>
    </row>
    <row r="461">
      <c r="A461" s="133" t="s">
        <v>802</v>
      </c>
      <c r="B461" s="2"/>
      <c r="C461" s="2"/>
      <c r="D461" s="3"/>
      <c r="E461" s="121"/>
      <c r="F461" s="121">
        <f>F460*1%</f>
        <v>3.25596</v>
      </c>
      <c r="G461" s="131"/>
      <c r="H461" s="465"/>
      <c r="I461" s="465"/>
    </row>
    <row r="462">
      <c r="A462" s="133" t="s">
        <v>42</v>
      </c>
      <c r="B462" s="2"/>
      <c r="C462" s="2"/>
      <c r="D462" s="3"/>
      <c r="E462" s="131"/>
      <c r="F462" s="121">
        <f>F460+F461</f>
        <v>328.85196</v>
      </c>
      <c r="G462" s="131"/>
      <c r="H462" s="465"/>
      <c r="I462" s="465"/>
    </row>
    <row r="463">
      <c r="A463" s="133" t="s">
        <v>806</v>
      </c>
      <c r="B463" s="2"/>
      <c r="C463" s="2"/>
      <c r="D463" s="3"/>
      <c r="E463" s="121"/>
      <c r="F463" s="121">
        <f>F462*15%</f>
        <v>49.327794</v>
      </c>
      <c r="G463" s="131"/>
      <c r="H463" s="465"/>
      <c r="I463" s="465"/>
    </row>
    <row r="464">
      <c r="A464" s="133" t="s">
        <v>42</v>
      </c>
      <c r="B464" s="2"/>
      <c r="C464" s="2"/>
      <c r="D464" s="3"/>
      <c r="E464" s="131"/>
      <c r="F464" s="300">
        <f>round(F462+F463,2)</f>
        <v>378.18</v>
      </c>
      <c r="G464" s="131"/>
      <c r="H464" s="465"/>
      <c r="I464" s="465"/>
    </row>
    <row r="465">
      <c r="A465" s="471" t="str">
        <f>CONCATENATE("Say ₹ ",F448," + ",F464," x Cost Index")</f>
        <v>Say ₹ 157.33 + 378.18 x Cost Index</v>
      </c>
      <c r="B465" s="2"/>
      <c r="C465" s="2"/>
      <c r="D465" s="2"/>
      <c r="E465" s="2"/>
      <c r="F465" s="3"/>
      <c r="G465" s="472" t="s">
        <v>939</v>
      </c>
      <c r="H465" s="473">
        <f>F442*1.01*1.15/10</f>
        <v>157.325175</v>
      </c>
      <c r="I465" s="473">
        <f>(F451+F453+F455+F458)*1.01*1.15/10</f>
        <v>378.179754</v>
      </c>
    </row>
    <row r="466">
      <c r="A466" s="111" t="s">
        <v>742</v>
      </c>
      <c r="B466" s="111" t="s">
        <v>745</v>
      </c>
      <c r="C466" s="112" t="s">
        <v>6</v>
      </c>
      <c r="D466" s="2"/>
      <c r="E466" s="3"/>
      <c r="F466" s="112" t="s">
        <v>746</v>
      </c>
      <c r="G466" s="3"/>
      <c r="H466" s="465"/>
      <c r="I466" s="465"/>
    </row>
    <row r="467">
      <c r="A467" s="20"/>
      <c r="B467" s="20"/>
      <c r="C467" s="115" t="s">
        <v>8</v>
      </c>
      <c r="D467" s="115" t="s">
        <v>9</v>
      </c>
      <c r="E467" s="115" t="s">
        <v>358</v>
      </c>
      <c r="F467" s="115" t="s">
        <v>11</v>
      </c>
      <c r="G467" s="115" t="s">
        <v>751</v>
      </c>
      <c r="H467" s="465"/>
      <c r="I467" s="465"/>
    </row>
    <row r="468">
      <c r="A468" s="466" t="s">
        <v>1840</v>
      </c>
      <c r="B468" s="2"/>
      <c r="C468" s="2"/>
      <c r="D468" s="2"/>
      <c r="E468" s="2"/>
      <c r="F468" s="2"/>
      <c r="G468" s="3"/>
      <c r="H468" s="465"/>
      <c r="I468" s="465"/>
    </row>
    <row r="469">
      <c r="A469" s="119"/>
      <c r="B469" s="120" t="s">
        <v>754</v>
      </c>
      <c r="C469" s="120" t="s">
        <v>22</v>
      </c>
      <c r="D469" s="120" t="s">
        <v>757</v>
      </c>
      <c r="E469" s="121">
        <v>10.0</v>
      </c>
      <c r="F469" s="467"/>
      <c r="G469" s="3"/>
      <c r="H469" s="465"/>
      <c r="I469" s="465"/>
    </row>
    <row r="470">
      <c r="A470" s="120" t="s">
        <v>761</v>
      </c>
      <c r="B470" s="123" t="s">
        <v>519</v>
      </c>
      <c r="C470" s="2"/>
      <c r="D470" s="2"/>
      <c r="E470" s="2"/>
      <c r="F470" s="2"/>
      <c r="G470" s="3"/>
      <c r="H470" s="465"/>
      <c r="I470" s="465"/>
    </row>
    <row r="471">
      <c r="A471" s="124" t="s">
        <v>764</v>
      </c>
      <c r="B471" s="2"/>
      <c r="C471" s="2"/>
      <c r="D471" s="2"/>
      <c r="E471" s="2"/>
      <c r="F471" s="3"/>
      <c r="G471" s="125" t="s">
        <v>766</v>
      </c>
      <c r="H471" s="465"/>
      <c r="I471" s="465"/>
    </row>
    <row r="472">
      <c r="A472" s="126"/>
      <c r="B472" s="127" t="s">
        <v>1841</v>
      </c>
      <c r="C472" s="123" t="s">
        <v>1842</v>
      </c>
      <c r="D472" s="2"/>
      <c r="E472" s="3"/>
      <c r="F472" s="467"/>
      <c r="G472" s="3"/>
      <c r="H472" s="465"/>
      <c r="I472" s="465"/>
    </row>
    <row r="473">
      <c r="A473" s="20"/>
      <c r="B473" s="20"/>
      <c r="C473" s="120" t="s">
        <v>22</v>
      </c>
      <c r="D473" s="121">
        <v>10.5</v>
      </c>
      <c r="E473" s="121">
        <v>95.0</v>
      </c>
      <c r="F473" s="121">
        <f>E473*D473</f>
        <v>997.5</v>
      </c>
      <c r="G473" s="120" t="s">
        <v>772</v>
      </c>
      <c r="H473" s="465"/>
      <c r="I473" s="465"/>
    </row>
    <row r="474">
      <c r="A474" s="129" t="s">
        <v>42</v>
      </c>
      <c r="B474" s="2"/>
      <c r="C474" s="3"/>
      <c r="D474" s="121">
        <v>10.0</v>
      </c>
      <c r="E474" s="130" t="s">
        <v>22</v>
      </c>
      <c r="F474" s="121">
        <f>F473</f>
        <v>997.5</v>
      </c>
      <c r="G474" s="120"/>
      <c r="H474" s="465"/>
      <c r="I474" s="465"/>
    </row>
    <row r="475">
      <c r="A475" s="129" t="s">
        <v>800</v>
      </c>
      <c r="B475" s="2"/>
      <c r="C475" s="3"/>
      <c r="D475" s="121">
        <v>1.0</v>
      </c>
      <c r="E475" s="130" t="s">
        <v>22</v>
      </c>
      <c r="F475" s="121">
        <f>F474/D474</f>
        <v>99.75</v>
      </c>
      <c r="G475" s="120"/>
      <c r="H475" s="465"/>
      <c r="I475" s="465"/>
    </row>
    <row r="476">
      <c r="A476" s="133" t="s">
        <v>802</v>
      </c>
      <c r="B476" s="2"/>
      <c r="C476" s="2"/>
      <c r="D476" s="3"/>
      <c r="E476" s="121"/>
      <c r="F476" s="121">
        <f>F475*1%</f>
        <v>0.9975</v>
      </c>
      <c r="G476" s="120"/>
      <c r="H476" s="465"/>
      <c r="I476" s="465"/>
    </row>
    <row r="477">
      <c r="A477" s="133" t="s">
        <v>42</v>
      </c>
      <c r="B477" s="2"/>
      <c r="C477" s="2"/>
      <c r="D477" s="3"/>
      <c r="E477" s="131"/>
      <c r="F477" s="121">
        <f>F475+F476</f>
        <v>100.7475</v>
      </c>
      <c r="G477" s="120"/>
      <c r="H477" s="465"/>
      <c r="I477" s="465"/>
    </row>
    <row r="478">
      <c r="A478" s="133" t="s">
        <v>806</v>
      </c>
      <c r="B478" s="2"/>
      <c r="C478" s="2"/>
      <c r="D478" s="3"/>
      <c r="E478" s="121"/>
      <c r="F478" s="121">
        <f>F477*15%</f>
        <v>15.112125</v>
      </c>
      <c r="G478" s="120"/>
      <c r="H478" s="465"/>
      <c r="I478" s="465"/>
    </row>
    <row r="479">
      <c r="A479" s="133" t="s">
        <v>42</v>
      </c>
      <c r="B479" s="2"/>
      <c r="C479" s="2"/>
      <c r="D479" s="3"/>
      <c r="E479" s="131"/>
      <c r="F479" s="300">
        <f>round(F477+F478,2)</f>
        <v>115.86</v>
      </c>
      <c r="G479" s="120"/>
      <c r="H479" s="465"/>
      <c r="I479" s="465"/>
    </row>
    <row r="480">
      <c r="A480" s="124" t="s">
        <v>777</v>
      </c>
      <c r="B480" s="2"/>
      <c r="C480" s="2"/>
      <c r="D480" s="2"/>
      <c r="E480" s="2"/>
      <c r="F480" s="3"/>
      <c r="G480" s="125" t="s">
        <v>778</v>
      </c>
      <c r="H480" s="465"/>
      <c r="I480" s="465"/>
    </row>
    <row r="481">
      <c r="A481" s="127">
        <v>116.0</v>
      </c>
      <c r="B481" s="126"/>
      <c r="C481" s="123" t="s">
        <v>535</v>
      </c>
      <c r="D481" s="2"/>
      <c r="E481" s="3"/>
      <c r="F481" s="467"/>
      <c r="G481" s="3"/>
      <c r="H481" s="465"/>
      <c r="I481" s="465"/>
    </row>
    <row r="482">
      <c r="A482" s="20"/>
      <c r="B482" s="20"/>
      <c r="C482" s="120" t="s">
        <v>27</v>
      </c>
      <c r="D482" s="121">
        <v>0.33</v>
      </c>
      <c r="E482" s="121">
        <v>784.0</v>
      </c>
      <c r="F482" s="121">
        <f>E482*D482</f>
        <v>258.72</v>
      </c>
      <c r="G482" s="120" t="s">
        <v>780</v>
      </c>
      <c r="H482" s="465"/>
      <c r="I482" s="465"/>
    </row>
    <row r="483">
      <c r="A483" s="127">
        <v>117.0</v>
      </c>
      <c r="B483" s="126"/>
      <c r="C483" s="123" t="s">
        <v>856</v>
      </c>
      <c r="D483" s="2"/>
      <c r="E483" s="3"/>
      <c r="F483" s="467"/>
      <c r="G483" s="3"/>
      <c r="H483" s="465"/>
      <c r="I483" s="465"/>
    </row>
    <row r="484">
      <c r="A484" s="20"/>
      <c r="B484" s="20"/>
      <c r="C484" s="120" t="s">
        <v>27</v>
      </c>
      <c r="D484" s="121">
        <v>0.66</v>
      </c>
      <c r="E484" s="121">
        <v>714.0</v>
      </c>
      <c r="F484" s="121">
        <f>E484*D484</f>
        <v>471.24</v>
      </c>
      <c r="G484" s="120" t="s">
        <v>782</v>
      </c>
      <c r="H484" s="465"/>
      <c r="I484" s="465"/>
    </row>
    <row r="485">
      <c r="A485" s="127">
        <v>114.0</v>
      </c>
      <c r="B485" s="126"/>
      <c r="C485" s="123" t="s">
        <v>97</v>
      </c>
      <c r="D485" s="2"/>
      <c r="E485" s="3"/>
      <c r="F485" s="467"/>
      <c r="G485" s="3"/>
      <c r="H485" s="465"/>
      <c r="I485" s="465"/>
    </row>
    <row r="486">
      <c r="A486" s="20"/>
      <c r="B486" s="20"/>
      <c r="C486" s="120" t="s">
        <v>27</v>
      </c>
      <c r="D486" s="121">
        <v>0.66</v>
      </c>
      <c r="E486" s="121">
        <v>645.0</v>
      </c>
      <c r="F486" s="121">
        <f>E486*D486</f>
        <v>425.7</v>
      </c>
      <c r="G486" s="120" t="s">
        <v>791</v>
      </c>
      <c r="H486" s="465"/>
      <c r="I486" s="465"/>
    </row>
    <row r="487">
      <c r="A487" s="124" t="s">
        <v>793</v>
      </c>
      <c r="B487" s="2"/>
      <c r="C487" s="2"/>
      <c r="D487" s="2"/>
      <c r="E487" s="2"/>
      <c r="F487" s="3"/>
      <c r="G487" s="125" t="s">
        <v>778</v>
      </c>
      <c r="H487" s="465"/>
      <c r="I487" s="465"/>
    </row>
    <row r="488">
      <c r="A488" s="127" t="s">
        <v>1814</v>
      </c>
      <c r="B488" s="476"/>
      <c r="C488" s="541" t="s">
        <v>1815</v>
      </c>
      <c r="D488" s="2"/>
      <c r="E488" s="3"/>
      <c r="F488" s="478"/>
      <c r="G488" s="3"/>
      <c r="H488" s="479"/>
      <c r="I488" s="479"/>
    </row>
    <row r="489">
      <c r="A489" s="20"/>
      <c r="B489" s="20"/>
      <c r="C489" s="480" t="s">
        <v>1014</v>
      </c>
      <c r="D489" s="481">
        <v>10.0</v>
      </c>
      <c r="E489" s="542">
        <v>210.03</v>
      </c>
      <c r="F489" s="481">
        <f>D489*E489</f>
        <v>2100.3</v>
      </c>
      <c r="G489" s="482" t="s">
        <v>797</v>
      </c>
      <c r="H489" s="479"/>
      <c r="I489" s="479"/>
    </row>
    <row r="490">
      <c r="A490" s="129" t="s">
        <v>42</v>
      </c>
      <c r="B490" s="2"/>
      <c r="C490" s="3"/>
      <c r="D490" s="121">
        <v>10.0</v>
      </c>
      <c r="E490" s="130" t="s">
        <v>22</v>
      </c>
      <c r="F490" s="470">
        <f>F482+F484+F486+F489</f>
        <v>3255.96</v>
      </c>
      <c r="G490" s="131"/>
      <c r="H490" s="465"/>
      <c r="I490" s="465"/>
    </row>
    <row r="491">
      <c r="A491" s="129" t="s">
        <v>800</v>
      </c>
      <c r="B491" s="2"/>
      <c r="C491" s="3"/>
      <c r="D491" s="121">
        <v>1.0</v>
      </c>
      <c r="E491" s="130" t="s">
        <v>22</v>
      </c>
      <c r="F491" s="121">
        <f>F490/D490</f>
        <v>325.596</v>
      </c>
      <c r="G491" s="131"/>
      <c r="H491" s="465"/>
      <c r="I491" s="465"/>
    </row>
    <row r="492">
      <c r="A492" s="133" t="s">
        <v>802</v>
      </c>
      <c r="B492" s="2"/>
      <c r="C492" s="2"/>
      <c r="D492" s="3"/>
      <c r="E492" s="121"/>
      <c r="F492" s="121">
        <f>F491*1%</f>
        <v>3.25596</v>
      </c>
      <c r="G492" s="131"/>
      <c r="H492" s="465"/>
      <c r="I492" s="465"/>
    </row>
    <row r="493">
      <c r="A493" s="133" t="s">
        <v>42</v>
      </c>
      <c r="B493" s="2"/>
      <c r="C493" s="2"/>
      <c r="D493" s="3"/>
      <c r="E493" s="131"/>
      <c r="F493" s="121">
        <f>F491+F492</f>
        <v>328.85196</v>
      </c>
      <c r="G493" s="131"/>
      <c r="H493" s="465"/>
      <c r="I493" s="465"/>
    </row>
    <row r="494">
      <c r="A494" s="133" t="s">
        <v>806</v>
      </c>
      <c r="B494" s="2"/>
      <c r="C494" s="2"/>
      <c r="D494" s="3"/>
      <c r="E494" s="121"/>
      <c r="F494" s="121">
        <f>F493*15%</f>
        <v>49.327794</v>
      </c>
      <c r="G494" s="131"/>
      <c r="H494" s="465"/>
      <c r="I494" s="465"/>
    </row>
    <row r="495">
      <c r="A495" s="133" t="s">
        <v>42</v>
      </c>
      <c r="B495" s="2"/>
      <c r="C495" s="2"/>
      <c r="D495" s="3"/>
      <c r="E495" s="131"/>
      <c r="F495" s="300">
        <f>round(F493+F494,2)</f>
        <v>378.18</v>
      </c>
      <c r="G495" s="131"/>
      <c r="H495" s="465"/>
      <c r="I495" s="465"/>
    </row>
    <row r="496">
      <c r="A496" s="471" t="str">
        <f>CONCATENATE("Say ₹ ",F479," + ",F495," x Cost Index")</f>
        <v>Say ₹ 115.86 + 378.18 x Cost Index</v>
      </c>
      <c r="B496" s="2"/>
      <c r="C496" s="2"/>
      <c r="D496" s="2"/>
      <c r="E496" s="2"/>
      <c r="F496" s="3"/>
      <c r="G496" s="472" t="s">
        <v>939</v>
      </c>
      <c r="H496" s="473">
        <f>F473*1.01*1.15/10</f>
        <v>115.859625</v>
      </c>
      <c r="I496" s="473">
        <f>(F482+F484+F486+F489)*1.01*1.15/10</f>
        <v>378.179754</v>
      </c>
    </row>
    <row r="497">
      <c r="A497" s="111" t="s">
        <v>742</v>
      </c>
      <c r="B497" s="111" t="s">
        <v>745</v>
      </c>
      <c r="C497" s="112" t="s">
        <v>6</v>
      </c>
      <c r="D497" s="2"/>
      <c r="E497" s="3"/>
      <c r="F497" s="112" t="s">
        <v>746</v>
      </c>
      <c r="G497" s="3"/>
      <c r="H497" s="465"/>
      <c r="I497" s="465"/>
    </row>
    <row r="498">
      <c r="A498" s="20"/>
      <c r="B498" s="20"/>
      <c r="C498" s="115" t="s">
        <v>8</v>
      </c>
      <c r="D498" s="115" t="s">
        <v>9</v>
      </c>
      <c r="E498" s="115" t="s">
        <v>358</v>
      </c>
      <c r="F498" s="115" t="s">
        <v>11</v>
      </c>
      <c r="G498" s="115" t="s">
        <v>751</v>
      </c>
      <c r="H498" s="465"/>
      <c r="I498" s="465"/>
    </row>
    <row r="499">
      <c r="A499" s="466" t="s">
        <v>1852</v>
      </c>
      <c r="B499" s="2"/>
      <c r="C499" s="2"/>
      <c r="D499" s="2"/>
      <c r="E499" s="2"/>
      <c r="F499" s="2"/>
      <c r="G499" s="3"/>
      <c r="H499" s="465"/>
      <c r="I499" s="465"/>
    </row>
    <row r="500">
      <c r="A500" s="119"/>
      <c r="B500" s="120" t="s">
        <v>754</v>
      </c>
      <c r="C500" s="120" t="s">
        <v>22</v>
      </c>
      <c r="D500" s="120" t="s">
        <v>757</v>
      </c>
      <c r="E500" s="121">
        <v>10.0</v>
      </c>
      <c r="F500" s="467"/>
      <c r="G500" s="3"/>
      <c r="H500" s="465"/>
      <c r="I500" s="465"/>
    </row>
    <row r="501">
      <c r="A501" s="120" t="s">
        <v>761</v>
      </c>
      <c r="B501" s="123" t="s">
        <v>519</v>
      </c>
      <c r="C501" s="2"/>
      <c r="D501" s="2"/>
      <c r="E501" s="2"/>
      <c r="F501" s="2"/>
      <c r="G501" s="3"/>
      <c r="H501" s="465"/>
      <c r="I501" s="465"/>
    </row>
    <row r="502">
      <c r="A502" s="124" t="s">
        <v>764</v>
      </c>
      <c r="B502" s="2"/>
      <c r="C502" s="2"/>
      <c r="D502" s="2"/>
      <c r="E502" s="2"/>
      <c r="F502" s="3"/>
      <c r="G502" s="125" t="s">
        <v>766</v>
      </c>
      <c r="H502" s="465"/>
      <c r="I502" s="465"/>
    </row>
    <row r="503">
      <c r="A503" s="126"/>
      <c r="B503" s="127" t="s">
        <v>1844</v>
      </c>
      <c r="C503" s="123" t="s">
        <v>1854</v>
      </c>
      <c r="D503" s="2"/>
      <c r="E503" s="3"/>
      <c r="F503" s="467"/>
      <c r="G503" s="3"/>
      <c r="H503" s="465"/>
      <c r="I503" s="465"/>
    </row>
    <row r="504">
      <c r="A504" s="20"/>
      <c r="B504" s="20"/>
      <c r="C504" s="120" t="s">
        <v>22</v>
      </c>
      <c r="D504" s="121">
        <v>10.5</v>
      </c>
      <c r="E504" s="121">
        <v>211.0</v>
      </c>
      <c r="F504" s="121">
        <f>E504*D504</f>
        <v>2215.5</v>
      </c>
      <c r="G504" s="120" t="s">
        <v>772</v>
      </c>
      <c r="H504" s="465"/>
      <c r="I504" s="465"/>
    </row>
    <row r="505">
      <c r="A505" s="129" t="s">
        <v>42</v>
      </c>
      <c r="B505" s="2"/>
      <c r="C505" s="3"/>
      <c r="D505" s="121">
        <v>10.0</v>
      </c>
      <c r="E505" s="130" t="s">
        <v>22</v>
      </c>
      <c r="F505" s="121">
        <f>F504</f>
        <v>2215.5</v>
      </c>
      <c r="G505" s="120"/>
      <c r="H505" s="465"/>
      <c r="I505" s="465"/>
    </row>
    <row r="506">
      <c r="A506" s="129" t="s">
        <v>800</v>
      </c>
      <c r="B506" s="2"/>
      <c r="C506" s="3"/>
      <c r="D506" s="121">
        <v>1.0</v>
      </c>
      <c r="E506" s="130" t="s">
        <v>22</v>
      </c>
      <c r="F506" s="121">
        <f>F505/D505</f>
        <v>221.55</v>
      </c>
      <c r="G506" s="120"/>
      <c r="H506" s="465"/>
      <c r="I506" s="465"/>
    </row>
    <row r="507">
      <c r="A507" s="133" t="s">
        <v>802</v>
      </c>
      <c r="B507" s="2"/>
      <c r="C507" s="2"/>
      <c r="D507" s="3"/>
      <c r="E507" s="121"/>
      <c r="F507" s="121">
        <f>F506*1%</f>
        <v>2.2155</v>
      </c>
      <c r="G507" s="120"/>
      <c r="H507" s="465"/>
      <c r="I507" s="465"/>
    </row>
    <row r="508">
      <c r="A508" s="133" t="s">
        <v>42</v>
      </c>
      <c r="B508" s="2"/>
      <c r="C508" s="2"/>
      <c r="D508" s="3"/>
      <c r="E508" s="131"/>
      <c r="F508" s="121">
        <f>F506+F507</f>
        <v>223.7655</v>
      </c>
      <c r="G508" s="120"/>
      <c r="H508" s="465"/>
      <c r="I508" s="465"/>
    </row>
    <row r="509">
      <c r="A509" s="133" t="s">
        <v>806</v>
      </c>
      <c r="B509" s="2"/>
      <c r="C509" s="2"/>
      <c r="D509" s="3"/>
      <c r="E509" s="121"/>
      <c r="F509" s="121">
        <f>F508*15%</f>
        <v>33.564825</v>
      </c>
      <c r="G509" s="120"/>
      <c r="H509" s="465"/>
      <c r="I509" s="465"/>
    </row>
    <row r="510">
      <c r="A510" s="133" t="s">
        <v>42</v>
      </c>
      <c r="B510" s="2"/>
      <c r="C510" s="2"/>
      <c r="D510" s="3"/>
      <c r="E510" s="131"/>
      <c r="F510" s="300">
        <f>round(F508+F509,2)</f>
        <v>257.33</v>
      </c>
      <c r="G510" s="120"/>
      <c r="H510" s="465"/>
      <c r="I510" s="465"/>
    </row>
    <row r="511">
      <c r="A511" s="124" t="s">
        <v>777</v>
      </c>
      <c r="B511" s="2"/>
      <c r="C511" s="2"/>
      <c r="D511" s="2"/>
      <c r="E511" s="2"/>
      <c r="F511" s="3"/>
      <c r="G511" s="125" t="s">
        <v>778</v>
      </c>
      <c r="H511" s="465"/>
      <c r="I511" s="465"/>
    </row>
    <row r="512">
      <c r="A512" s="127">
        <v>116.0</v>
      </c>
      <c r="B512" s="126"/>
      <c r="C512" s="123" t="s">
        <v>535</v>
      </c>
      <c r="D512" s="2"/>
      <c r="E512" s="3"/>
      <c r="F512" s="467"/>
      <c r="G512" s="3"/>
      <c r="H512" s="465"/>
      <c r="I512" s="465"/>
    </row>
    <row r="513">
      <c r="A513" s="20"/>
      <c r="B513" s="20"/>
      <c r="C513" s="120" t="s">
        <v>27</v>
      </c>
      <c r="D513" s="121">
        <v>0.33</v>
      </c>
      <c r="E513" s="121">
        <v>784.0</v>
      </c>
      <c r="F513" s="121">
        <f>E513*D513</f>
        <v>258.72</v>
      </c>
      <c r="G513" s="120" t="s">
        <v>780</v>
      </c>
      <c r="H513" s="465"/>
      <c r="I513" s="465"/>
    </row>
    <row r="514">
      <c r="A514" s="127">
        <v>117.0</v>
      </c>
      <c r="B514" s="126"/>
      <c r="C514" s="123" t="s">
        <v>856</v>
      </c>
      <c r="D514" s="2"/>
      <c r="E514" s="3"/>
      <c r="F514" s="467"/>
      <c r="G514" s="3"/>
      <c r="H514" s="465"/>
      <c r="I514" s="465"/>
    </row>
    <row r="515">
      <c r="A515" s="20"/>
      <c r="B515" s="20"/>
      <c r="C515" s="120" t="s">
        <v>27</v>
      </c>
      <c r="D515" s="121">
        <v>0.66</v>
      </c>
      <c r="E515" s="121">
        <v>714.0</v>
      </c>
      <c r="F515" s="121">
        <f>E515*D515</f>
        <v>471.24</v>
      </c>
      <c r="G515" s="120" t="s">
        <v>782</v>
      </c>
      <c r="H515" s="465"/>
      <c r="I515" s="465"/>
    </row>
    <row r="516">
      <c r="A516" s="127">
        <v>114.0</v>
      </c>
      <c r="B516" s="126"/>
      <c r="C516" s="123" t="s">
        <v>97</v>
      </c>
      <c r="D516" s="2"/>
      <c r="E516" s="3"/>
      <c r="F516" s="467"/>
      <c r="G516" s="3"/>
      <c r="H516" s="465"/>
      <c r="I516" s="465"/>
    </row>
    <row r="517">
      <c r="A517" s="20"/>
      <c r="B517" s="20"/>
      <c r="C517" s="120" t="s">
        <v>27</v>
      </c>
      <c r="D517" s="121">
        <v>0.66</v>
      </c>
      <c r="E517" s="121">
        <v>645.0</v>
      </c>
      <c r="F517" s="121">
        <f>E517*D517</f>
        <v>425.7</v>
      </c>
      <c r="G517" s="120" t="s">
        <v>791</v>
      </c>
      <c r="H517" s="465"/>
      <c r="I517" s="465"/>
    </row>
    <row r="518">
      <c r="A518" s="124" t="s">
        <v>793</v>
      </c>
      <c r="B518" s="2"/>
      <c r="C518" s="2"/>
      <c r="D518" s="2"/>
      <c r="E518" s="2"/>
      <c r="F518" s="3"/>
      <c r="G518" s="125" t="s">
        <v>778</v>
      </c>
      <c r="H518" s="465"/>
      <c r="I518" s="465"/>
    </row>
    <row r="519">
      <c r="A519" s="127" t="s">
        <v>1814</v>
      </c>
      <c r="B519" s="476"/>
      <c r="C519" s="541" t="s">
        <v>1815</v>
      </c>
      <c r="D519" s="2"/>
      <c r="E519" s="3"/>
      <c r="F519" s="478"/>
      <c r="G519" s="3"/>
      <c r="H519" s="479"/>
      <c r="I519" s="479"/>
    </row>
    <row r="520">
      <c r="A520" s="20"/>
      <c r="B520" s="20"/>
      <c r="C520" s="480" t="s">
        <v>1014</v>
      </c>
      <c r="D520" s="481">
        <v>10.0</v>
      </c>
      <c r="E520" s="542">
        <v>210.03</v>
      </c>
      <c r="F520" s="481">
        <f>D520*E520</f>
        <v>2100.3</v>
      </c>
      <c r="G520" s="482" t="s">
        <v>797</v>
      </c>
      <c r="H520" s="479"/>
      <c r="I520" s="479"/>
    </row>
    <row r="521">
      <c r="A521" s="129" t="s">
        <v>42</v>
      </c>
      <c r="B521" s="2"/>
      <c r="C521" s="3"/>
      <c r="D521" s="121">
        <v>10.0</v>
      </c>
      <c r="E521" s="130" t="s">
        <v>22</v>
      </c>
      <c r="F521" s="470">
        <f>F513+F515+F517+F520</f>
        <v>3255.96</v>
      </c>
      <c r="G521" s="131"/>
      <c r="H521" s="465"/>
      <c r="I521" s="465"/>
    </row>
    <row r="522">
      <c r="A522" s="129" t="s">
        <v>800</v>
      </c>
      <c r="B522" s="2"/>
      <c r="C522" s="3"/>
      <c r="D522" s="121">
        <v>1.0</v>
      </c>
      <c r="E522" s="130" t="s">
        <v>22</v>
      </c>
      <c r="F522" s="121">
        <f>F521/D521</f>
        <v>325.596</v>
      </c>
      <c r="G522" s="131"/>
      <c r="H522" s="465"/>
      <c r="I522" s="465"/>
    </row>
    <row r="523">
      <c r="A523" s="133" t="s">
        <v>802</v>
      </c>
      <c r="B523" s="2"/>
      <c r="C523" s="2"/>
      <c r="D523" s="3"/>
      <c r="E523" s="121"/>
      <c r="F523" s="121">
        <f>F522*1%</f>
        <v>3.25596</v>
      </c>
      <c r="G523" s="131"/>
      <c r="H523" s="465"/>
      <c r="I523" s="465"/>
    </row>
    <row r="524">
      <c r="A524" s="133" t="s">
        <v>42</v>
      </c>
      <c r="B524" s="2"/>
      <c r="C524" s="2"/>
      <c r="D524" s="3"/>
      <c r="E524" s="131"/>
      <c r="F524" s="121">
        <f>F522+F523</f>
        <v>328.85196</v>
      </c>
      <c r="G524" s="131"/>
      <c r="H524" s="465"/>
      <c r="I524" s="465"/>
    </row>
    <row r="525">
      <c r="A525" s="133" t="s">
        <v>806</v>
      </c>
      <c r="B525" s="2"/>
      <c r="C525" s="2"/>
      <c r="D525" s="3"/>
      <c r="E525" s="121"/>
      <c r="F525" s="121">
        <f>F524*15%</f>
        <v>49.327794</v>
      </c>
      <c r="G525" s="131"/>
      <c r="H525" s="465"/>
      <c r="I525" s="465"/>
    </row>
    <row r="526">
      <c r="A526" s="133" t="s">
        <v>42</v>
      </c>
      <c r="B526" s="2"/>
      <c r="C526" s="2"/>
      <c r="D526" s="3"/>
      <c r="E526" s="131"/>
      <c r="F526" s="300">
        <f>round(F524+F525,2)</f>
        <v>378.18</v>
      </c>
      <c r="G526" s="131"/>
      <c r="H526" s="465"/>
      <c r="I526" s="465"/>
    </row>
    <row r="527">
      <c r="A527" s="471" t="str">
        <f>CONCATENATE("Say ₹ ",F510," + ",F526," x Cost Index")</f>
        <v>Say ₹ 257.33 + 378.18 x Cost Index</v>
      </c>
      <c r="B527" s="2"/>
      <c r="C527" s="2"/>
      <c r="D527" s="2"/>
      <c r="E527" s="2"/>
      <c r="F527" s="3"/>
      <c r="G527" s="472" t="s">
        <v>939</v>
      </c>
      <c r="H527" s="473">
        <f>F504*1.01*1.15/10</f>
        <v>257.330325</v>
      </c>
      <c r="I527" s="473">
        <f>(F513+F515+F517+F520)*1.01*1.15/10</f>
        <v>378.179754</v>
      </c>
    </row>
    <row r="528">
      <c r="A528" s="111" t="s">
        <v>742</v>
      </c>
      <c r="B528" s="111" t="s">
        <v>745</v>
      </c>
      <c r="C528" s="112" t="s">
        <v>6</v>
      </c>
      <c r="D528" s="2"/>
      <c r="E528" s="3"/>
      <c r="F528" s="112" t="s">
        <v>746</v>
      </c>
      <c r="G528" s="3"/>
      <c r="H528" s="465"/>
      <c r="I528" s="465"/>
    </row>
    <row r="529">
      <c r="A529" s="20"/>
      <c r="B529" s="20"/>
      <c r="C529" s="115" t="s">
        <v>8</v>
      </c>
      <c r="D529" s="115" t="s">
        <v>9</v>
      </c>
      <c r="E529" s="115" t="s">
        <v>358</v>
      </c>
      <c r="F529" s="115" t="s">
        <v>11</v>
      </c>
      <c r="G529" s="115" t="s">
        <v>751</v>
      </c>
      <c r="H529" s="465"/>
      <c r="I529" s="465"/>
    </row>
    <row r="530">
      <c r="A530" s="466" t="s">
        <v>1859</v>
      </c>
      <c r="B530" s="2"/>
      <c r="C530" s="2"/>
      <c r="D530" s="2"/>
      <c r="E530" s="2"/>
      <c r="F530" s="2"/>
      <c r="G530" s="3"/>
      <c r="H530" s="465"/>
      <c r="I530" s="465"/>
    </row>
    <row r="531">
      <c r="A531" s="119"/>
      <c r="B531" s="120" t="s">
        <v>754</v>
      </c>
      <c r="C531" s="120" t="s">
        <v>22</v>
      </c>
      <c r="D531" s="120" t="s">
        <v>757</v>
      </c>
      <c r="E531" s="121">
        <v>10.0</v>
      </c>
      <c r="F531" s="467"/>
      <c r="G531" s="3"/>
      <c r="H531" s="465"/>
      <c r="I531" s="465"/>
    </row>
    <row r="532">
      <c r="A532" s="120" t="s">
        <v>761</v>
      </c>
      <c r="B532" s="123" t="s">
        <v>519</v>
      </c>
      <c r="C532" s="2"/>
      <c r="D532" s="2"/>
      <c r="E532" s="2"/>
      <c r="F532" s="2"/>
      <c r="G532" s="3"/>
      <c r="H532" s="465"/>
      <c r="I532" s="465"/>
    </row>
    <row r="533">
      <c r="A533" s="124" t="s">
        <v>764</v>
      </c>
      <c r="B533" s="2"/>
      <c r="C533" s="2"/>
      <c r="D533" s="2"/>
      <c r="E533" s="2"/>
      <c r="F533" s="3"/>
      <c r="G533" s="125" t="s">
        <v>766</v>
      </c>
      <c r="H533" s="465"/>
      <c r="I533" s="465"/>
    </row>
    <row r="534">
      <c r="A534" s="126"/>
      <c r="B534" s="127" t="s">
        <v>812</v>
      </c>
      <c r="C534" s="123" t="s">
        <v>1860</v>
      </c>
      <c r="D534" s="2"/>
      <c r="E534" s="3"/>
      <c r="F534" s="467"/>
      <c r="G534" s="3"/>
      <c r="H534" s="465"/>
      <c r="I534" s="465"/>
    </row>
    <row r="535">
      <c r="A535" s="20"/>
      <c r="B535" s="20"/>
      <c r="C535" s="120" t="s">
        <v>22</v>
      </c>
      <c r="D535" s="121">
        <v>10.5</v>
      </c>
      <c r="E535" s="121">
        <v>170.0</v>
      </c>
      <c r="F535" s="121">
        <f>E535*D535</f>
        <v>1785</v>
      </c>
      <c r="G535" s="120" t="s">
        <v>772</v>
      </c>
      <c r="H535" s="465"/>
      <c r="I535" s="465"/>
    </row>
    <row r="536">
      <c r="A536" s="129" t="s">
        <v>42</v>
      </c>
      <c r="B536" s="2"/>
      <c r="C536" s="3"/>
      <c r="D536" s="121">
        <v>10.0</v>
      </c>
      <c r="E536" s="130" t="s">
        <v>22</v>
      </c>
      <c r="F536" s="121">
        <f>F535</f>
        <v>1785</v>
      </c>
      <c r="G536" s="120"/>
      <c r="H536" s="465"/>
      <c r="I536" s="465"/>
    </row>
    <row r="537">
      <c r="A537" s="129" t="s">
        <v>800</v>
      </c>
      <c r="B537" s="2"/>
      <c r="C537" s="3"/>
      <c r="D537" s="121">
        <v>1.0</v>
      </c>
      <c r="E537" s="130" t="s">
        <v>22</v>
      </c>
      <c r="F537" s="121">
        <f>F536/D536</f>
        <v>178.5</v>
      </c>
      <c r="G537" s="120"/>
      <c r="H537" s="465"/>
      <c r="I537" s="465"/>
    </row>
    <row r="538">
      <c r="A538" s="133" t="s">
        <v>802</v>
      </c>
      <c r="B538" s="2"/>
      <c r="C538" s="2"/>
      <c r="D538" s="3"/>
      <c r="E538" s="121"/>
      <c r="F538" s="121">
        <f>F537*1%</f>
        <v>1.785</v>
      </c>
      <c r="G538" s="120"/>
      <c r="H538" s="465"/>
      <c r="I538" s="465"/>
    </row>
    <row r="539">
      <c r="A539" s="133" t="s">
        <v>42</v>
      </c>
      <c r="B539" s="2"/>
      <c r="C539" s="2"/>
      <c r="D539" s="3"/>
      <c r="E539" s="131"/>
      <c r="F539" s="121">
        <f>F537+F538</f>
        <v>180.285</v>
      </c>
      <c r="G539" s="120"/>
      <c r="H539" s="465"/>
      <c r="I539" s="465"/>
    </row>
    <row r="540">
      <c r="A540" s="133" t="s">
        <v>806</v>
      </c>
      <c r="B540" s="2"/>
      <c r="C540" s="2"/>
      <c r="D540" s="3"/>
      <c r="E540" s="121"/>
      <c r="F540" s="121">
        <f>F539*15%</f>
        <v>27.04275</v>
      </c>
      <c r="G540" s="120"/>
      <c r="H540" s="465"/>
      <c r="I540" s="465"/>
    </row>
    <row r="541">
      <c r="A541" s="133" t="s">
        <v>42</v>
      </c>
      <c r="B541" s="2"/>
      <c r="C541" s="2"/>
      <c r="D541" s="3"/>
      <c r="E541" s="131"/>
      <c r="F541" s="300">
        <f>round(F539+F540,2)</f>
        <v>207.33</v>
      </c>
      <c r="G541" s="120"/>
      <c r="H541" s="465"/>
      <c r="I541" s="465"/>
    </row>
    <row r="542">
      <c r="A542" s="124" t="s">
        <v>777</v>
      </c>
      <c r="B542" s="2"/>
      <c r="C542" s="2"/>
      <c r="D542" s="2"/>
      <c r="E542" s="2"/>
      <c r="F542" s="3"/>
      <c r="G542" s="125" t="s">
        <v>778</v>
      </c>
      <c r="H542" s="465"/>
      <c r="I542" s="465"/>
    </row>
    <row r="543">
      <c r="A543" s="127">
        <v>116.0</v>
      </c>
      <c r="B543" s="126"/>
      <c r="C543" s="123" t="s">
        <v>535</v>
      </c>
      <c r="D543" s="2"/>
      <c r="E543" s="3"/>
      <c r="F543" s="467"/>
      <c r="G543" s="3"/>
      <c r="H543" s="465"/>
      <c r="I543" s="465"/>
    </row>
    <row r="544">
      <c r="A544" s="20"/>
      <c r="B544" s="20"/>
      <c r="C544" s="120" t="s">
        <v>27</v>
      </c>
      <c r="D544" s="121">
        <v>0.33</v>
      </c>
      <c r="E544" s="121">
        <v>784.0</v>
      </c>
      <c r="F544" s="121">
        <f>E544*D544</f>
        <v>258.72</v>
      </c>
      <c r="G544" s="120" t="s">
        <v>780</v>
      </c>
      <c r="H544" s="465"/>
      <c r="I544" s="465"/>
    </row>
    <row r="545">
      <c r="A545" s="127">
        <v>117.0</v>
      </c>
      <c r="B545" s="126"/>
      <c r="C545" s="123" t="s">
        <v>856</v>
      </c>
      <c r="D545" s="2"/>
      <c r="E545" s="3"/>
      <c r="F545" s="467"/>
      <c r="G545" s="3"/>
      <c r="H545" s="465"/>
      <c r="I545" s="465"/>
    </row>
    <row r="546">
      <c r="A546" s="20"/>
      <c r="B546" s="20"/>
      <c r="C546" s="120" t="s">
        <v>27</v>
      </c>
      <c r="D546" s="121">
        <v>0.66</v>
      </c>
      <c r="E546" s="121">
        <v>714.0</v>
      </c>
      <c r="F546" s="121">
        <f>E546*D546</f>
        <v>471.24</v>
      </c>
      <c r="G546" s="120" t="s">
        <v>782</v>
      </c>
      <c r="H546" s="465"/>
      <c r="I546" s="465"/>
    </row>
    <row r="547">
      <c r="A547" s="127">
        <v>114.0</v>
      </c>
      <c r="B547" s="126"/>
      <c r="C547" s="123" t="s">
        <v>97</v>
      </c>
      <c r="D547" s="2"/>
      <c r="E547" s="3"/>
      <c r="F547" s="467"/>
      <c r="G547" s="3"/>
      <c r="H547" s="465"/>
      <c r="I547" s="465"/>
    </row>
    <row r="548">
      <c r="A548" s="20"/>
      <c r="B548" s="20"/>
      <c r="C548" s="120" t="s">
        <v>27</v>
      </c>
      <c r="D548" s="121">
        <v>0.66</v>
      </c>
      <c r="E548" s="121">
        <v>645.0</v>
      </c>
      <c r="F548" s="121">
        <f>E548*D548</f>
        <v>425.7</v>
      </c>
      <c r="G548" s="120" t="s">
        <v>791</v>
      </c>
      <c r="H548" s="465"/>
      <c r="I548" s="465"/>
    </row>
    <row r="549">
      <c r="A549" s="124" t="s">
        <v>793</v>
      </c>
      <c r="B549" s="2"/>
      <c r="C549" s="2"/>
      <c r="D549" s="2"/>
      <c r="E549" s="2"/>
      <c r="F549" s="3"/>
      <c r="G549" s="125" t="s">
        <v>778</v>
      </c>
      <c r="H549" s="465"/>
      <c r="I549" s="465"/>
    </row>
    <row r="550">
      <c r="A550" s="127" t="s">
        <v>1814</v>
      </c>
      <c r="B550" s="476"/>
      <c r="C550" s="541" t="s">
        <v>1815</v>
      </c>
      <c r="D550" s="2"/>
      <c r="E550" s="3"/>
      <c r="F550" s="478"/>
      <c r="G550" s="3"/>
      <c r="H550" s="479"/>
      <c r="I550" s="479"/>
    </row>
    <row r="551">
      <c r="A551" s="20"/>
      <c r="B551" s="20"/>
      <c r="C551" s="480" t="s">
        <v>1014</v>
      </c>
      <c r="D551" s="481">
        <v>10.0</v>
      </c>
      <c r="E551" s="542">
        <v>210.03</v>
      </c>
      <c r="F551" s="481">
        <f>D551*E551</f>
        <v>2100.3</v>
      </c>
      <c r="G551" s="482" t="s">
        <v>797</v>
      </c>
      <c r="H551" s="479"/>
      <c r="I551" s="479"/>
    </row>
    <row r="552">
      <c r="A552" s="129" t="s">
        <v>42</v>
      </c>
      <c r="B552" s="2"/>
      <c r="C552" s="3"/>
      <c r="D552" s="121">
        <v>10.0</v>
      </c>
      <c r="E552" s="130" t="s">
        <v>22</v>
      </c>
      <c r="F552" s="470">
        <f>F544+F546+F548+F551</f>
        <v>3255.96</v>
      </c>
      <c r="G552" s="131"/>
      <c r="H552" s="465"/>
      <c r="I552" s="465"/>
    </row>
    <row r="553">
      <c r="A553" s="129" t="s">
        <v>800</v>
      </c>
      <c r="B553" s="2"/>
      <c r="C553" s="3"/>
      <c r="D553" s="121">
        <v>1.0</v>
      </c>
      <c r="E553" s="130" t="s">
        <v>22</v>
      </c>
      <c r="F553" s="121">
        <f>F552/D552</f>
        <v>325.596</v>
      </c>
      <c r="G553" s="131"/>
      <c r="H553" s="465"/>
      <c r="I553" s="465"/>
    </row>
    <row r="554">
      <c r="A554" s="133" t="s">
        <v>802</v>
      </c>
      <c r="B554" s="2"/>
      <c r="C554" s="2"/>
      <c r="D554" s="3"/>
      <c r="E554" s="121"/>
      <c r="F554" s="121">
        <f>F553*1%</f>
        <v>3.25596</v>
      </c>
      <c r="G554" s="131"/>
      <c r="H554" s="465"/>
      <c r="I554" s="465"/>
    </row>
    <row r="555">
      <c r="A555" s="133" t="s">
        <v>42</v>
      </c>
      <c r="B555" s="2"/>
      <c r="C555" s="2"/>
      <c r="D555" s="3"/>
      <c r="E555" s="131"/>
      <c r="F555" s="121">
        <f>F553+F554</f>
        <v>328.85196</v>
      </c>
      <c r="G555" s="131"/>
      <c r="H555" s="465"/>
      <c r="I555" s="465"/>
    </row>
    <row r="556">
      <c r="A556" s="133" t="s">
        <v>806</v>
      </c>
      <c r="B556" s="2"/>
      <c r="C556" s="2"/>
      <c r="D556" s="3"/>
      <c r="E556" s="121"/>
      <c r="F556" s="121">
        <f>F555*15%</f>
        <v>49.327794</v>
      </c>
      <c r="G556" s="131"/>
      <c r="H556" s="465"/>
      <c r="I556" s="465"/>
    </row>
    <row r="557">
      <c r="A557" s="133" t="s">
        <v>42</v>
      </c>
      <c r="B557" s="2"/>
      <c r="C557" s="2"/>
      <c r="D557" s="3"/>
      <c r="E557" s="131"/>
      <c r="F557" s="300">
        <f>round(F555+F556,2)</f>
        <v>378.18</v>
      </c>
      <c r="G557" s="131"/>
      <c r="H557" s="465"/>
      <c r="I557" s="465"/>
    </row>
    <row r="558">
      <c r="A558" s="471" t="str">
        <f>CONCATENATE("Say ₹ ",F541," + ",F557," x Cost Index")</f>
        <v>Say ₹ 207.33 + 378.18 x Cost Index</v>
      </c>
      <c r="B558" s="2"/>
      <c r="C558" s="2"/>
      <c r="D558" s="2"/>
      <c r="E558" s="2"/>
      <c r="F558" s="3"/>
      <c r="G558" s="472" t="s">
        <v>939</v>
      </c>
      <c r="H558" s="473">
        <f>F535*1.01*1.15/10</f>
        <v>207.32775</v>
      </c>
      <c r="I558" s="473">
        <f>(F544+F546+F548+F551)*1.01*1.15/10</f>
        <v>378.179754</v>
      </c>
    </row>
  </sheetData>
  <mergeCells count="774">
    <mergeCell ref="A26:C26"/>
    <mergeCell ref="A27:D27"/>
    <mergeCell ref="A28:D28"/>
    <mergeCell ref="A29:D29"/>
    <mergeCell ref="A30:D30"/>
    <mergeCell ref="A31:F31"/>
    <mergeCell ref="A32:A33"/>
    <mergeCell ref="B32:B33"/>
    <mergeCell ref="C32:E32"/>
    <mergeCell ref="F32:G32"/>
    <mergeCell ref="A34:G34"/>
    <mergeCell ref="F35:G35"/>
    <mergeCell ref="B36:G36"/>
    <mergeCell ref="A37:F37"/>
    <mergeCell ref="A38:A39"/>
    <mergeCell ref="B38:B39"/>
    <mergeCell ref="C38:E38"/>
    <mergeCell ref="F38:G38"/>
    <mergeCell ref="A40:C40"/>
    <mergeCell ref="A41:C41"/>
    <mergeCell ref="A42:D42"/>
    <mergeCell ref="A43:D43"/>
    <mergeCell ref="A44:D44"/>
    <mergeCell ref="A45:D45"/>
    <mergeCell ref="A46:F46"/>
    <mergeCell ref="B47:B48"/>
    <mergeCell ref="C47:E47"/>
    <mergeCell ref="F47:G47"/>
    <mergeCell ref="C51:E51"/>
    <mergeCell ref="F51:G51"/>
    <mergeCell ref="A47:A48"/>
    <mergeCell ref="A49:A50"/>
    <mergeCell ref="B49:B50"/>
    <mergeCell ref="C49:E49"/>
    <mergeCell ref="F49:G49"/>
    <mergeCell ref="B51:B52"/>
    <mergeCell ref="A53:F53"/>
    <mergeCell ref="C7:E7"/>
    <mergeCell ref="F7:G7"/>
    <mergeCell ref="B1:B2"/>
    <mergeCell ref="C1:E1"/>
    <mergeCell ref="F1:G1"/>
    <mergeCell ref="A3:G3"/>
    <mergeCell ref="F4:G4"/>
    <mergeCell ref="B5:G5"/>
    <mergeCell ref="A6:F6"/>
    <mergeCell ref="A1:A2"/>
    <mergeCell ref="A7:A8"/>
    <mergeCell ref="B7:B8"/>
    <mergeCell ref="A9:C9"/>
    <mergeCell ref="A10:C10"/>
    <mergeCell ref="A11:D11"/>
    <mergeCell ref="A12:D12"/>
    <mergeCell ref="A13:D13"/>
    <mergeCell ref="A14:D14"/>
    <mergeCell ref="A15:F15"/>
    <mergeCell ref="A16:A17"/>
    <mergeCell ref="B16:B17"/>
    <mergeCell ref="C16:E16"/>
    <mergeCell ref="F16:G16"/>
    <mergeCell ref="A18:A19"/>
    <mergeCell ref="B18:B19"/>
    <mergeCell ref="C18:E18"/>
    <mergeCell ref="F18:G18"/>
    <mergeCell ref="A20:A21"/>
    <mergeCell ref="B20:B21"/>
    <mergeCell ref="F20:G20"/>
    <mergeCell ref="C20:E20"/>
    <mergeCell ref="A22:F22"/>
    <mergeCell ref="A23:A24"/>
    <mergeCell ref="B23:B24"/>
    <mergeCell ref="C23:E23"/>
    <mergeCell ref="F23:G23"/>
    <mergeCell ref="A25:C25"/>
    <mergeCell ref="A51:A52"/>
    <mergeCell ref="A54:A55"/>
    <mergeCell ref="B54:B55"/>
    <mergeCell ref="C54:E54"/>
    <mergeCell ref="F54:G54"/>
    <mergeCell ref="A56:C56"/>
    <mergeCell ref="A57:C57"/>
    <mergeCell ref="C85:E85"/>
    <mergeCell ref="F85:G85"/>
    <mergeCell ref="A82:A83"/>
    <mergeCell ref="B82:B83"/>
    <mergeCell ref="C82:E82"/>
    <mergeCell ref="F82:G82"/>
    <mergeCell ref="A84:F84"/>
    <mergeCell ref="A85:A86"/>
    <mergeCell ref="B85:B86"/>
    <mergeCell ref="A94:A95"/>
    <mergeCell ref="B94:B95"/>
    <mergeCell ref="A87:C87"/>
    <mergeCell ref="A88:C88"/>
    <mergeCell ref="A89:D89"/>
    <mergeCell ref="A90:D90"/>
    <mergeCell ref="A91:D91"/>
    <mergeCell ref="A92:D92"/>
    <mergeCell ref="A93:F93"/>
    <mergeCell ref="B100:B101"/>
    <mergeCell ref="C100:E100"/>
    <mergeCell ref="C94:E94"/>
    <mergeCell ref="F94:G94"/>
    <mergeCell ref="A96:G96"/>
    <mergeCell ref="F97:G97"/>
    <mergeCell ref="B98:G98"/>
    <mergeCell ref="A99:F99"/>
    <mergeCell ref="F100:G100"/>
    <mergeCell ref="C63:E63"/>
    <mergeCell ref="F63:G63"/>
    <mergeCell ref="A58:D58"/>
    <mergeCell ref="A59:D59"/>
    <mergeCell ref="A60:D60"/>
    <mergeCell ref="A61:D61"/>
    <mergeCell ref="A62:F62"/>
    <mergeCell ref="A63:A64"/>
    <mergeCell ref="B63:B64"/>
    <mergeCell ref="A65:G65"/>
    <mergeCell ref="F66:G66"/>
    <mergeCell ref="B67:G67"/>
    <mergeCell ref="A68:F68"/>
    <mergeCell ref="A69:A70"/>
    <mergeCell ref="C69:E69"/>
    <mergeCell ref="F69:G69"/>
    <mergeCell ref="B69:B70"/>
    <mergeCell ref="A71:C71"/>
    <mergeCell ref="A72:C72"/>
    <mergeCell ref="A73:D73"/>
    <mergeCell ref="A74:D74"/>
    <mergeCell ref="A75:D75"/>
    <mergeCell ref="A76:D76"/>
    <mergeCell ref="C80:E80"/>
    <mergeCell ref="F80:G80"/>
    <mergeCell ref="A77:F77"/>
    <mergeCell ref="A78:A79"/>
    <mergeCell ref="B78:B79"/>
    <mergeCell ref="C78:E78"/>
    <mergeCell ref="F78:G78"/>
    <mergeCell ref="A80:A81"/>
    <mergeCell ref="B80:B81"/>
    <mergeCell ref="C109:E109"/>
    <mergeCell ref="F109:G109"/>
    <mergeCell ref="C144:E144"/>
    <mergeCell ref="F144:G144"/>
    <mergeCell ref="A140:A141"/>
    <mergeCell ref="B140:B141"/>
    <mergeCell ref="C140:E140"/>
    <mergeCell ref="F140:G140"/>
    <mergeCell ref="B142:B143"/>
    <mergeCell ref="C142:E142"/>
    <mergeCell ref="F142:G142"/>
    <mergeCell ref="A142:A143"/>
    <mergeCell ref="A144:A145"/>
    <mergeCell ref="B144:B145"/>
    <mergeCell ref="A146:F146"/>
    <mergeCell ref="A147:A148"/>
    <mergeCell ref="C147:E147"/>
    <mergeCell ref="F147:G147"/>
    <mergeCell ref="B147:B148"/>
    <mergeCell ref="A149:C149"/>
    <mergeCell ref="A150:C150"/>
    <mergeCell ref="A151:D151"/>
    <mergeCell ref="A152:D152"/>
    <mergeCell ref="A153:D153"/>
    <mergeCell ref="A154:D154"/>
    <mergeCell ref="A155:F155"/>
    <mergeCell ref="A156:A157"/>
    <mergeCell ref="B156:B157"/>
    <mergeCell ref="C156:E156"/>
    <mergeCell ref="F156:G156"/>
    <mergeCell ref="A158:G158"/>
    <mergeCell ref="F159:G159"/>
    <mergeCell ref="B160:G160"/>
    <mergeCell ref="A161:F161"/>
    <mergeCell ref="A162:A163"/>
    <mergeCell ref="B162:B163"/>
    <mergeCell ref="C162:E162"/>
    <mergeCell ref="F162:G162"/>
    <mergeCell ref="A164:C164"/>
    <mergeCell ref="B171:B172"/>
    <mergeCell ref="C171:E171"/>
    <mergeCell ref="F171:G171"/>
    <mergeCell ref="A165:C165"/>
    <mergeCell ref="A166:D166"/>
    <mergeCell ref="A167:D167"/>
    <mergeCell ref="A168:D168"/>
    <mergeCell ref="A169:D169"/>
    <mergeCell ref="A170:F170"/>
    <mergeCell ref="A171:A172"/>
    <mergeCell ref="A173:A174"/>
    <mergeCell ref="B173:B174"/>
    <mergeCell ref="C173:E173"/>
    <mergeCell ref="F173:G173"/>
    <mergeCell ref="A175:A176"/>
    <mergeCell ref="B175:B176"/>
    <mergeCell ref="F175:G175"/>
    <mergeCell ref="C175:E175"/>
    <mergeCell ref="A177:F177"/>
    <mergeCell ref="A178:A179"/>
    <mergeCell ref="B178:B179"/>
    <mergeCell ref="C178:E178"/>
    <mergeCell ref="F178:G178"/>
    <mergeCell ref="A180:C180"/>
    <mergeCell ref="A181:C181"/>
    <mergeCell ref="A182:D182"/>
    <mergeCell ref="A183:D183"/>
    <mergeCell ref="A184:D184"/>
    <mergeCell ref="A185:D185"/>
    <mergeCell ref="A186:F186"/>
    <mergeCell ref="A187:A188"/>
    <mergeCell ref="B187:B188"/>
    <mergeCell ref="C187:E187"/>
    <mergeCell ref="F187:G187"/>
    <mergeCell ref="A189:G189"/>
    <mergeCell ref="F190:G190"/>
    <mergeCell ref="B191:G191"/>
    <mergeCell ref="A192:F192"/>
    <mergeCell ref="C125:E125"/>
    <mergeCell ref="A127:G127"/>
    <mergeCell ref="F128:G128"/>
    <mergeCell ref="B129:G129"/>
    <mergeCell ref="A130:F130"/>
    <mergeCell ref="A131:A132"/>
    <mergeCell ref="B131:B132"/>
    <mergeCell ref="A133:C133"/>
    <mergeCell ref="A134:C134"/>
    <mergeCell ref="A135:D135"/>
    <mergeCell ref="A136:D136"/>
    <mergeCell ref="A137:D137"/>
    <mergeCell ref="A138:D138"/>
    <mergeCell ref="A139:F139"/>
    <mergeCell ref="A193:A194"/>
    <mergeCell ref="B193:B194"/>
    <mergeCell ref="C193:E193"/>
    <mergeCell ref="F193:G193"/>
    <mergeCell ref="A195:C195"/>
    <mergeCell ref="A196:C196"/>
    <mergeCell ref="A197:D197"/>
    <mergeCell ref="A198:D198"/>
    <mergeCell ref="A199:D199"/>
    <mergeCell ref="A200:D200"/>
    <mergeCell ref="A201:F201"/>
    <mergeCell ref="B202:B203"/>
    <mergeCell ref="C202:E202"/>
    <mergeCell ref="F202:G202"/>
    <mergeCell ref="C206:E206"/>
    <mergeCell ref="F206:G206"/>
    <mergeCell ref="A202:A203"/>
    <mergeCell ref="A204:A205"/>
    <mergeCell ref="B204:B205"/>
    <mergeCell ref="C204:E204"/>
    <mergeCell ref="F204:G204"/>
    <mergeCell ref="B206:B207"/>
    <mergeCell ref="A208:F208"/>
    <mergeCell ref="C111:E111"/>
    <mergeCell ref="F111:G111"/>
    <mergeCell ref="C113:E113"/>
    <mergeCell ref="F113:G113"/>
    <mergeCell ref="A115:F115"/>
    <mergeCell ref="A102:C102"/>
    <mergeCell ref="A103:C103"/>
    <mergeCell ref="A104:D104"/>
    <mergeCell ref="A105:D105"/>
    <mergeCell ref="A106:D106"/>
    <mergeCell ref="A107:D107"/>
    <mergeCell ref="A108:F108"/>
    <mergeCell ref="A100:A101"/>
    <mergeCell ref="A109:A110"/>
    <mergeCell ref="B109:B110"/>
    <mergeCell ref="A111:A112"/>
    <mergeCell ref="B111:B112"/>
    <mergeCell ref="A113:A114"/>
    <mergeCell ref="B113:B114"/>
    <mergeCell ref="A116:A117"/>
    <mergeCell ref="B116:B117"/>
    <mergeCell ref="C116:E116"/>
    <mergeCell ref="F116:G116"/>
    <mergeCell ref="A118:C118"/>
    <mergeCell ref="A119:C119"/>
    <mergeCell ref="A120:D120"/>
    <mergeCell ref="A121:D121"/>
    <mergeCell ref="A122:D122"/>
    <mergeCell ref="A123:D123"/>
    <mergeCell ref="A124:F124"/>
    <mergeCell ref="A125:A126"/>
    <mergeCell ref="B125:B126"/>
    <mergeCell ref="F125:G125"/>
    <mergeCell ref="C131:E131"/>
    <mergeCell ref="F131:G131"/>
    <mergeCell ref="A206:A207"/>
    <mergeCell ref="A209:A210"/>
    <mergeCell ref="B209:B210"/>
    <mergeCell ref="C209:E209"/>
    <mergeCell ref="F209:G209"/>
    <mergeCell ref="A211:C211"/>
    <mergeCell ref="A212:C212"/>
    <mergeCell ref="C240:E240"/>
    <mergeCell ref="F240:G240"/>
    <mergeCell ref="A237:A238"/>
    <mergeCell ref="B237:B238"/>
    <mergeCell ref="C237:E237"/>
    <mergeCell ref="F237:G237"/>
    <mergeCell ref="A239:F239"/>
    <mergeCell ref="A240:A241"/>
    <mergeCell ref="B240:B241"/>
    <mergeCell ref="A249:A250"/>
    <mergeCell ref="B249:B250"/>
    <mergeCell ref="A242:C242"/>
    <mergeCell ref="A243:C243"/>
    <mergeCell ref="A244:D244"/>
    <mergeCell ref="A245:D245"/>
    <mergeCell ref="A246:D246"/>
    <mergeCell ref="A247:D247"/>
    <mergeCell ref="A248:F248"/>
    <mergeCell ref="B255:B256"/>
    <mergeCell ref="C255:E255"/>
    <mergeCell ref="C249:E249"/>
    <mergeCell ref="F249:G249"/>
    <mergeCell ref="A251:G251"/>
    <mergeCell ref="F252:G252"/>
    <mergeCell ref="B253:G253"/>
    <mergeCell ref="A254:F254"/>
    <mergeCell ref="F255:G255"/>
    <mergeCell ref="C218:E218"/>
    <mergeCell ref="F218:G218"/>
    <mergeCell ref="A213:D213"/>
    <mergeCell ref="A214:D214"/>
    <mergeCell ref="A215:D215"/>
    <mergeCell ref="A216:D216"/>
    <mergeCell ref="A217:F217"/>
    <mergeCell ref="A218:A219"/>
    <mergeCell ref="B218:B219"/>
    <mergeCell ref="A220:G220"/>
    <mergeCell ref="F221:G221"/>
    <mergeCell ref="B222:G222"/>
    <mergeCell ref="A223:F223"/>
    <mergeCell ref="A224:A225"/>
    <mergeCell ref="C224:E224"/>
    <mergeCell ref="F224:G224"/>
    <mergeCell ref="B224:B225"/>
    <mergeCell ref="A226:C226"/>
    <mergeCell ref="A227:C227"/>
    <mergeCell ref="A228:D228"/>
    <mergeCell ref="A229:D229"/>
    <mergeCell ref="A230:D230"/>
    <mergeCell ref="A231:D231"/>
    <mergeCell ref="C235:E235"/>
    <mergeCell ref="F235:G235"/>
    <mergeCell ref="A232:F232"/>
    <mergeCell ref="A233:A234"/>
    <mergeCell ref="B233:B234"/>
    <mergeCell ref="C233:E233"/>
    <mergeCell ref="F233:G233"/>
    <mergeCell ref="A235:A236"/>
    <mergeCell ref="B235:B236"/>
    <mergeCell ref="C264:E264"/>
    <mergeCell ref="F264:G264"/>
    <mergeCell ref="C299:E299"/>
    <mergeCell ref="F299:G299"/>
    <mergeCell ref="A295:A296"/>
    <mergeCell ref="B295:B296"/>
    <mergeCell ref="C295:E295"/>
    <mergeCell ref="F295:G295"/>
    <mergeCell ref="B297:B298"/>
    <mergeCell ref="C297:E297"/>
    <mergeCell ref="F297:G297"/>
    <mergeCell ref="A297:A298"/>
    <mergeCell ref="A299:A300"/>
    <mergeCell ref="B299:B300"/>
    <mergeCell ref="A301:F301"/>
    <mergeCell ref="A302:A303"/>
    <mergeCell ref="C302:E302"/>
    <mergeCell ref="F302:G302"/>
    <mergeCell ref="B302:B303"/>
    <mergeCell ref="A304:C304"/>
    <mergeCell ref="A305:C305"/>
    <mergeCell ref="A306:D306"/>
    <mergeCell ref="A307:D307"/>
    <mergeCell ref="A308:D308"/>
    <mergeCell ref="A309:D309"/>
    <mergeCell ref="A310:F310"/>
    <mergeCell ref="A311:A312"/>
    <mergeCell ref="B311:B312"/>
    <mergeCell ref="C311:E311"/>
    <mergeCell ref="F311:G311"/>
    <mergeCell ref="A313:G313"/>
    <mergeCell ref="F314:G314"/>
    <mergeCell ref="B315:G315"/>
    <mergeCell ref="A316:F316"/>
    <mergeCell ref="A317:A318"/>
    <mergeCell ref="B317:B318"/>
    <mergeCell ref="C317:E317"/>
    <mergeCell ref="F317:G317"/>
    <mergeCell ref="A319:C319"/>
    <mergeCell ref="B326:B327"/>
    <mergeCell ref="C326:E326"/>
    <mergeCell ref="F326:G326"/>
    <mergeCell ref="A320:C320"/>
    <mergeCell ref="A321:D321"/>
    <mergeCell ref="A322:D322"/>
    <mergeCell ref="A323:D323"/>
    <mergeCell ref="A324:D324"/>
    <mergeCell ref="A325:F325"/>
    <mergeCell ref="A326:A327"/>
    <mergeCell ref="A328:A329"/>
    <mergeCell ref="B328:B329"/>
    <mergeCell ref="C328:E328"/>
    <mergeCell ref="F328:G328"/>
    <mergeCell ref="A330:A331"/>
    <mergeCell ref="B330:B331"/>
    <mergeCell ref="F330:G330"/>
    <mergeCell ref="C330:E330"/>
    <mergeCell ref="A332:F332"/>
    <mergeCell ref="A333:A334"/>
    <mergeCell ref="B333:B334"/>
    <mergeCell ref="C333:E333"/>
    <mergeCell ref="F333:G333"/>
    <mergeCell ref="A335:C335"/>
    <mergeCell ref="A336:C336"/>
    <mergeCell ref="A337:D337"/>
    <mergeCell ref="A338:D338"/>
    <mergeCell ref="A339:D339"/>
    <mergeCell ref="A340:D340"/>
    <mergeCell ref="A341:F341"/>
    <mergeCell ref="A342:A343"/>
    <mergeCell ref="B342:B343"/>
    <mergeCell ref="C342:E342"/>
    <mergeCell ref="F342:G342"/>
    <mergeCell ref="A344:G344"/>
    <mergeCell ref="F345:G345"/>
    <mergeCell ref="B346:G346"/>
    <mergeCell ref="A347:F347"/>
    <mergeCell ref="C280:E280"/>
    <mergeCell ref="A282:G282"/>
    <mergeCell ref="F283:G283"/>
    <mergeCell ref="B284:G284"/>
    <mergeCell ref="A285:F285"/>
    <mergeCell ref="A286:A287"/>
    <mergeCell ref="B286:B287"/>
    <mergeCell ref="A288:C288"/>
    <mergeCell ref="A289:C289"/>
    <mergeCell ref="A290:D290"/>
    <mergeCell ref="A291:D291"/>
    <mergeCell ref="A292:D292"/>
    <mergeCell ref="A293:D293"/>
    <mergeCell ref="A294:F294"/>
    <mergeCell ref="A348:A349"/>
    <mergeCell ref="B348:B349"/>
    <mergeCell ref="C348:E348"/>
    <mergeCell ref="F348:G348"/>
    <mergeCell ref="A350:C350"/>
    <mergeCell ref="A351:C351"/>
    <mergeCell ref="A352:D352"/>
    <mergeCell ref="A353:D353"/>
    <mergeCell ref="A354:D354"/>
    <mergeCell ref="A355:D355"/>
    <mergeCell ref="A356:F356"/>
    <mergeCell ref="B357:B358"/>
    <mergeCell ref="C357:E357"/>
    <mergeCell ref="F357:G357"/>
    <mergeCell ref="C361:E361"/>
    <mergeCell ref="F361:G361"/>
    <mergeCell ref="A357:A358"/>
    <mergeCell ref="A359:A360"/>
    <mergeCell ref="B359:B360"/>
    <mergeCell ref="C359:E359"/>
    <mergeCell ref="F359:G359"/>
    <mergeCell ref="B361:B362"/>
    <mergeCell ref="A363:F363"/>
    <mergeCell ref="C266:E266"/>
    <mergeCell ref="F266:G266"/>
    <mergeCell ref="C268:E268"/>
    <mergeCell ref="F268:G268"/>
    <mergeCell ref="A270:F270"/>
    <mergeCell ref="A257:C257"/>
    <mergeCell ref="A258:C258"/>
    <mergeCell ref="A259:D259"/>
    <mergeCell ref="A260:D260"/>
    <mergeCell ref="A261:D261"/>
    <mergeCell ref="A262:D262"/>
    <mergeCell ref="A263:F263"/>
    <mergeCell ref="A255:A256"/>
    <mergeCell ref="A264:A265"/>
    <mergeCell ref="B264:B265"/>
    <mergeCell ref="A266:A267"/>
    <mergeCell ref="B266:B267"/>
    <mergeCell ref="A268:A269"/>
    <mergeCell ref="B268:B269"/>
    <mergeCell ref="A271:A272"/>
    <mergeCell ref="B271:B272"/>
    <mergeCell ref="C271:E271"/>
    <mergeCell ref="F271:G271"/>
    <mergeCell ref="A273:C273"/>
    <mergeCell ref="A274:C274"/>
    <mergeCell ref="A275:D275"/>
    <mergeCell ref="A276:D276"/>
    <mergeCell ref="A277:D277"/>
    <mergeCell ref="A278:D278"/>
    <mergeCell ref="A279:F279"/>
    <mergeCell ref="A280:A281"/>
    <mergeCell ref="B280:B281"/>
    <mergeCell ref="F280:G280"/>
    <mergeCell ref="C286:E286"/>
    <mergeCell ref="F286:G286"/>
    <mergeCell ref="A361:A362"/>
    <mergeCell ref="A364:A365"/>
    <mergeCell ref="B364:B365"/>
    <mergeCell ref="C364:E364"/>
    <mergeCell ref="F364:G364"/>
    <mergeCell ref="A366:C366"/>
    <mergeCell ref="A367:C367"/>
    <mergeCell ref="C395:E395"/>
    <mergeCell ref="F395:G395"/>
    <mergeCell ref="A392:A393"/>
    <mergeCell ref="B392:B393"/>
    <mergeCell ref="C392:E392"/>
    <mergeCell ref="F392:G392"/>
    <mergeCell ref="A394:F394"/>
    <mergeCell ref="A395:A396"/>
    <mergeCell ref="B395:B396"/>
    <mergeCell ref="A404:A405"/>
    <mergeCell ref="B404:B405"/>
    <mergeCell ref="A397:C397"/>
    <mergeCell ref="A398:C398"/>
    <mergeCell ref="A399:D399"/>
    <mergeCell ref="A400:D400"/>
    <mergeCell ref="A401:D401"/>
    <mergeCell ref="A402:D402"/>
    <mergeCell ref="A403:F403"/>
    <mergeCell ref="B410:B411"/>
    <mergeCell ref="C410:E410"/>
    <mergeCell ref="C404:E404"/>
    <mergeCell ref="F404:G404"/>
    <mergeCell ref="A406:G406"/>
    <mergeCell ref="F407:G407"/>
    <mergeCell ref="B408:G408"/>
    <mergeCell ref="A409:F409"/>
    <mergeCell ref="F410:G410"/>
    <mergeCell ref="C435:E435"/>
    <mergeCell ref="A437:G437"/>
    <mergeCell ref="F438:G438"/>
    <mergeCell ref="B439:G439"/>
    <mergeCell ref="A440:F440"/>
    <mergeCell ref="A441:A442"/>
    <mergeCell ref="B441:B442"/>
    <mergeCell ref="A443:C443"/>
    <mergeCell ref="A444:C444"/>
    <mergeCell ref="A445:D445"/>
    <mergeCell ref="A446:D446"/>
    <mergeCell ref="A447:D447"/>
    <mergeCell ref="A448:D448"/>
    <mergeCell ref="A449:F449"/>
    <mergeCell ref="A503:A504"/>
    <mergeCell ref="B503:B504"/>
    <mergeCell ref="C503:E503"/>
    <mergeCell ref="F503:G503"/>
    <mergeCell ref="A505:C505"/>
    <mergeCell ref="A506:C506"/>
    <mergeCell ref="A507:D507"/>
    <mergeCell ref="A508:D508"/>
    <mergeCell ref="A509:D509"/>
    <mergeCell ref="A510:D510"/>
    <mergeCell ref="A511:F511"/>
    <mergeCell ref="B512:B513"/>
    <mergeCell ref="C512:E512"/>
    <mergeCell ref="F512:G512"/>
    <mergeCell ref="C516:E516"/>
    <mergeCell ref="F516:G516"/>
    <mergeCell ref="A512:A513"/>
    <mergeCell ref="A514:A515"/>
    <mergeCell ref="B514:B515"/>
    <mergeCell ref="C514:E514"/>
    <mergeCell ref="F514:G514"/>
    <mergeCell ref="B516:B517"/>
    <mergeCell ref="A518:F518"/>
    <mergeCell ref="C421:E421"/>
    <mergeCell ref="F421:G421"/>
    <mergeCell ref="C423:E423"/>
    <mergeCell ref="F423:G423"/>
    <mergeCell ref="A425:F425"/>
    <mergeCell ref="A412:C412"/>
    <mergeCell ref="A413:C413"/>
    <mergeCell ref="A414:D414"/>
    <mergeCell ref="A415:D415"/>
    <mergeCell ref="A416:D416"/>
    <mergeCell ref="A417:D417"/>
    <mergeCell ref="A418:F418"/>
    <mergeCell ref="A410:A411"/>
    <mergeCell ref="A419:A420"/>
    <mergeCell ref="B419:B420"/>
    <mergeCell ref="A421:A422"/>
    <mergeCell ref="B421:B422"/>
    <mergeCell ref="A423:A424"/>
    <mergeCell ref="B423:B424"/>
    <mergeCell ref="A426:A427"/>
    <mergeCell ref="B426:B427"/>
    <mergeCell ref="C426:E426"/>
    <mergeCell ref="F426:G426"/>
    <mergeCell ref="A428:C428"/>
    <mergeCell ref="A429:C429"/>
    <mergeCell ref="A430:D430"/>
    <mergeCell ref="A431:D431"/>
    <mergeCell ref="A432:D432"/>
    <mergeCell ref="A433:D433"/>
    <mergeCell ref="A434:F434"/>
    <mergeCell ref="A435:A436"/>
    <mergeCell ref="B435:B436"/>
    <mergeCell ref="F435:G435"/>
    <mergeCell ref="C441:E441"/>
    <mergeCell ref="F441:G441"/>
    <mergeCell ref="A516:A517"/>
    <mergeCell ref="A519:A520"/>
    <mergeCell ref="B519:B520"/>
    <mergeCell ref="C519:E519"/>
    <mergeCell ref="F519:G519"/>
    <mergeCell ref="A521:C521"/>
    <mergeCell ref="A522:C522"/>
    <mergeCell ref="C550:E550"/>
    <mergeCell ref="F550:G550"/>
    <mergeCell ref="A547:A548"/>
    <mergeCell ref="B547:B548"/>
    <mergeCell ref="C547:E547"/>
    <mergeCell ref="F547:G547"/>
    <mergeCell ref="A549:F549"/>
    <mergeCell ref="A550:A551"/>
    <mergeCell ref="B550:B551"/>
    <mergeCell ref="C528:E528"/>
    <mergeCell ref="F528:G528"/>
    <mergeCell ref="A523:D523"/>
    <mergeCell ref="A524:D524"/>
    <mergeCell ref="A525:D525"/>
    <mergeCell ref="A526:D526"/>
    <mergeCell ref="A527:F527"/>
    <mergeCell ref="A528:A529"/>
    <mergeCell ref="B528:B529"/>
    <mergeCell ref="A530:G530"/>
    <mergeCell ref="F531:G531"/>
    <mergeCell ref="B532:G532"/>
    <mergeCell ref="A533:F533"/>
    <mergeCell ref="A534:A535"/>
    <mergeCell ref="C534:E534"/>
    <mergeCell ref="F534:G534"/>
    <mergeCell ref="B534:B535"/>
    <mergeCell ref="A536:C536"/>
    <mergeCell ref="A537:C537"/>
    <mergeCell ref="A538:D538"/>
    <mergeCell ref="A539:D539"/>
    <mergeCell ref="A540:D540"/>
    <mergeCell ref="A541:D541"/>
    <mergeCell ref="C545:E545"/>
    <mergeCell ref="F545:G545"/>
    <mergeCell ref="A542:F542"/>
    <mergeCell ref="A543:A544"/>
    <mergeCell ref="B543:B544"/>
    <mergeCell ref="C543:E543"/>
    <mergeCell ref="F543:G543"/>
    <mergeCell ref="A545:A546"/>
    <mergeCell ref="B545:B546"/>
    <mergeCell ref="A552:C552"/>
    <mergeCell ref="A553:C553"/>
    <mergeCell ref="A554:D554"/>
    <mergeCell ref="A555:D555"/>
    <mergeCell ref="A556:D556"/>
    <mergeCell ref="A557:D557"/>
    <mergeCell ref="A558:F558"/>
    <mergeCell ref="C373:E373"/>
    <mergeCell ref="F373:G373"/>
    <mergeCell ref="A368:D368"/>
    <mergeCell ref="A369:D369"/>
    <mergeCell ref="A370:D370"/>
    <mergeCell ref="A371:D371"/>
    <mergeCell ref="A372:F372"/>
    <mergeCell ref="A373:A374"/>
    <mergeCell ref="B373:B374"/>
    <mergeCell ref="A375:G375"/>
    <mergeCell ref="F376:G376"/>
    <mergeCell ref="B377:G377"/>
    <mergeCell ref="A378:F378"/>
    <mergeCell ref="A379:A380"/>
    <mergeCell ref="C379:E379"/>
    <mergeCell ref="F379:G379"/>
    <mergeCell ref="B379:B380"/>
    <mergeCell ref="A381:C381"/>
    <mergeCell ref="A382:C382"/>
    <mergeCell ref="A383:D383"/>
    <mergeCell ref="A384:D384"/>
    <mergeCell ref="A385:D385"/>
    <mergeCell ref="A386:D386"/>
    <mergeCell ref="C390:E390"/>
    <mergeCell ref="F390:G390"/>
    <mergeCell ref="A387:F387"/>
    <mergeCell ref="A388:A389"/>
    <mergeCell ref="B388:B389"/>
    <mergeCell ref="C388:E388"/>
    <mergeCell ref="F388:G388"/>
    <mergeCell ref="A390:A391"/>
    <mergeCell ref="B390:B391"/>
    <mergeCell ref="C419:E419"/>
    <mergeCell ref="F419:G419"/>
    <mergeCell ref="C454:E454"/>
    <mergeCell ref="F454:G454"/>
    <mergeCell ref="A450:A451"/>
    <mergeCell ref="B450:B451"/>
    <mergeCell ref="C450:E450"/>
    <mergeCell ref="F450:G450"/>
    <mergeCell ref="B452:B453"/>
    <mergeCell ref="C452:E452"/>
    <mergeCell ref="F452:G452"/>
    <mergeCell ref="A452:A453"/>
    <mergeCell ref="A454:A455"/>
    <mergeCell ref="B454:B455"/>
    <mergeCell ref="A456:F456"/>
    <mergeCell ref="A457:A458"/>
    <mergeCell ref="C457:E457"/>
    <mergeCell ref="F457:G457"/>
    <mergeCell ref="B457:B458"/>
    <mergeCell ref="A459:C459"/>
    <mergeCell ref="A460:C460"/>
    <mergeCell ref="A461:D461"/>
    <mergeCell ref="A462:D462"/>
    <mergeCell ref="A463:D463"/>
    <mergeCell ref="A464:D464"/>
    <mergeCell ref="A465:F465"/>
    <mergeCell ref="A466:A467"/>
    <mergeCell ref="B466:B467"/>
    <mergeCell ref="C466:E466"/>
    <mergeCell ref="F466:G466"/>
    <mergeCell ref="A468:G468"/>
    <mergeCell ref="F469:G469"/>
    <mergeCell ref="B470:G470"/>
    <mergeCell ref="A471:F471"/>
    <mergeCell ref="A472:A473"/>
    <mergeCell ref="B472:B473"/>
    <mergeCell ref="C472:E472"/>
    <mergeCell ref="F472:G472"/>
    <mergeCell ref="A474:C474"/>
    <mergeCell ref="B481:B482"/>
    <mergeCell ref="C481:E481"/>
    <mergeCell ref="F481:G481"/>
    <mergeCell ref="A475:C475"/>
    <mergeCell ref="A476:D476"/>
    <mergeCell ref="A477:D477"/>
    <mergeCell ref="A478:D478"/>
    <mergeCell ref="A479:D479"/>
    <mergeCell ref="A480:F480"/>
    <mergeCell ref="A481:A482"/>
    <mergeCell ref="A483:A484"/>
    <mergeCell ref="B483:B484"/>
    <mergeCell ref="C483:E483"/>
    <mergeCell ref="F483:G483"/>
    <mergeCell ref="A485:A486"/>
    <mergeCell ref="B485:B486"/>
    <mergeCell ref="F485:G485"/>
    <mergeCell ref="C485:E485"/>
    <mergeCell ref="A487:F487"/>
    <mergeCell ref="A488:A489"/>
    <mergeCell ref="B488:B489"/>
    <mergeCell ref="C488:E488"/>
    <mergeCell ref="F488:G488"/>
    <mergeCell ref="A490:C490"/>
    <mergeCell ref="A491:C491"/>
    <mergeCell ref="A492:D492"/>
    <mergeCell ref="A493:D493"/>
    <mergeCell ref="A494:D494"/>
    <mergeCell ref="A495:D495"/>
    <mergeCell ref="A496:F496"/>
    <mergeCell ref="A497:A498"/>
    <mergeCell ref="B497:B498"/>
    <mergeCell ref="C497:E497"/>
    <mergeCell ref="F497:G497"/>
    <mergeCell ref="A499:G499"/>
    <mergeCell ref="F500:G500"/>
    <mergeCell ref="B501:G501"/>
    <mergeCell ref="A502:F502"/>
  </mergeCell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hidden="1" min="8" max="9" width="14.43"/>
  </cols>
  <sheetData>
    <row r="1">
      <c r="A1" s="111" t="s">
        <v>742</v>
      </c>
      <c r="B1" s="111" t="s">
        <v>745</v>
      </c>
      <c r="C1" s="112" t="s">
        <v>6</v>
      </c>
      <c r="D1" s="2"/>
      <c r="E1" s="3"/>
      <c r="F1" s="112" t="s">
        <v>746</v>
      </c>
      <c r="G1" s="3"/>
      <c r="H1" s="465"/>
      <c r="I1" s="465"/>
    </row>
    <row r="2">
      <c r="A2" s="20"/>
      <c r="B2" s="20"/>
      <c r="C2" s="115" t="s">
        <v>8</v>
      </c>
      <c r="D2" s="115" t="s">
        <v>9</v>
      </c>
      <c r="E2" s="115" t="s">
        <v>358</v>
      </c>
      <c r="F2" s="115" t="s">
        <v>11</v>
      </c>
      <c r="G2" s="115" t="s">
        <v>751</v>
      </c>
      <c r="H2" s="465"/>
      <c r="I2" s="465"/>
    </row>
    <row r="3">
      <c r="A3" s="466" t="s">
        <v>1726</v>
      </c>
      <c r="B3" s="2"/>
      <c r="C3" s="2"/>
      <c r="D3" s="2"/>
      <c r="E3" s="2"/>
      <c r="F3" s="2"/>
      <c r="G3" s="3"/>
      <c r="H3" s="465"/>
      <c r="I3" s="465"/>
    </row>
    <row r="4">
      <c r="A4" s="119"/>
      <c r="B4" s="120" t="s">
        <v>754</v>
      </c>
      <c r="C4" s="120" t="s">
        <v>22</v>
      </c>
      <c r="D4" s="120" t="s">
        <v>757</v>
      </c>
      <c r="E4" s="121">
        <v>10.0</v>
      </c>
      <c r="F4" s="467"/>
      <c r="G4" s="3"/>
      <c r="H4" s="465"/>
      <c r="I4" s="465"/>
    </row>
    <row r="5">
      <c r="A5" s="120" t="s">
        <v>761</v>
      </c>
      <c r="B5" s="123" t="s">
        <v>1675</v>
      </c>
      <c r="C5" s="2"/>
      <c r="D5" s="2"/>
      <c r="E5" s="2"/>
      <c r="F5" s="2"/>
      <c r="G5" s="3"/>
      <c r="H5" s="465"/>
      <c r="I5" s="465"/>
    </row>
    <row r="6">
      <c r="A6" s="124" t="s">
        <v>764</v>
      </c>
      <c r="B6" s="2"/>
      <c r="C6" s="2"/>
      <c r="D6" s="2"/>
      <c r="E6" s="2"/>
      <c r="F6" s="3"/>
      <c r="G6" s="125" t="s">
        <v>766</v>
      </c>
      <c r="H6" s="465"/>
      <c r="I6" s="465"/>
    </row>
    <row r="7">
      <c r="A7" s="126"/>
      <c r="B7" s="127" t="s">
        <v>1677</v>
      </c>
      <c r="C7" s="123" t="s">
        <v>1727</v>
      </c>
      <c r="D7" s="2"/>
      <c r="E7" s="3"/>
      <c r="F7" s="467"/>
      <c r="G7" s="3"/>
      <c r="H7" s="465"/>
      <c r="I7" s="465"/>
    </row>
    <row r="8">
      <c r="A8" s="20"/>
      <c r="B8" s="20"/>
      <c r="C8" s="120" t="s">
        <v>22</v>
      </c>
      <c r="D8" s="121">
        <v>11.5</v>
      </c>
      <c r="E8" s="121">
        <v>38.0</v>
      </c>
      <c r="F8" s="121">
        <f>D8*E8</f>
        <v>437</v>
      </c>
      <c r="G8" s="120" t="s">
        <v>772</v>
      </c>
      <c r="H8" s="465"/>
      <c r="I8" s="465"/>
    </row>
    <row r="9">
      <c r="A9" s="129" t="s">
        <v>42</v>
      </c>
      <c r="B9" s="2"/>
      <c r="C9" s="3"/>
      <c r="D9" s="121">
        <v>10.0</v>
      </c>
      <c r="E9" s="130" t="s">
        <v>22</v>
      </c>
      <c r="F9" s="121">
        <f>F8</f>
        <v>437</v>
      </c>
      <c r="G9" s="120"/>
      <c r="H9" s="465"/>
      <c r="I9" s="465"/>
    </row>
    <row r="10">
      <c r="A10" s="129" t="s">
        <v>800</v>
      </c>
      <c r="B10" s="2"/>
      <c r="C10" s="3"/>
      <c r="D10" s="121">
        <v>1.0</v>
      </c>
      <c r="E10" s="130" t="s">
        <v>22</v>
      </c>
      <c r="F10" s="121">
        <f>F9/D9</f>
        <v>43.7</v>
      </c>
      <c r="G10" s="120"/>
      <c r="H10" s="465"/>
      <c r="I10" s="465"/>
    </row>
    <row r="11">
      <c r="A11" s="133" t="s">
        <v>802</v>
      </c>
      <c r="B11" s="2"/>
      <c r="C11" s="2"/>
      <c r="D11" s="3"/>
      <c r="E11" s="121"/>
      <c r="F11" s="121">
        <f>F10*1%</f>
        <v>0.437</v>
      </c>
      <c r="G11" s="120"/>
      <c r="H11" s="465"/>
      <c r="I11" s="465"/>
    </row>
    <row r="12">
      <c r="A12" s="133" t="s">
        <v>42</v>
      </c>
      <c r="B12" s="2"/>
      <c r="C12" s="2"/>
      <c r="D12" s="3"/>
      <c r="E12" s="131"/>
      <c r="F12" s="121">
        <f>F10+F11</f>
        <v>44.137</v>
      </c>
      <c r="G12" s="120"/>
      <c r="H12" s="465"/>
      <c r="I12" s="465"/>
    </row>
    <row r="13">
      <c r="A13" s="133" t="s">
        <v>806</v>
      </c>
      <c r="B13" s="2"/>
      <c r="C13" s="2"/>
      <c r="D13" s="3"/>
      <c r="E13" s="121"/>
      <c r="F13" s="121">
        <f>F12*15%</f>
        <v>6.62055</v>
      </c>
      <c r="G13" s="120"/>
      <c r="H13" s="465"/>
      <c r="I13" s="465"/>
    </row>
    <row r="14">
      <c r="A14" s="133" t="s">
        <v>42</v>
      </c>
      <c r="B14" s="2"/>
      <c r="C14" s="2"/>
      <c r="D14" s="3"/>
      <c r="E14" s="131"/>
      <c r="F14" s="300">
        <f>round(F12+F13,2)</f>
        <v>50.76</v>
      </c>
      <c r="G14" s="120"/>
      <c r="H14" s="465"/>
      <c r="I14" s="465"/>
    </row>
    <row r="15">
      <c r="A15" s="124" t="s">
        <v>777</v>
      </c>
      <c r="B15" s="2"/>
      <c r="C15" s="2"/>
      <c r="D15" s="2"/>
      <c r="E15" s="2"/>
      <c r="F15" s="3"/>
      <c r="G15" s="125" t="s">
        <v>778</v>
      </c>
      <c r="H15" s="465"/>
      <c r="I15" s="465"/>
    </row>
    <row r="16">
      <c r="A16" s="127">
        <v>116.0</v>
      </c>
      <c r="B16" s="126"/>
      <c r="C16" s="123" t="s">
        <v>535</v>
      </c>
      <c r="D16" s="2"/>
      <c r="E16" s="3"/>
      <c r="F16" s="467"/>
      <c r="G16" s="3"/>
      <c r="H16" s="465"/>
      <c r="I16" s="465"/>
    </row>
    <row r="17">
      <c r="A17" s="20"/>
      <c r="B17" s="20"/>
      <c r="C17" s="120" t="s">
        <v>27</v>
      </c>
      <c r="D17" s="121">
        <v>0.33</v>
      </c>
      <c r="E17" s="121">
        <v>784.0</v>
      </c>
      <c r="F17" s="121">
        <f>D17*E17</f>
        <v>258.72</v>
      </c>
      <c r="G17" s="120" t="s">
        <v>780</v>
      </c>
      <c r="H17" s="465"/>
      <c r="I17" s="465"/>
    </row>
    <row r="18">
      <c r="A18" s="127">
        <v>117.0</v>
      </c>
      <c r="B18" s="126"/>
      <c r="C18" s="123" t="s">
        <v>856</v>
      </c>
      <c r="D18" s="2"/>
      <c r="E18" s="3"/>
      <c r="F18" s="467"/>
      <c r="G18" s="3"/>
      <c r="H18" s="465"/>
      <c r="I18" s="465"/>
    </row>
    <row r="19">
      <c r="A19" s="20"/>
      <c r="B19" s="20"/>
      <c r="C19" s="120" t="s">
        <v>27</v>
      </c>
      <c r="D19" s="121">
        <v>0.82</v>
      </c>
      <c r="E19" s="121">
        <v>714.0</v>
      </c>
      <c r="F19" s="121">
        <f>D19*E19</f>
        <v>585.48</v>
      </c>
      <c r="G19" s="120" t="s">
        <v>782</v>
      </c>
      <c r="H19" s="465"/>
      <c r="I19" s="465"/>
    </row>
    <row r="20">
      <c r="A20" s="127">
        <v>114.0</v>
      </c>
      <c r="B20" s="126"/>
      <c r="C20" s="123" t="s">
        <v>97</v>
      </c>
      <c r="D20" s="2"/>
      <c r="E20" s="3"/>
      <c r="F20" s="467"/>
      <c r="G20" s="3"/>
      <c r="H20" s="465"/>
      <c r="I20" s="465"/>
    </row>
    <row r="21">
      <c r="A21" s="20"/>
      <c r="B21" s="20"/>
      <c r="C21" s="120" t="s">
        <v>27</v>
      </c>
      <c r="D21" s="121">
        <v>0.66</v>
      </c>
      <c r="E21" s="121">
        <v>645.0</v>
      </c>
      <c r="F21" s="121">
        <f>D21*E21</f>
        <v>425.7</v>
      </c>
      <c r="G21" s="120" t="s">
        <v>791</v>
      </c>
      <c r="H21" s="465"/>
      <c r="I21" s="465"/>
    </row>
    <row r="22">
      <c r="A22" s="124" t="s">
        <v>843</v>
      </c>
      <c r="B22" s="2"/>
      <c r="C22" s="2"/>
      <c r="D22" s="2"/>
      <c r="E22" s="2"/>
      <c r="F22" s="3"/>
      <c r="G22" s="125" t="s">
        <v>778</v>
      </c>
      <c r="H22" s="465"/>
      <c r="I22" s="465"/>
    </row>
    <row r="23">
      <c r="A23" s="127">
        <v>9999.0</v>
      </c>
      <c r="B23" s="126"/>
      <c r="C23" s="123" t="s">
        <v>1737</v>
      </c>
      <c r="D23" s="2"/>
      <c r="E23" s="3"/>
      <c r="F23" s="467"/>
      <c r="G23" s="3"/>
      <c r="H23" s="465"/>
      <c r="I23" s="465"/>
    </row>
    <row r="24">
      <c r="A24" s="20"/>
      <c r="B24" s="20"/>
      <c r="C24" s="120" t="s">
        <v>107</v>
      </c>
      <c r="D24" s="121">
        <v>2.73</v>
      </c>
      <c r="E24" s="121">
        <v>2.12</v>
      </c>
      <c r="F24" s="121">
        <f>D24*E24</f>
        <v>5.7876</v>
      </c>
      <c r="G24" s="120" t="s">
        <v>846</v>
      </c>
      <c r="H24" s="465"/>
      <c r="I24" s="465"/>
    </row>
    <row r="25">
      <c r="A25" s="129" t="s">
        <v>42</v>
      </c>
      <c r="B25" s="2"/>
      <c r="C25" s="3"/>
      <c r="D25" s="121">
        <v>10.0</v>
      </c>
      <c r="E25" s="130" t="s">
        <v>22</v>
      </c>
      <c r="F25" s="470">
        <f>F17+F19+F21+F24</f>
        <v>1275.6876</v>
      </c>
      <c r="G25" s="131"/>
      <c r="H25" s="465"/>
      <c r="I25" s="465"/>
    </row>
    <row r="26">
      <c r="A26" s="129" t="s">
        <v>800</v>
      </c>
      <c r="B26" s="2"/>
      <c r="C26" s="3"/>
      <c r="D26" s="121">
        <v>1.0</v>
      </c>
      <c r="E26" s="130" t="s">
        <v>22</v>
      </c>
      <c r="F26" s="121">
        <f>F25/D25</f>
        <v>127.56876</v>
      </c>
      <c r="G26" s="131"/>
      <c r="H26" s="465"/>
      <c r="I26" s="465"/>
    </row>
    <row r="27">
      <c r="A27" s="133" t="s">
        <v>802</v>
      </c>
      <c r="B27" s="2"/>
      <c r="C27" s="2"/>
      <c r="D27" s="3"/>
      <c r="E27" s="121"/>
      <c r="F27" s="121">
        <f>F26*1%</f>
        <v>1.2756876</v>
      </c>
      <c r="G27" s="131"/>
      <c r="H27" s="465"/>
      <c r="I27" s="465"/>
    </row>
    <row r="28">
      <c r="A28" s="133" t="s">
        <v>42</v>
      </c>
      <c r="B28" s="2"/>
      <c r="C28" s="2"/>
      <c r="D28" s="3"/>
      <c r="E28" s="131"/>
      <c r="F28" s="121">
        <f>F26+F27</f>
        <v>128.8444476</v>
      </c>
      <c r="G28" s="131"/>
      <c r="H28" s="465"/>
      <c r="I28" s="465"/>
    </row>
    <row r="29">
      <c r="A29" s="133" t="s">
        <v>806</v>
      </c>
      <c r="B29" s="2"/>
      <c r="C29" s="2"/>
      <c r="D29" s="3"/>
      <c r="E29" s="121"/>
      <c r="F29" s="121">
        <f>F28*15%</f>
        <v>19.32666714</v>
      </c>
      <c r="G29" s="131"/>
      <c r="H29" s="465"/>
      <c r="I29" s="465"/>
    </row>
    <row r="30">
      <c r="A30" s="133" t="s">
        <v>42</v>
      </c>
      <c r="B30" s="2"/>
      <c r="C30" s="2"/>
      <c r="D30" s="3"/>
      <c r="E30" s="131"/>
      <c r="F30" s="300">
        <f>round(F28+F29,2)</f>
        <v>148.17</v>
      </c>
      <c r="G30" s="131"/>
      <c r="H30" s="465"/>
      <c r="I30" s="465"/>
    </row>
    <row r="31">
      <c r="A31" s="471" t="str">
        <f>CONCATENATE("Say ₹ ",F14," + ",F30," x Cost Index")</f>
        <v>Say ₹ 50.76 + 148.17 x Cost Index</v>
      </c>
      <c r="B31" s="2"/>
      <c r="C31" s="2"/>
      <c r="D31" s="2"/>
      <c r="E31" s="2"/>
      <c r="F31" s="3"/>
      <c r="G31" s="472" t="s">
        <v>939</v>
      </c>
      <c r="H31" s="473">
        <f>F8*1.01*1.15/10</f>
        <v>50.75755</v>
      </c>
      <c r="I31" s="473">
        <f>(F17+F19+F21+F24)*1.01*1.15/10</f>
        <v>148.1711147</v>
      </c>
    </row>
    <row r="32">
      <c r="A32" s="111" t="s">
        <v>742</v>
      </c>
      <c r="B32" s="111" t="s">
        <v>745</v>
      </c>
      <c r="C32" s="112" t="s">
        <v>6</v>
      </c>
      <c r="D32" s="2"/>
      <c r="E32" s="3"/>
      <c r="F32" s="112" t="s">
        <v>746</v>
      </c>
      <c r="G32" s="3"/>
      <c r="H32" s="465"/>
      <c r="I32" s="465"/>
    </row>
    <row r="33">
      <c r="A33" s="20"/>
      <c r="B33" s="20"/>
      <c r="C33" s="115" t="s">
        <v>8</v>
      </c>
      <c r="D33" s="115" t="s">
        <v>9</v>
      </c>
      <c r="E33" s="115" t="s">
        <v>358</v>
      </c>
      <c r="F33" s="115" t="s">
        <v>11</v>
      </c>
      <c r="G33" s="115" t="s">
        <v>751</v>
      </c>
      <c r="H33" s="465"/>
      <c r="I33" s="465"/>
    </row>
    <row r="34">
      <c r="A34" s="466" t="s">
        <v>1741</v>
      </c>
      <c r="B34" s="2"/>
      <c r="C34" s="2"/>
      <c r="D34" s="2"/>
      <c r="E34" s="2"/>
      <c r="F34" s="2"/>
      <c r="G34" s="3"/>
      <c r="H34" s="465"/>
      <c r="I34" s="465"/>
    </row>
    <row r="35">
      <c r="A35" s="119"/>
      <c r="B35" s="120" t="s">
        <v>754</v>
      </c>
      <c r="C35" s="120" t="s">
        <v>22</v>
      </c>
      <c r="D35" s="120" t="s">
        <v>757</v>
      </c>
      <c r="E35" s="121">
        <v>10.0</v>
      </c>
      <c r="F35" s="467"/>
      <c r="G35" s="3"/>
      <c r="H35" s="465"/>
      <c r="I35" s="465"/>
    </row>
    <row r="36">
      <c r="A36" s="120" t="s">
        <v>761</v>
      </c>
      <c r="B36" s="123" t="s">
        <v>519</v>
      </c>
      <c r="C36" s="2"/>
      <c r="D36" s="2"/>
      <c r="E36" s="2"/>
      <c r="F36" s="2"/>
      <c r="G36" s="3"/>
      <c r="H36" s="465"/>
      <c r="I36" s="465"/>
    </row>
    <row r="37">
      <c r="A37" s="124" t="s">
        <v>764</v>
      </c>
      <c r="B37" s="2"/>
      <c r="C37" s="2"/>
      <c r="D37" s="2"/>
      <c r="E37" s="2"/>
      <c r="F37" s="3"/>
      <c r="G37" s="125" t="s">
        <v>766</v>
      </c>
      <c r="H37" s="465"/>
      <c r="I37" s="465"/>
    </row>
    <row r="38">
      <c r="A38" s="126"/>
      <c r="B38" s="127" t="s">
        <v>1701</v>
      </c>
      <c r="C38" s="123" t="s">
        <v>1742</v>
      </c>
      <c r="D38" s="2"/>
      <c r="E38" s="3"/>
      <c r="F38" s="467"/>
      <c r="G38" s="3"/>
      <c r="H38" s="465"/>
      <c r="I38" s="465"/>
    </row>
    <row r="39">
      <c r="A39" s="20"/>
      <c r="B39" s="20"/>
      <c r="C39" s="120" t="s">
        <v>22</v>
      </c>
      <c r="D39" s="121">
        <v>11.5</v>
      </c>
      <c r="E39" s="121">
        <v>27.0</v>
      </c>
      <c r="F39" s="121">
        <f>E39*D39</f>
        <v>310.5</v>
      </c>
      <c r="G39" s="120" t="s">
        <v>772</v>
      </c>
      <c r="H39" s="465"/>
      <c r="I39" s="465"/>
    </row>
    <row r="40">
      <c r="A40" s="129" t="s">
        <v>42</v>
      </c>
      <c r="B40" s="2"/>
      <c r="C40" s="3"/>
      <c r="D40" s="121">
        <v>10.0</v>
      </c>
      <c r="E40" s="130" t="s">
        <v>22</v>
      </c>
      <c r="F40" s="121">
        <f>F39</f>
        <v>310.5</v>
      </c>
      <c r="G40" s="120"/>
      <c r="H40" s="465"/>
      <c r="I40" s="465"/>
    </row>
    <row r="41">
      <c r="A41" s="129" t="s">
        <v>800</v>
      </c>
      <c r="B41" s="2"/>
      <c r="C41" s="3"/>
      <c r="D41" s="121">
        <v>1.0</v>
      </c>
      <c r="E41" s="130" t="s">
        <v>22</v>
      </c>
      <c r="F41" s="121">
        <f>F40/D40</f>
        <v>31.05</v>
      </c>
      <c r="G41" s="120"/>
      <c r="H41" s="465"/>
      <c r="I41" s="465"/>
    </row>
    <row r="42">
      <c r="A42" s="133" t="s">
        <v>802</v>
      </c>
      <c r="B42" s="2"/>
      <c r="C42" s="2"/>
      <c r="D42" s="3"/>
      <c r="E42" s="121"/>
      <c r="F42" s="121">
        <f>F41*1%</f>
        <v>0.3105</v>
      </c>
      <c r="G42" s="120"/>
      <c r="H42" s="465"/>
      <c r="I42" s="465"/>
    </row>
    <row r="43">
      <c r="A43" s="133" t="s">
        <v>42</v>
      </c>
      <c r="B43" s="2"/>
      <c r="C43" s="2"/>
      <c r="D43" s="3"/>
      <c r="E43" s="131"/>
      <c r="F43" s="121">
        <f>F41+F42</f>
        <v>31.3605</v>
      </c>
      <c r="G43" s="120"/>
      <c r="H43" s="465"/>
      <c r="I43" s="465"/>
    </row>
    <row r="44">
      <c r="A44" s="133" t="s">
        <v>806</v>
      </c>
      <c r="B44" s="2"/>
      <c r="C44" s="2"/>
      <c r="D44" s="3"/>
      <c r="E44" s="121"/>
      <c r="F44" s="121">
        <f>F43*15%</f>
        <v>4.704075</v>
      </c>
      <c r="G44" s="120"/>
      <c r="H44" s="465"/>
      <c r="I44" s="465"/>
    </row>
    <row r="45">
      <c r="A45" s="133" t="s">
        <v>42</v>
      </c>
      <c r="B45" s="2"/>
      <c r="C45" s="2"/>
      <c r="D45" s="3"/>
      <c r="E45" s="131"/>
      <c r="F45" s="300">
        <f>round(F43+F44,2)</f>
        <v>36.06</v>
      </c>
      <c r="G45" s="120"/>
      <c r="H45" s="465"/>
      <c r="I45" s="465"/>
    </row>
    <row r="46">
      <c r="A46" s="124" t="s">
        <v>777</v>
      </c>
      <c r="B46" s="2"/>
      <c r="C46" s="2"/>
      <c r="D46" s="2"/>
      <c r="E46" s="2"/>
      <c r="F46" s="3"/>
      <c r="G46" s="125" t="s">
        <v>778</v>
      </c>
      <c r="H46" s="465"/>
      <c r="I46" s="465"/>
    </row>
    <row r="47">
      <c r="A47" s="127">
        <v>116.0</v>
      </c>
      <c r="B47" s="126"/>
      <c r="C47" s="123" t="s">
        <v>535</v>
      </c>
      <c r="D47" s="2"/>
      <c r="E47" s="3"/>
      <c r="F47" s="467"/>
      <c r="G47" s="3"/>
      <c r="H47" s="465"/>
      <c r="I47" s="465"/>
    </row>
    <row r="48">
      <c r="A48" s="20"/>
      <c r="B48" s="20"/>
      <c r="C48" s="120" t="s">
        <v>27</v>
      </c>
      <c r="D48" s="121">
        <v>0.33</v>
      </c>
      <c r="E48" s="121">
        <v>784.0</v>
      </c>
      <c r="F48" s="121">
        <f>E48*D48</f>
        <v>258.72</v>
      </c>
      <c r="G48" s="120" t="s">
        <v>780</v>
      </c>
      <c r="H48" s="465"/>
      <c r="I48" s="465"/>
    </row>
    <row r="49">
      <c r="A49" s="127">
        <v>117.0</v>
      </c>
      <c r="B49" s="126"/>
      <c r="C49" s="123" t="s">
        <v>856</v>
      </c>
      <c r="D49" s="2"/>
      <c r="E49" s="3"/>
      <c r="F49" s="467"/>
      <c r="G49" s="3"/>
      <c r="H49" s="465"/>
      <c r="I49" s="465"/>
    </row>
    <row r="50">
      <c r="A50" s="20"/>
      <c r="B50" s="20"/>
      <c r="C50" s="120" t="s">
        <v>27</v>
      </c>
      <c r="D50" s="121">
        <v>0.82</v>
      </c>
      <c r="E50" s="121">
        <v>714.0</v>
      </c>
      <c r="F50" s="121">
        <f>E50*D50</f>
        <v>585.48</v>
      </c>
      <c r="G50" s="120" t="s">
        <v>782</v>
      </c>
      <c r="H50" s="465"/>
      <c r="I50" s="465"/>
    </row>
    <row r="51">
      <c r="A51" s="127">
        <v>114.0</v>
      </c>
      <c r="B51" s="126"/>
      <c r="C51" s="123" t="s">
        <v>97</v>
      </c>
      <c r="D51" s="2"/>
      <c r="E51" s="3"/>
      <c r="F51" s="467"/>
      <c r="G51" s="3"/>
      <c r="H51" s="465"/>
      <c r="I51" s="465"/>
    </row>
    <row r="52">
      <c r="A52" s="20"/>
      <c r="B52" s="20"/>
      <c r="C52" s="120" t="s">
        <v>27</v>
      </c>
      <c r="D52" s="121">
        <v>0.66</v>
      </c>
      <c r="E52" s="121">
        <v>645.0</v>
      </c>
      <c r="F52" s="121">
        <f>E52*D52</f>
        <v>425.7</v>
      </c>
      <c r="G52" s="120" t="s">
        <v>791</v>
      </c>
      <c r="H52" s="465"/>
      <c r="I52" s="465"/>
    </row>
    <row r="53">
      <c r="A53" s="124" t="s">
        <v>843</v>
      </c>
      <c r="B53" s="2"/>
      <c r="C53" s="2"/>
      <c r="D53" s="2"/>
      <c r="E53" s="2"/>
      <c r="F53" s="3"/>
      <c r="G53" s="125" t="s">
        <v>778</v>
      </c>
      <c r="H53" s="465"/>
      <c r="I53" s="465"/>
    </row>
    <row r="54">
      <c r="A54" s="127">
        <v>9999.0</v>
      </c>
      <c r="B54" s="126"/>
      <c r="C54" s="123" t="s">
        <v>1750</v>
      </c>
      <c r="D54" s="2"/>
      <c r="E54" s="3"/>
      <c r="F54" s="467"/>
      <c r="G54" s="3"/>
      <c r="H54" s="465"/>
      <c r="I54" s="465"/>
    </row>
    <row r="55">
      <c r="A55" s="20"/>
      <c r="B55" s="20"/>
      <c r="C55" s="120" t="s">
        <v>107</v>
      </c>
      <c r="D55" s="121">
        <v>2.73</v>
      </c>
      <c r="E55" s="121">
        <v>2.12</v>
      </c>
      <c r="F55" s="121">
        <f>E55*D55</f>
        <v>5.7876</v>
      </c>
      <c r="G55" s="120" t="s">
        <v>846</v>
      </c>
      <c r="H55" s="465"/>
      <c r="I55" s="465"/>
    </row>
    <row r="56">
      <c r="A56" s="129" t="s">
        <v>42</v>
      </c>
      <c r="B56" s="2"/>
      <c r="C56" s="3"/>
      <c r="D56" s="121">
        <v>10.0</v>
      </c>
      <c r="E56" s="130" t="s">
        <v>22</v>
      </c>
      <c r="F56" s="470">
        <f>F48+F50+F52+F55</f>
        <v>1275.6876</v>
      </c>
      <c r="G56" s="131"/>
      <c r="H56" s="465"/>
      <c r="I56" s="465"/>
    </row>
    <row r="57">
      <c r="A57" s="129" t="s">
        <v>800</v>
      </c>
      <c r="B57" s="2"/>
      <c r="C57" s="3"/>
      <c r="D57" s="121">
        <v>1.0</v>
      </c>
      <c r="E57" s="130" t="s">
        <v>22</v>
      </c>
      <c r="F57" s="121">
        <f>F56/D56</f>
        <v>127.56876</v>
      </c>
      <c r="G57" s="131"/>
      <c r="H57" s="465"/>
      <c r="I57" s="465"/>
    </row>
    <row r="58">
      <c r="A58" s="133" t="s">
        <v>802</v>
      </c>
      <c r="B58" s="2"/>
      <c r="C58" s="2"/>
      <c r="D58" s="3"/>
      <c r="E58" s="121"/>
      <c r="F58" s="121">
        <f>F57*1%</f>
        <v>1.2756876</v>
      </c>
      <c r="G58" s="131"/>
      <c r="H58" s="465"/>
      <c r="I58" s="465"/>
    </row>
    <row r="59">
      <c r="A59" s="133" t="s">
        <v>42</v>
      </c>
      <c r="B59" s="2"/>
      <c r="C59" s="2"/>
      <c r="D59" s="3"/>
      <c r="E59" s="131"/>
      <c r="F59" s="121">
        <f>F57+F58</f>
        <v>128.8444476</v>
      </c>
      <c r="G59" s="131"/>
      <c r="H59" s="465"/>
      <c r="I59" s="465"/>
    </row>
    <row r="60">
      <c r="A60" s="133" t="s">
        <v>806</v>
      </c>
      <c r="B60" s="2"/>
      <c r="C60" s="2"/>
      <c r="D60" s="3"/>
      <c r="E60" s="121"/>
      <c r="F60" s="121">
        <f>F59*15%</f>
        <v>19.32666714</v>
      </c>
      <c r="G60" s="131"/>
      <c r="H60" s="465"/>
      <c r="I60" s="465"/>
    </row>
    <row r="61">
      <c r="A61" s="133" t="s">
        <v>42</v>
      </c>
      <c r="B61" s="2"/>
      <c r="C61" s="2"/>
      <c r="D61" s="3"/>
      <c r="E61" s="131"/>
      <c r="F61" s="300">
        <f>round(F59+F60,2)</f>
        <v>148.17</v>
      </c>
      <c r="G61" s="131"/>
      <c r="H61" s="465"/>
      <c r="I61" s="465"/>
    </row>
    <row r="62">
      <c r="A62" s="471" t="str">
        <f>CONCATENATE("Say ₹ ",F45," + ",F61," x Cost Index")</f>
        <v>Say ₹ 36.06 + 148.17 x Cost Index</v>
      </c>
      <c r="B62" s="2"/>
      <c r="C62" s="2"/>
      <c r="D62" s="2"/>
      <c r="E62" s="2"/>
      <c r="F62" s="3"/>
      <c r="G62" s="472" t="s">
        <v>939</v>
      </c>
      <c r="H62" s="473">
        <f>F39*1.01*1.15/10</f>
        <v>36.064575</v>
      </c>
      <c r="I62" s="473">
        <f>(F48+F50+F52+F55)*1.01*1.15/10</f>
        <v>148.1711147</v>
      </c>
    </row>
    <row r="63">
      <c r="A63" s="111" t="s">
        <v>742</v>
      </c>
      <c r="B63" s="111" t="s">
        <v>745</v>
      </c>
      <c r="C63" s="112" t="s">
        <v>6</v>
      </c>
      <c r="D63" s="2"/>
      <c r="E63" s="3"/>
      <c r="F63" s="112" t="s">
        <v>746</v>
      </c>
      <c r="G63" s="3"/>
      <c r="H63" s="465"/>
      <c r="I63" s="465"/>
    </row>
    <row r="64">
      <c r="A64" s="20"/>
      <c r="B64" s="20"/>
      <c r="C64" s="115" t="s">
        <v>8</v>
      </c>
      <c r="D64" s="115" t="s">
        <v>9</v>
      </c>
      <c r="E64" s="115" t="s">
        <v>358</v>
      </c>
      <c r="F64" s="115" t="s">
        <v>11</v>
      </c>
      <c r="G64" s="115" t="s">
        <v>751</v>
      </c>
      <c r="H64" s="465"/>
      <c r="I64" s="465"/>
    </row>
    <row r="65">
      <c r="A65" s="466" t="s">
        <v>1758</v>
      </c>
      <c r="B65" s="2"/>
      <c r="C65" s="2"/>
      <c r="D65" s="2"/>
      <c r="E65" s="2"/>
      <c r="F65" s="2"/>
      <c r="G65" s="3"/>
      <c r="H65" s="465"/>
      <c r="I65" s="465"/>
    </row>
    <row r="66">
      <c r="A66" s="119"/>
      <c r="B66" s="120" t="s">
        <v>754</v>
      </c>
      <c r="C66" s="120" t="s">
        <v>22</v>
      </c>
      <c r="D66" s="120" t="s">
        <v>757</v>
      </c>
      <c r="E66" s="121">
        <v>10.0</v>
      </c>
      <c r="F66" s="467"/>
      <c r="G66" s="3"/>
      <c r="H66" s="465"/>
      <c r="I66" s="465"/>
    </row>
    <row r="67">
      <c r="A67" s="120" t="s">
        <v>761</v>
      </c>
      <c r="B67" s="123" t="s">
        <v>519</v>
      </c>
      <c r="C67" s="2"/>
      <c r="D67" s="2"/>
      <c r="E67" s="2"/>
      <c r="F67" s="2"/>
      <c r="G67" s="3"/>
      <c r="H67" s="465"/>
      <c r="I67" s="465"/>
    </row>
    <row r="68">
      <c r="A68" s="124" t="s">
        <v>764</v>
      </c>
      <c r="B68" s="2"/>
      <c r="C68" s="2"/>
      <c r="D68" s="2"/>
      <c r="E68" s="2"/>
      <c r="F68" s="3"/>
      <c r="G68" s="125" t="s">
        <v>766</v>
      </c>
      <c r="H68" s="465"/>
      <c r="I68" s="465"/>
    </row>
    <row r="69">
      <c r="A69" s="126"/>
      <c r="B69" s="127" t="s">
        <v>1712</v>
      </c>
      <c r="C69" s="123" t="s">
        <v>1759</v>
      </c>
      <c r="D69" s="2"/>
      <c r="E69" s="3"/>
      <c r="F69" s="467"/>
      <c r="G69" s="3"/>
      <c r="H69" s="465"/>
      <c r="I69" s="465"/>
    </row>
    <row r="70">
      <c r="A70" s="20"/>
      <c r="B70" s="20"/>
      <c r="C70" s="120" t="s">
        <v>22</v>
      </c>
      <c r="D70" s="121">
        <v>11.5</v>
      </c>
      <c r="E70" s="121">
        <v>40.5</v>
      </c>
      <c r="F70" s="121">
        <f>E70*D70</f>
        <v>465.75</v>
      </c>
      <c r="G70" s="120" t="s">
        <v>772</v>
      </c>
      <c r="H70" s="465"/>
      <c r="I70" s="465"/>
    </row>
    <row r="71">
      <c r="A71" s="129" t="s">
        <v>42</v>
      </c>
      <c r="B71" s="2"/>
      <c r="C71" s="3"/>
      <c r="D71" s="121">
        <v>10.0</v>
      </c>
      <c r="E71" s="130" t="s">
        <v>22</v>
      </c>
      <c r="F71" s="121">
        <f>F70</f>
        <v>465.75</v>
      </c>
      <c r="G71" s="120"/>
      <c r="H71" s="465"/>
      <c r="I71" s="465"/>
    </row>
    <row r="72">
      <c r="A72" s="129" t="s">
        <v>800</v>
      </c>
      <c r="B72" s="2"/>
      <c r="C72" s="3"/>
      <c r="D72" s="121">
        <v>1.0</v>
      </c>
      <c r="E72" s="130" t="s">
        <v>22</v>
      </c>
      <c r="F72" s="121">
        <f>F71/D71</f>
        <v>46.575</v>
      </c>
      <c r="G72" s="120"/>
      <c r="H72" s="465"/>
      <c r="I72" s="465"/>
    </row>
    <row r="73">
      <c r="A73" s="133" t="s">
        <v>802</v>
      </c>
      <c r="B73" s="2"/>
      <c r="C73" s="2"/>
      <c r="D73" s="3"/>
      <c r="E73" s="121"/>
      <c r="F73" s="121">
        <f>F72*1%</f>
        <v>0.46575</v>
      </c>
      <c r="G73" s="120"/>
      <c r="H73" s="465"/>
      <c r="I73" s="465"/>
    </row>
    <row r="74">
      <c r="A74" s="133" t="s">
        <v>42</v>
      </c>
      <c r="B74" s="2"/>
      <c r="C74" s="2"/>
      <c r="D74" s="3"/>
      <c r="E74" s="131"/>
      <c r="F74" s="121">
        <f>F72+F73</f>
        <v>47.04075</v>
      </c>
      <c r="G74" s="120"/>
      <c r="H74" s="465"/>
      <c r="I74" s="465"/>
    </row>
    <row r="75">
      <c r="A75" s="133" t="s">
        <v>806</v>
      </c>
      <c r="B75" s="2"/>
      <c r="C75" s="2"/>
      <c r="D75" s="3"/>
      <c r="E75" s="121"/>
      <c r="F75" s="121">
        <f>F74*15%</f>
        <v>7.0561125</v>
      </c>
      <c r="G75" s="120"/>
      <c r="H75" s="465"/>
      <c r="I75" s="465"/>
    </row>
    <row r="76">
      <c r="A76" s="133" t="s">
        <v>42</v>
      </c>
      <c r="B76" s="2"/>
      <c r="C76" s="2"/>
      <c r="D76" s="3"/>
      <c r="E76" s="131"/>
      <c r="F76" s="300">
        <f>round(F74+F75,2)</f>
        <v>54.1</v>
      </c>
      <c r="G76" s="120"/>
      <c r="H76" s="465"/>
      <c r="I76" s="465"/>
    </row>
    <row r="77">
      <c r="A77" s="124" t="s">
        <v>777</v>
      </c>
      <c r="B77" s="2"/>
      <c r="C77" s="2"/>
      <c r="D77" s="2"/>
      <c r="E77" s="2"/>
      <c r="F77" s="3"/>
      <c r="G77" s="125" t="s">
        <v>778</v>
      </c>
      <c r="H77" s="465"/>
      <c r="I77" s="465"/>
    </row>
    <row r="78">
      <c r="A78" s="127">
        <v>116.0</v>
      </c>
      <c r="B78" s="126"/>
      <c r="C78" s="123" t="s">
        <v>535</v>
      </c>
      <c r="D78" s="2"/>
      <c r="E78" s="3"/>
      <c r="F78" s="467"/>
      <c r="G78" s="3"/>
      <c r="H78" s="465"/>
      <c r="I78" s="465"/>
    </row>
    <row r="79">
      <c r="A79" s="20"/>
      <c r="B79" s="20"/>
      <c r="C79" s="120" t="s">
        <v>27</v>
      </c>
      <c r="D79" s="121">
        <v>0.33</v>
      </c>
      <c r="E79" s="121">
        <v>784.0</v>
      </c>
      <c r="F79" s="121">
        <f>E79*D79</f>
        <v>258.72</v>
      </c>
      <c r="G79" s="120" t="s">
        <v>780</v>
      </c>
      <c r="H79" s="465"/>
      <c r="I79" s="465"/>
    </row>
    <row r="80">
      <c r="A80" s="127">
        <v>117.0</v>
      </c>
      <c r="B80" s="126"/>
      <c r="C80" s="123" t="s">
        <v>856</v>
      </c>
      <c r="D80" s="2"/>
      <c r="E80" s="3"/>
      <c r="F80" s="467"/>
      <c r="G80" s="3"/>
      <c r="H80" s="465"/>
      <c r="I80" s="465"/>
    </row>
    <row r="81">
      <c r="A81" s="20"/>
      <c r="B81" s="20"/>
      <c r="C81" s="120" t="s">
        <v>27</v>
      </c>
      <c r="D81" s="121">
        <v>0.98</v>
      </c>
      <c r="E81" s="121">
        <v>714.0</v>
      </c>
      <c r="F81" s="121">
        <f>E81*D81</f>
        <v>699.72</v>
      </c>
      <c r="G81" s="120" t="s">
        <v>782</v>
      </c>
      <c r="H81" s="465"/>
      <c r="I81" s="465"/>
    </row>
    <row r="82">
      <c r="A82" s="127">
        <v>114.0</v>
      </c>
      <c r="B82" s="126"/>
      <c r="C82" s="123" t="s">
        <v>97</v>
      </c>
      <c r="D82" s="2"/>
      <c r="E82" s="3"/>
      <c r="F82" s="467"/>
      <c r="G82" s="3"/>
      <c r="H82" s="465"/>
      <c r="I82" s="465"/>
    </row>
    <row r="83">
      <c r="A83" s="20"/>
      <c r="B83" s="20"/>
      <c r="C83" s="120" t="s">
        <v>27</v>
      </c>
      <c r="D83" s="121">
        <v>0.66</v>
      </c>
      <c r="E83" s="121">
        <v>645.0</v>
      </c>
      <c r="F83" s="121">
        <f>E83*D83</f>
        <v>425.7</v>
      </c>
      <c r="G83" s="120" t="s">
        <v>791</v>
      </c>
      <c r="H83" s="465"/>
      <c r="I83" s="465"/>
    </row>
    <row r="84">
      <c r="A84" s="124" t="s">
        <v>843</v>
      </c>
      <c r="B84" s="2"/>
      <c r="C84" s="2"/>
      <c r="D84" s="2"/>
      <c r="E84" s="2"/>
      <c r="F84" s="3"/>
      <c r="G84" s="125" t="s">
        <v>778</v>
      </c>
      <c r="H84" s="465"/>
      <c r="I84" s="465"/>
    </row>
    <row r="85">
      <c r="A85" s="127">
        <v>9999.0</v>
      </c>
      <c r="B85" s="126"/>
      <c r="C85" s="123" t="s">
        <v>1750</v>
      </c>
      <c r="D85" s="2"/>
      <c r="E85" s="3"/>
      <c r="F85" s="467"/>
      <c r="G85" s="3"/>
      <c r="H85" s="465"/>
      <c r="I85" s="465"/>
    </row>
    <row r="86">
      <c r="A86" s="20"/>
      <c r="B86" s="20"/>
      <c r="C86" s="120" t="s">
        <v>107</v>
      </c>
      <c r="D86" s="121">
        <v>2.73</v>
      </c>
      <c r="E86" s="121">
        <v>2.12</v>
      </c>
      <c r="F86" s="121">
        <f>E86*D86</f>
        <v>5.7876</v>
      </c>
      <c r="G86" s="120" t="s">
        <v>846</v>
      </c>
      <c r="H86" s="465"/>
      <c r="I86" s="465"/>
    </row>
    <row r="87">
      <c r="A87" s="129" t="s">
        <v>42</v>
      </c>
      <c r="B87" s="2"/>
      <c r="C87" s="3"/>
      <c r="D87" s="121">
        <v>10.0</v>
      </c>
      <c r="E87" s="130" t="s">
        <v>22</v>
      </c>
      <c r="F87" s="470">
        <f>F79+F81+F83+F86</f>
        <v>1389.9276</v>
      </c>
      <c r="G87" s="131"/>
      <c r="H87" s="465"/>
      <c r="I87" s="465"/>
    </row>
    <row r="88">
      <c r="A88" s="129" t="s">
        <v>800</v>
      </c>
      <c r="B88" s="2"/>
      <c r="C88" s="3"/>
      <c r="D88" s="121">
        <v>1.0</v>
      </c>
      <c r="E88" s="130" t="s">
        <v>22</v>
      </c>
      <c r="F88" s="121">
        <f>F87/D87</f>
        <v>138.99276</v>
      </c>
      <c r="G88" s="131"/>
      <c r="H88" s="465"/>
      <c r="I88" s="465"/>
    </row>
    <row r="89">
      <c r="A89" s="133" t="s">
        <v>802</v>
      </c>
      <c r="B89" s="2"/>
      <c r="C89" s="2"/>
      <c r="D89" s="3"/>
      <c r="E89" s="121"/>
      <c r="F89" s="121">
        <f>F88*1%</f>
        <v>1.3899276</v>
      </c>
      <c r="G89" s="131"/>
      <c r="H89" s="465"/>
      <c r="I89" s="465"/>
    </row>
    <row r="90">
      <c r="A90" s="133" t="s">
        <v>42</v>
      </c>
      <c r="B90" s="2"/>
      <c r="C90" s="2"/>
      <c r="D90" s="3"/>
      <c r="E90" s="131"/>
      <c r="F90" s="121">
        <f>F88+F89</f>
        <v>140.3826876</v>
      </c>
      <c r="G90" s="131"/>
      <c r="H90" s="465"/>
      <c r="I90" s="465"/>
    </row>
    <row r="91">
      <c r="A91" s="133" t="s">
        <v>806</v>
      </c>
      <c r="B91" s="2"/>
      <c r="C91" s="2"/>
      <c r="D91" s="3"/>
      <c r="E91" s="121"/>
      <c r="F91" s="121">
        <f>F90*15%</f>
        <v>21.05740314</v>
      </c>
      <c r="G91" s="131"/>
      <c r="H91" s="465"/>
      <c r="I91" s="465"/>
    </row>
    <row r="92">
      <c r="A92" s="133" t="s">
        <v>42</v>
      </c>
      <c r="B92" s="2"/>
      <c r="C92" s="2"/>
      <c r="D92" s="3"/>
      <c r="E92" s="131"/>
      <c r="F92" s="300">
        <f>round(F90+F91,2)</f>
        <v>161.44</v>
      </c>
      <c r="G92" s="131"/>
      <c r="H92" s="465"/>
      <c r="I92" s="465"/>
    </row>
    <row r="93">
      <c r="A93" s="471" t="str">
        <f>CONCATENATE("Say ₹ ",F76," + ",F92," x Cost Index")</f>
        <v>Say ₹ 54.1 + 161.44 x Cost Index</v>
      </c>
      <c r="B93" s="2"/>
      <c r="C93" s="2"/>
      <c r="D93" s="2"/>
      <c r="E93" s="2"/>
      <c r="F93" s="3"/>
      <c r="G93" s="472" t="s">
        <v>939</v>
      </c>
      <c r="H93" s="473">
        <f>F70*1.01*1.15/10</f>
        <v>54.0968625</v>
      </c>
      <c r="I93" s="473">
        <f>(F79+F81+F83+F86)*1.01*1.15/10</f>
        <v>161.4400907</v>
      </c>
    </row>
    <row r="94">
      <c r="A94" s="111" t="s">
        <v>742</v>
      </c>
      <c r="B94" s="111" t="s">
        <v>745</v>
      </c>
      <c r="C94" s="112" t="s">
        <v>6</v>
      </c>
      <c r="D94" s="2"/>
      <c r="E94" s="3"/>
      <c r="F94" s="112" t="s">
        <v>746</v>
      </c>
      <c r="G94" s="3"/>
      <c r="H94" s="465"/>
      <c r="I94" s="465"/>
    </row>
    <row r="95">
      <c r="A95" s="20"/>
      <c r="B95" s="20"/>
      <c r="C95" s="115" t="s">
        <v>8</v>
      </c>
      <c r="D95" s="115" t="s">
        <v>9</v>
      </c>
      <c r="E95" s="115" t="s">
        <v>358</v>
      </c>
      <c r="F95" s="115" t="s">
        <v>11</v>
      </c>
      <c r="G95" s="115" t="s">
        <v>751</v>
      </c>
      <c r="H95" s="465"/>
      <c r="I95" s="465"/>
    </row>
    <row r="96">
      <c r="A96" s="466" t="s">
        <v>1772</v>
      </c>
      <c r="B96" s="2"/>
      <c r="C96" s="2"/>
      <c r="D96" s="2"/>
      <c r="E96" s="2"/>
      <c r="F96" s="2"/>
      <c r="G96" s="3"/>
      <c r="H96" s="465"/>
      <c r="I96" s="465"/>
    </row>
    <row r="97">
      <c r="A97" s="119"/>
      <c r="B97" s="120" t="s">
        <v>754</v>
      </c>
      <c r="C97" s="120" t="s">
        <v>22</v>
      </c>
      <c r="D97" s="120" t="s">
        <v>757</v>
      </c>
      <c r="E97" s="121">
        <v>10.0</v>
      </c>
      <c r="F97" s="467"/>
      <c r="G97" s="3"/>
      <c r="H97" s="465"/>
      <c r="I97" s="465"/>
    </row>
    <row r="98">
      <c r="A98" s="120" t="s">
        <v>761</v>
      </c>
      <c r="B98" s="123" t="s">
        <v>519</v>
      </c>
      <c r="C98" s="2"/>
      <c r="D98" s="2"/>
      <c r="E98" s="2"/>
      <c r="F98" s="2"/>
      <c r="G98" s="3"/>
      <c r="H98" s="465"/>
      <c r="I98" s="465"/>
    </row>
    <row r="99">
      <c r="A99" s="124" t="s">
        <v>764</v>
      </c>
      <c r="B99" s="2"/>
      <c r="C99" s="2"/>
      <c r="D99" s="2"/>
      <c r="E99" s="2"/>
      <c r="F99" s="3"/>
      <c r="G99" s="125" t="s">
        <v>766</v>
      </c>
      <c r="H99" s="465"/>
      <c r="I99" s="465"/>
    </row>
    <row r="100">
      <c r="A100" s="126"/>
      <c r="B100" s="127" t="s">
        <v>1719</v>
      </c>
      <c r="C100" s="123" t="s">
        <v>1773</v>
      </c>
      <c r="D100" s="2"/>
      <c r="E100" s="3"/>
      <c r="F100" s="467"/>
      <c r="G100" s="3"/>
      <c r="H100" s="465"/>
      <c r="I100" s="465"/>
    </row>
    <row r="101">
      <c r="A101" s="20"/>
      <c r="B101" s="20"/>
      <c r="C101" s="120" t="s">
        <v>22</v>
      </c>
      <c r="D101" s="121">
        <v>11.5</v>
      </c>
      <c r="E101" s="121">
        <v>30.0</v>
      </c>
      <c r="F101" s="121">
        <f>E101*D101</f>
        <v>345</v>
      </c>
      <c r="G101" s="120" t="s">
        <v>772</v>
      </c>
      <c r="H101" s="465"/>
      <c r="I101" s="465"/>
    </row>
    <row r="102">
      <c r="A102" s="129" t="s">
        <v>42</v>
      </c>
      <c r="B102" s="2"/>
      <c r="C102" s="3"/>
      <c r="D102" s="121">
        <v>10.0</v>
      </c>
      <c r="E102" s="130" t="s">
        <v>22</v>
      </c>
      <c r="F102" s="121">
        <f>F101</f>
        <v>345</v>
      </c>
      <c r="G102" s="120"/>
      <c r="H102" s="465"/>
      <c r="I102" s="465"/>
    </row>
    <row r="103">
      <c r="A103" s="129" t="s">
        <v>800</v>
      </c>
      <c r="B103" s="2"/>
      <c r="C103" s="3"/>
      <c r="D103" s="121">
        <v>1.0</v>
      </c>
      <c r="E103" s="130" t="s">
        <v>22</v>
      </c>
      <c r="F103" s="121">
        <f>F102/D102</f>
        <v>34.5</v>
      </c>
      <c r="G103" s="120"/>
      <c r="H103" s="465"/>
      <c r="I103" s="465"/>
    </row>
    <row r="104">
      <c r="A104" s="133" t="s">
        <v>802</v>
      </c>
      <c r="B104" s="2"/>
      <c r="C104" s="2"/>
      <c r="D104" s="3"/>
      <c r="E104" s="121"/>
      <c r="F104" s="121">
        <f>F103*1%</f>
        <v>0.345</v>
      </c>
      <c r="G104" s="120"/>
      <c r="H104" s="465"/>
      <c r="I104" s="465"/>
    </row>
    <row r="105">
      <c r="A105" s="133" t="s">
        <v>42</v>
      </c>
      <c r="B105" s="2"/>
      <c r="C105" s="2"/>
      <c r="D105" s="3"/>
      <c r="E105" s="131"/>
      <c r="F105" s="121">
        <f>F103+F104</f>
        <v>34.845</v>
      </c>
      <c r="G105" s="120"/>
      <c r="H105" s="465"/>
      <c r="I105" s="465"/>
    </row>
    <row r="106">
      <c r="A106" s="133" t="s">
        <v>806</v>
      </c>
      <c r="B106" s="2"/>
      <c r="C106" s="2"/>
      <c r="D106" s="3"/>
      <c r="E106" s="121"/>
      <c r="F106" s="121">
        <f>F105*15%</f>
        <v>5.22675</v>
      </c>
      <c r="G106" s="120"/>
      <c r="H106" s="465"/>
      <c r="I106" s="465"/>
    </row>
    <row r="107">
      <c r="A107" s="133" t="s">
        <v>42</v>
      </c>
      <c r="B107" s="2"/>
      <c r="C107" s="2"/>
      <c r="D107" s="3"/>
      <c r="E107" s="131"/>
      <c r="F107" s="300">
        <f>round(F105+F106,2)</f>
        <v>40.07</v>
      </c>
      <c r="G107" s="120"/>
      <c r="H107" s="465"/>
      <c r="I107" s="465"/>
    </row>
    <row r="108">
      <c r="A108" s="124" t="s">
        <v>777</v>
      </c>
      <c r="B108" s="2"/>
      <c r="C108" s="2"/>
      <c r="D108" s="2"/>
      <c r="E108" s="2"/>
      <c r="F108" s="3"/>
      <c r="G108" s="125" t="s">
        <v>778</v>
      </c>
      <c r="H108" s="465"/>
      <c r="I108" s="465"/>
    </row>
    <row r="109">
      <c r="A109" s="127">
        <v>116.0</v>
      </c>
      <c r="B109" s="126"/>
      <c r="C109" s="123" t="s">
        <v>535</v>
      </c>
      <c r="D109" s="2"/>
      <c r="E109" s="3"/>
      <c r="F109" s="467"/>
      <c r="G109" s="3"/>
      <c r="H109" s="465"/>
      <c r="I109" s="465"/>
    </row>
    <row r="110">
      <c r="A110" s="20"/>
      <c r="B110" s="20"/>
      <c r="C110" s="120" t="s">
        <v>27</v>
      </c>
      <c r="D110" s="121">
        <v>0.33</v>
      </c>
      <c r="E110" s="121">
        <v>784.0</v>
      </c>
      <c r="F110" s="121">
        <f>E110*D110</f>
        <v>258.72</v>
      </c>
      <c r="G110" s="120" t="s">
        <v>780</v>
      </c>
      <c r="H110" s="465"/>
      <c r="I110" s="465"/>
    </row>
    <row r="111">
      <c r="A111" s="127">
        <v>117.0</v>
      </c>
      <c r="B111" s="126"/>
      <c r="C111" s="123" t="s">
        <v>856</v>
      </c>
      <c r="D111" s="2"/>
      <c r="E111" s="3"/>
      <c r="F111" s="467"/>
      <c r="G111" s="3"/>
      <c r="H111" s="465"/>
      <c r="I111" s="465"/>
    </row>
    <row r="112">
      <c r="A112" s="20"/>
      <c r="B112" s="20"/>
      <c r="C112" s="120" t="s">
        <v>27</v>
      </c>
      <c r="D112" s="121">
        <v>0.98</v>
      </c>
      <c r="E112" s="121">
        <v>714.0</v>
      </c>
      <c r="F112" s="121">
        <f>E112*D112</f>
        <v>699.72</v>
      </c>
      <c r="G112" s="120" t="s">
        <v>782</v>
      </c>
      <c r="H112" s="465"/>
      <c r="I112" s="465"/>
    </row>
    <row r="113">
      <c r="A113" s="127">
        <v>114.0</v>
      </c>
      <c r="B113" s="126"/>
      <c r="C113" s="123" t="s">
        <v>97</v>
      </c>
      <c r="D113" s="2"/>
      <c r="E113" s="3"/>
      <c r="F113" s="467"/>
      <c r="G113" s="3"/>
      <c r="H113" s="465"/>
      <c r="I113" s="465"/>
    </row>
    <row r="114">
      <c r="A114" s="20"/>
      <c r="B114" s="20"/>
      <c r="C114" s="120" t="s">
        <v>27</v>
      </c>
      <c r="D114" s="121">
        <v>0.66</v>
      </c>
      <c r="E114" s="121">
        <v>645.0</v>
      </c>
      <c r="F114" s="121">
        <f>E114*D114</f>
        <v>425.7</v>
      </c>
      <c r="G114" s="120" t="s">
        <v>791</v>
      </c>
      <c r="H114" s="465"/>
      <c r="I114" s="465"/>
    </row>
    <row r="115">
      <c r="A115" s="124" t="s">
        <v>843</v>
      </c>
      <c r="B115" s="2"/>
      <c r="C115" s="2"/>
      <c r="D115" s="2"/>
      <c r="E115" s="2"/>
      <c r="F115" s="3"/>
      <c r="G115" s="125" t="s">
        <v>778</v>
      </c>
      <c r="H115" s="465"/>
      <c r="I115" s="465"/>
    </row>
    <row r="116">
      <c r="A116" s="127">
        <v>9999.0</v>
      </c>
      <c r="B116" s="126"/>
      <c r="C116" s="123" t="s">
        <v>903</v>
      </c>
      <c r="D116" s="2"/>
      <c r="E116" s="3"/>
      <c r="F116" s="467"/>
      <c r="G116" s="3"/>
      <c r="H116" s="465"/>
      <c r="I116" s="465"/>
    </row>
    <row r="117">
      <c r="A117" s="20"/>
      <c r="B117" s="20"/>
      <c r="C117" s="120" t="s">
        <v>107</v>
      </c>
      <c r="D117" s="121">
        <v>2.73</v>
      </c>
      <c r="E117" s="121">
        <v>2.12</v>
      </c>
      <c r="F117" s="121">
        <f>E117*D117</f>
        <v>5.7876</v>
      </c>
      <c r="G117" s="120" t="s">
        <v>846</v>
      </c>
      <c r="H117" s="465"/>
      <c r="I117" s="465"/>
    </row>
    <row r="118">
      <c r="A118" s="129" t="s">
        <v>42</v>
      </c>
      <c r="B118" s="2"/>
      <c r="C118" s="3"/>
      <c r="D118" s="121">
        <v>10.0</v>
      </c>
      <c r="E118" s="130" t="s">
        <v>22</v>
      </c>
      <c r="F118" s="470">
        <f>F110+F112+F114+F117</f>
        <v>1389.9276</v>
      </c>
      <c r="G118" s="131"/>
      <c r="H118" s="465"/>
      <c r="I118" s="465"/>
    </row>
    <row r="119">
      <c r="A119" s="129" t="s">
        <v>800</v>
      </c>
      <c r="B119" s="2"/>
      <c r="C119" s="3"/>
      <c r="D119" s="121">
        <v>1.0</v>
      </c>
      <c r="E119" s="130" t="s">
        <v>22</v>
      </c>
      <c r="F119" s="121">
        <f>F118/D118</f>
        <v>138.99276</v>
      </c>
      <c r="G119" s="131"/>
      <c r="H119" s="465"/>
      <c r="I119" s="465"/>
    </row>
    <row r="120">
      <c r="A120" s="133" t="s">
        <v>802</v>
      </c>
      <c r="B120" s="2"/>
      <c r="C120" s="2"/>
      <c r="D120" s="3"/>
      <c r="E120" s="121"/>
      <c r="F120" s="121">
        <f>F119*1%</f>
        <v>1.3899276</v>
      </c>
      <c r="G120" s="131"/>
      <c r="H120" s="465"/>
      <c r="I120" s="465"/>
    </row>
    <row r="121">
      <c r="A121" s="133" t="s">
        <v>42</v>
      </c>
      <c r="B121" s="2"/>
      <c r="C121" s="2"/>
      <c r="D121" s="3"/>
      <c r="E121" s="131"/>
      <c r="F121" s="121">
        <f>F119+F120</f>
        <v>140.3826876</v>
      </c>
      <c r="G121" s="131"/>
      <c r="H121" s="465"/>
      <c r="I121" s="465"/>
    </row>
    <row r="122">
      <c r="A122" s="133" t="s">
        <v>806</v>
      </c>
      <c r="B122" s="2"/>
      <c r="C122" s="2"/>
      <c r="D122" s="3"/>
      <c r="E122" s="121"/>
      <c r="F122" s="121">
        <f>F121*15%</f>
        <v>21.05740314</v>
      </c>
      <c r="G122" s="131"/>
      <c r="H122" s="465"/>
      <c r="I122" s="465"/>
    </row>
    <row r="123">
      <c r="A123" s="133" t="s">
        <v>42</v>
      </c>
      <c r="B123" s="2"/>
      <c r="C123" s="2"/>
      <c r="D123" s="3"/>
      <c r="E123" s="131"/>
      <c r="F123" s="300">
        <f>round(F121+F122,2)</f>
        <v>161.44</v>
      </c>
      <c r="G123" s="131"/>
      <c r="H123" s="465"/>
      <c r="I123" s="465"/>
    </row>
    <row r="124">
      <c r="A124" s="471" t="str">
        <f>CONCATENATE("Say ₹ ",F107," + ",F123," x Cost Index")</f>
        <v>Say ₹ 40.07 + 161.44 x Cost Index</v>
      </c>
      <c r="B124" s="2"/>
      <c r="C124" s="2"/>
      <c r="D124" s="2"/>
      <c r="E124" s="2"/>
      <c r="F124" s="3"/>
      <c r="G124" s="472" t="s">
        <v>939</v>
      </c>
      <c r="H124" s="473">
        <f>F101*1.01*1.15/10</f>
        <v>40.07175</v>
      </c>
      <c r="I124" s="473">
        <f>(F110+F112+F114+F117)*1.01*1.15/10</f>
        <v>161.4400907</v>
      </c>
    </row>
    <row r="125">
      <c r="A125" s="111" t="s">
        <v>742</v>
      </c>
      <c r="B125" s="111" t="s">
        <v>745</v>
      </c>
      <c r="C125" s="112" t="s">
        <v>6</v>
      </c>
      <c r="D125" s="2"/>
      <c r="E125" s="3"/>
      <c r="F125" s="112" t="s">
        <v>746</v>
      </c>
      <c r="G125" s="3"/>
      <c r="H125" s="465"/>
      <c r="I125" s="465"/>
    </row>
    <row r="126">
      <c r="A126" s="20"/>
      <c r="B126" s="20"/>
      <c r="C126" s="115" t="s">
        <v>8</v>
      </c>
      <c r="D126" s="115" t="s">
        <v>9</v>
      </c>
      <c r="E126" s="115" t="s">
        <v>358</v>
      </c>
      <c r="F126" s="115" t="s">
        <v>11</v>
      </c>
      <c r="G126" s="115" t="s">
        <v>751</v>
      </c>
      <c r="H126" s="465"/>
      <c r="I126" s="465"/>
    </row>
    <row r="127">
      <c r="A127" s="466" t="s">
        <v>1784</v>
      </c>
      <c r="B127" s="2"/>
      <c r="C127" s="2"/>
      <c r="D127" s="2"/>
      <c r="E127" s="2"/>
      <c r="F127" s="2"/>
      <c r="G127" s="3"/>
      <c r="H127" s="465"/>
      <c r="I127" s="465"/>
    </row>
    <row r="128">
      <c r="A128" s="119"/>
      <c r="B128" s="120" t="s">
        <v>754</v>
      </c>
      <c r="C128" s="120" t="s">
        <v>22</v>
      </c>
      <c r="D128" s="120" t="s">
        <v>757</v>
      </c>
      <c r="E128" s="121">
        <v>10.0</v>
      </c>
      <c r="F128" s="467"/>
      <c r="G128" s="3"/>
      <c r="H128" s="465"/>
      <c r="I128" s="465"/>
    </row>
    <row r="129">
      <c r="A129" s="120" t="s">
        <v>761</v>
      </c>
      <c r="B129" s="123" t="s">
        <v>1729</v>
      </c>
      <c r="C129" s="2"/>
      <c r="D129" s="2"/>
      <c r="E129" s="2"/>
      <c r="F129" s="2"/>
      <c r="G129" s="3"/>
      <c r="H129" s="465"/>
      <c r="I129" s="465"/>
    </row>
    <row r="130">
      <c r="A130" s="124" t="s">
        <v>764</v>
      </c>
      <c r="B130" s="2"/>
      <c r="C130" s="2"/>
      <c r="D130" s="2"/>
      <c r="E130" s="2"/>
      <c r="F130" s="3"/>
      <c r="G130" s="125" t="s">
        <v>766</v>
      </c>
      <c r="H130" s="465"/>
      <c r="I130" s="465"/>
    </row>
    <row r="131">
      <c r="A131" s="126"/>
      <c r="B131" s="127" t="s">
        <v>1730</v>
      </c>
      <c r="C131" s="123" t="s">
        <v>1786</v>
      </c>
      <c r="D131" s="2"/>
      <c r="E131" s="3"/>
      <c r="F131" s="467"/>
      <c r="G131" s="3"/>
      <c r="H131" s="465"/>
      <c r="I131" s="465"/>
    </row>
    <row r="132">
      <c r="A132" s="20"/>
      <c r="B132" s="20"/>
      <c r="C132" s="120" t="s">
        <v>22</v>
      </c>
      <c r="D132" s="121">
        <v>11.5</v>
      </c>
      <c r="E132" s="121">
        <v>61.0</v>
      </c>
      <c r="F132" s="121">
        <f>E132*D132</f>
        <v>701.5</v>
      </c>
      <c r="G132" s="120" t="s">
        <v>772</v>
      </c>
      <c r="H132" s="465"/>
      <c r="I132" s="465"/>
    </row>
    <row r="133">
      <c r="A133" s="129" t="s">
        <v>42</v>
      </c>
      <c r="B133" s="2"/>
      <c r="C133" s="3"/>
      <c r="D133" s="121">
        <v>10.0</v>
      </c>
      <c r="E133" s="130" t="s">
        <v>22</v>
      </c>
      <c r="F133" s="121">
        <f>F132</f>
        <v>701.5</v>
      </c>
      <c r="G133" s="120"/>
      <c r="H133" s="465"/>
      <c r="I133" s="465"/>
    </row>
    <row r="134">
      <c r="A134" s="129" t="s">
        <v>800</v>
      </c>
      <c r="B134" s="2"/>
      <c r="C134" s="3"/>
      <c r="D134" s="121">
        <v>1.0</v>
      </c>
      <c r="E134" s="130" t="s">
        <v>22</v>
      </c>
      <c r="F134" s="121">
        <f>F133/D133</f>
        <v>70.15</v>
      </c>
      <c r="G134" s="120"/>
      <c r="H134" s="465"/>
      <c r="I134" s="465"/>
    </row>
    <row r="135">
      <c r="A135" s="133" t="s">
        <v>802</v>
      </c>
      <c r="B135" s="2"/>
      <c r="C135" s="2"/>
      <c r="D135" s="3"/>
      <c r="E135" s="121"/>
      <c r="F135" s="121">
        <f>F134*1%</f>
        <v>0.7015</v>
      </c>
      <c r="G135" s="120"/>
      <c r="H135" s="465"/>
      <c r="I135" s="465"/>
    </row>
    <row r="136">
      <c r="A136" s="133" t="s">
        <v>42</v>
      </c>
      <c r="B136" s="2"/>
      <c r="C136" s="2"/>
      <c r="D136" s="3"/>
      <c r="E136" s="131"/>
      <c r="F136" s="121">
        <f>F134+F135</f>
        <v>70.8515</v>
      </c>
      <c r="G136" s="120"/>
      <c r="H136" s="465"/>
      <c r="I136" s="465"/>
    </row>
    <row r="137">
      <c r="A137" s="133" t="s">
        <v>806</v>
      </c>
      <c r="B137" s="2"/>
      <c r="C137" s="2"/>
      <c r="D137" s="3"/>
      <c r="E137" s="121"/>
      <c r="F137" s="121">
        <f>F136*15%</f>
        <v>10.627725</v>
      </c>
      <c r="G137" s="120"/>
      <c r="H137" s="465"/>
      <c r="I137" s="465"/>
    </row>
    <row r="138">
      <c r="A138" s="133" t="s">
        <v>42</v>
      </c>
      <c r="B138" s="2"/>
      <c r="C138" s="2"/>
      <c r="D138" s="3"/>
      <c r="E138" s="131"/>
      <c r="F138" s="300">
        <f>round(F136+F137,2)</f>
        <v>81.48</v>
      </c>
      <c r="G138" s="120"/>
      <c r="H138" s="465"/>
      <c r="I138" s="465"/>
    </row>
    <row r="139">
      <c r="A139" s="124" t="s">
        <v>777</v>
      </c>
      <c r="B139" s="2"/>
      <c r="C139" s="2"/>
      <c r="D139" s="2"/>
      <c r="E139" s="2"/>
      <c r="F139" s="3"/>
      <c r="G139" s="125" t="s">
        <v>778</v>
      </c>
      <c r="H139" s="465"/>
      <c r="I139" s="465"/>
    </row>
    <row r="140">
      <c r="A140" s="127">
        <v>116.0</v>
      </c>
      <c r="B140" s="126"/>
      <c r="C140" s="123" t="s">
        <v>535</v>
      </c>
      <c r="D140" s="2"/>
      <c r="E140" s="3"/>
      <c r="F140" s="467"/>
      <c r="G140" s="3"/>
      <c r="H140" s="465"/>
      <c r="I140" s="465"/>
    </row>
    <row r="141">
      <c r="A141" s="20"/>
      <c r="B141" s="20"/>
      <c r="C141" s="120" t="s">
        <v>27</v>
      </c>
      <c r="D141" s="121">
        <v>0.33</v>
      </c>
      <c r="E141" s="121">
        <v>784.0</v>
      </c>
      <c r="F141" s="121">
        <f>E141*D141</f>
        <v>258.72</v>
      </c>
      <c r="G141" s="120" t="s">
        <v>780</v>
      </c>
      <c r="H141" s="465"/>
      <c r="I141" s="465"/>
    </row>
    <row r="142">
      <c r="A142" s="127">
        <v>117.0</v>
      </c>
      <c r="B142" s="126"/>
      <c r="C142" s="123" t="s">
        <v>856</v>
      </c>
      <c r="D142" s="2"/>
      <c r="E142" s="3"/>
      <c r="F142" s="467"/>
      <c r="G142" s="3"/>
      <c r="H142" s="465"/>
      <c r="I142" s="465"/>
    </row>
    <row r="143">
      <c r="A143" s="20"/>
      <c r="B143" s="20"/>
      <c r="C143" s="120" t="s">
        <v>27</v>
      </c>
      <c r="D143" s="121">
        <v>0.98</v>
      </c>
      <c r="E143" s="121">
        <v>714.0</v>
      </c>
      <c r="F143" s="121">
        <f>E143*D143</f>
        <v>699.72</v>
      </c>
      <c r="G143" s="120" t="s">
        <v>782</v>
      </c>
      <c r="H143" s="465"/>
      <c r="I143" s="465"/>
    </row>
    <row r="144">
      <c r="A144" s="127">
        <v>114.0</v>
      </c>
      <c r="B144" s="126"/>
      <c r="C144" s="123" t="s">
        <v>97</v>
      </c>
      <c r="D144" s="2"/>
      <c r="E144" s="3"/>
      <c r="F144" s="467"/>
      <c r="G144" s="3"/>
      <c r="H144" s="465"/>
      <c r="I144" s="465"/>
    </row>
    <row r="145">
      <c r="A145" s="20"/>
      <c r="B145" s="20"/>
      <c r="C145" s="120" t="s">
        <v>27</v>
      </c>
      <c r="D145" s="121">
        <v>0.66</v>
      </c>
      <c r="E145" s="121">
        <v>645.0</v>
      </c>
      <c r="F145" s="121">
        <f>E145*D145</f>
        <v>425.7</v>
      </c>
      <c r="G145" s="120" t="s">
        <v>791</v>
      </c>
      <c r="H145" s="465"/>
      <c r="I145" s="465"/>
    </row>
    <row r="146">
      <c r="A146" s="124" t="s">
        <v>843</v>
      </c>
      <c r="B146" s="2"/>
      <c r="C146" s="2"/>
      <c r="D146" s="2"/>
      <c r="E146" s="2"/>
      <c r="F146" s="3"/>
      <c r="G146" s="125" t="s">
        <v>778</v>
      </c>
      <c r="H146" s="465"/>
      <c r="I146" s="465"/>
    </row>
    <row r="147">
      <c r="A147" s="127">
        <v>9999.0</v>
      </c>
      <c r="B147" s="126"/>
      <c r="C147" s="123" t="s">
        <v>1750</v>
      </c>
      <c r="D147" s="2"/>
      <c r="E147" s="3"/>
      <c r="F147" s="467"/>
      <c r="G147" s="3"/>
      <c r="H147" s="465"/>
      <c r="I147" s="465"/>
    </row>
    <row r="148">
      <c r="A148" s="20"/>
      <c r="B148" s="20"/>
      <c r="C148" s="120" t="s">
        <v>107</v>
      </c>
      <c r="D148" s="121">
        <v>2.73</v>
      </c>
      <c r="E148" s="121">
        <v>2.12</v>
      </c>
      <c r="F148" s="121">
        <f>E148*D148</f>
        <v>5.7876</v>
      </c>
      <c r="G148" s="120" t="s">
        <v>846</v>
      </c>
      <c r="H148" s="465"/>
      <c r="I148" s="465"/>
    </row>
    <row r="149">
      <c r="A149" s="129" t="s">
        <v>42</v>
      </c>
      <c r="B149" s="2"/>
      <c r="C149" s="3"/>
      <c r="D149" s="121">
        <v>10.0</v>
      </c>
      <c r="E149" s="130" t="s">
        <v>22</v>
      </c>
      <c r="F149" s="470">
        <f>F141+F143+F145+F148</f>
        <v>1389.9276</v>
      </c>
      <c r="G149" s="131"/>
      <c r="H149" s="465"/>
      <c r="I149" s="465"/>
    </row>
    <row r="150">
      <c r="A150" s="129" t="s">
        <v>800</v>
      </c>
      <c r="B150" s="2"/>
      <c r="C150" s="3"/>
      <c r="D150" s="121">
        <v>1.0</v>
      </c>
      <c r="E150" s="130" t="s">
        <v>22</v>
      </c>
      <c r="F150" s="121">
        <f>F149/D149</f>
        <v>138.99276</v>
      </c>
      <c r="G150" s="131"/>
      <c r="H150" s="465"/>
      <c r="I150" s="465"/>
    </row>
    <row r="151">
      <c r="A151" s="133" t="s">
        <v>802</v>
      </c>
      <c r="B151" s="2"/>
      <c r="C151" s="2"/>
      <c r="D151" s="3"/>
      <c r="E151" s="121"/>
      <c r="F151" s="121">
        <f>F150*1%</f>
        <v>1.3899276</v>
      </c>
      <c r="G151" s="131"/>
      <c r="H151" s="465"/>
      <c r="I151" s="465"/>
    </row>
    <row r="152">
      <c r="A152" s="133" t="s">
        <v>42</v>
      </c>
      <c r="B152" s="2"/>
      <c r="C152" s="2"/>
      <c r="D152" s="3"/>
      <c r="E152" s="131"/>
      <c r="F152" s="121">
        <f>F150+F151</f>
        <v>140.3826876</v>
      </c>
      <c r="G152" s="131"/>
      <c r="H152" s="465"/>
      <c r="I152" s="465"/>
    </row>
    <row r="153">
      <c r="A153" s="133" t="s">
        <v>806</v>
      </c>
      <c r="B153" s="2"/>
      <c r="C153" s="2"/>
      <c r="D153" s="3"/>
      <c r="E153" s="121"/>
      <c r="F153" s="121">
        <f>F152*15%</f>
        <v>21.05740314</v>
      </c>
      <c r="G153" s="131"/>
      <c r="H153" s="465"/>
      <c r="I153" s="465"/>
    </row>
    <row r="154">
      <c r="A154" s="133" t="s">
        <v>42</v>
      </c>
      <c r="B154" s="2"/>
      <c r="C154" s="2"/>
      <c r="D154" s="3"/>
      <c r="E154" s="131"/>
      <c r="F154" s="300">
        <f>round(F152+F153,2)</f>
        <v>161.44</v>
      </c>
      <c r="G154" s="131"/>
      <c r="H154" s="465"/>
      <c r="I154" s="465"/>
    </row>
    <row r="155">
      <c r="A155" s="471" t="str">
        <f>CONCATENATE("Say ₹ ",F138," + ",F154," x Cost Index")</f>
        <v>Say ₹ 81.48 + 161.44 x Cost Index</v>
      </c>
      <c r="B155" s="2"/>
      <c r="C155" s="2"/>
      <c r="D155" s="2"/>
      <c r="E155" s="2"/>
      <c r="F155" s="3"/>
      <c r="G155" s="472" t="s">
        <v>939</v>
      </c>
      <c r="H155" s="473">
        <f>F132*1.01*1.15/10</f>
        <v>81.479225</v>
      </c>
      <c r="I155" s="473">
        <f>(F141+F143+F145+F148)*1.01*1.15/10</f>
        <v>161.4400907</v>
      </c>
    </row>
    <row r="156">
      <c r="A156" s="111" t="s">
        <v>742</v>
      </c>
      <c r="B156" s="111" t="s">
        <v>745</v>
      </c>
      <c r="C156" s="112" t="s">
        <v>6</v>
      </c>
      <c r="D156" s="2"/>
      <c r="E156" s="3"/>
      <c r="F156" s="112" t="s">
        <v>746</v>
      </c>
      <c r="G156" s="3"/>
      <c r="H156" s="465"/>
      <c r="I156" s="465"/>
    </row>
    <row r="157">
      <c r="A157" s="20"/>
      <c r="B157" s="20"/>
      <c r="C157" s="115" t="s">
        <v>8</v>
      </c>
      <c r="D157" s="115" t="s">
        <v>9</v>
      </c>
      <c r="E157" s="115" t="s">
        <v>358</v>
      </c>
      <c r="F157" s="115" t="s">
        <v>11</v>
      </c>
      <c r="G157" s="115" t="s">
        <v>751</v>
      </c>
      <c r="H157" s="465"/>
      <c r="I157" s="465"/>
    </row>
    <row r="158">
      <c r="A158" s="466" t="s">
        <v>1800</v>
      </c>
      <c r="B158" s="2"/>
      <c r="C158" s="2"/>
      <c r="D158" s="2"/>
      <c r="E158" s="2"/>
      <c r="F158" s="2"/>
      <c r="G158" s="3"/>
      <c r="H158" s="465"/>
      <c r="I158" s="465"/>
    </row>
    <row r="159">
      <c r="A159" s="119"/>
      <c r="B159" s="120" t="s">
        <v>754</v>
      </c>
      <c r="C159" s="120" t="s">
        <v>22</v>
      </c>
      <c r="D159" s="120" t="s">
        <v>757</v>
      </c>
      <c r="E159" s="121">
        <v>10.0</v>
      </c>
      <c r="F159" s="467"/>
      <c r="G159" s="3"/>
      <c r="H159" s="465"/>
      <c r="I159" s="465"/>
    </row>
    <row r="160">
      <c r="A160" s="120" t="s">
        <v>761</v>
      </c>
      <c r="B160" s="123" t="s">
        <v>519</v>
      </c>
      <c r="C160" s="2"/>
      <c r="D160" s="2"/>
      <c r="E160" s="2"/>
      <c r="F160" s="2"/>
      <c r="G160" s="3"/>
      <c r="H160" s="465"/>
      <c r="I160" s="465"/>
    </row>
    <row r="161">
      <c r="A161" s="124" t="s">
        <v>764</v>
      </c>
      <c r="B161" s="2"/>
      <c r="C161" s="2"/>
      <c r="D161" s="2"/>
      <c r="E161" s="2"/>
      <c r="F161" s="3"/>
      <c r="G161" s="125" t="s">
        <v>766</v>
      </c>
      <c r="H161" s="465"/>
      <c r="I161" s="465"/>
    </row>
    <row r="162">
      <c r="A162" s="126"/>
      <c r="B162" s="127" t="s">
        <v>1739</v>
      </c>
      <c r="C162" s="123" t="s">
        <v>1803</v>
      </c>
      <c r="D162" s="2"/>
      <c r="E162" s="3"/>
      <c r="F162" s="467"/>
      <c r="G162" s="3"/>
      <c r="H162" s="465"/>
      <c r="I162" s="465"/>
    </row>
    <row r="163">
      <c r="A163" s="20"/>
      <c r="B163" s="20"/>
      <c r="C163" s="120" t="s">
        <v>22</v>
      </c>
      <c r="D163" s="121">
        <v>11.5</v>
      </c>
      <c r="E163" s="121">
        <v>48.0</v>
      </c>
      <c r="F163" s="121">
        <f>E163*D163</f>
        <v>552</v>
      </c>
      <c r="G163" s="120" t="s">
        <v>772</v>
      </c>
      <c r="H163" s="465"/>
      <c r="I163" s="465"/>
    </row>
    <row r="164">
      <c r="A164" s="129" t="s">
        <v>42</v>
      </c>
      <c r="B164" s="2"/>
      <c r="C164" s="3"/>
      <c r="D164" s="121">
        <v>10.0</v>
      </c>
      <c r="E164" s="130" t="s">
        <v>22</v>
      </c>
      <c r="F164" s="121">
        <f>F163</f>
        <v>552</v>
      </c>
      <c r="G164" s="120"/>
      <c r="H164" s="465"/>
      <c r="I164" s="465"/>
    </row>
    <row r="165">
      <c r="A165" s="129" t="s">
        <v>800</v>
      </c>
      <c r="B165" s="2"/>
      <c r="C165" s="3"/>
      <c r="D165" s="121">
        <v>1.0</v>
      </c>
      <c r="E165" s="130" t="s">
        <v>22</v>
      </c>
      <c r="F165" s="121">
        <f>F164/D164</f>
        <v>55.2</v>
      </c>
      <c r="G165" s="120"/>
      <c r="H165" s="465"/>
      <c r="I165" s="465"/>
    </row>
    <row r="166">
      <c r="A166" s="133" t="s">
        <v>802</v>
      </c>
      <c r="B166" s="2"/>
      <c r="C166" s="2"/>
      <c r="D166" s="3"/>
      <c r="E166" s="121"/>
      <c r="F166" s="121">
        <f>F165*1%</f>
        <v>0.552</v>
      </c>
      <c r="G166" s="120"/>
      <c r="H166" s="465"/>
      <c r="I166" s="465"/>
    </row>
    <row r="167">
      <c r="A167" s="133" t="s">
        <v>42</v>
      </c>
      <c r="B167" s="2"/>
      <c r="C167" s="2"/>
      <c r="D167" s="3"/>
      <c r="E167" s="131"/>
      <c r="F167" s="121">
        <f>F165+F166</f>
        <v>55.752</v>
      </c>
      <c r="G167" s="120"/>
      <c r="H167" s="465"/>
      <c r="I167" s="465"/>
    </row>
    <row r="168">
      <c r="A168" s="133" t="s">
        <v>806</v>
      </c>
      <c r="B168" s="2"/>
      <c r="C168" s="2"/>
      <c r="D168" s="3"/>
      <c r="E168" s="121"/>
      <c r="F168" s="121">
        <f>F167*15%</f>
        <v>8.3628</v>
      </c>
      <c r="G168" s="120"/>
      <c r="H168" s="465"/>
      <c r="I168" s="465"/>
    </row>
    <row r="169">
      <c r="A169" s="133" t="s">
        <v>42</v>
      </c>
      <c r="B169" s="2"/>
      <c r="C169" s="2"/>
      <c r="D169" s="3"/>
      <c r="E169" s="131"/>
      <c r="F169" s="300">
        <f>round(F167+F168,2)</f>
        <v>64.11</v>
      </c>
      <c r="G169" s="120"/>
      <c r="H169" s="465"/>
      <c r="I169" s="465"/>
    </row>
    <row r="170">
      <c r="A170" s="124" t="s">
        <v>777</v>
      </c>
      <c r="B170" s="2"/>
      <c r="C170" s="2"/>
      <c r="D170" s="2"/>
      <c r="E170" s="2"/>
      <c r="F170" s="3"/>
      <c r="G170" s="125" t="s">
        <v>778</v>
      </c>
      <c r="H170" s="465"/>
      <c r="I170" s="465"/>
    </row>
    <row r="171">
      <c r="A171" s="127">
        <v>116.0</v>
      </c>
      <c r="B171" s="126"/>
      <c r="C171" s="123" t="s">
        <v>535</v>
      </c>
      <c r="D171" s="2"/>
      <c r="E171" s="3"/>
      <c r="F171" s="467"/>
      <c r="G171" s="3"/>
      <c r="H171" s="465"/>
      <c r="I171" s="465"/>
    </row>
    <row r="172">
      <c r="A172" s="20"/>
      <c r="B172" s="20"/>
      <c r="C172" s="120" t="s">
        <v>27</v>
      </c>
      <c r="D172" s="121">
        <v>0.33</v>
      </c>
      <c r="E172" s="121">
        <v>784.0</v>
      </c>
      <c r="F172" s="121">
        <f>E172*D172</f>
        <v>258.72</v>
      </c>
      <c r="G172" s="120" t="s">
        <v>780</v>
      </c>
      <c r="H172" s="465"/>
      <c r="I172" s="465"/>
    </row>
    <row r="173">
      <c r="A173" s="127">
        <v>117.0</v>
      </c>
      <c r="B173" s="126"/>
      <c r="C173" s="123" t="s">
        <v>856</v>
      </c>
      <c r="D173" s="2"/>
      <c r="E173" s="3"/>
      <c r="F173" s="467"/>
      <c r="G173" s="3"/>
      <c r="H173" s="465"/>
      <c r="I173" s="465"/>
    </row>
    <row r="174">
      <c r="A174" s="20"/>
      <c r="B174" s="20"/>
      <c r="C174" s="120" t="s">
        <v>27</v>
      </c>
      <c r="D174" s="121">
        <v>0.98</v>
      </c>
      <c r="E174" s="121">
        <v>714.0</v>
      </c>
      <c r="F174" s="121">
        <f>E174*D174</f>
        <v>699.72</v>
      </c>
      <c r="G174" s="120" t="s">
        <v>782</v>
      </c>
      <c r="H174" s="465"/>
      <c r="I174" s="465"/>
    </row>
    <row r="175">
      <c r="A175" s="127">
        <v>114.0</v>
      </c>
      <c r="B175" s="126"/>
      <c r="C175" s="123" t="s">
        <v>97</v>
      </c>
      <c r="D175" s="2"/>
      <c r="E175" s="3"/>
      <c r="F175" s="467"/>
      <c r="G175" s="3"/>
      <c r="H175" s="465"/>
      <c r="I175" s="465"/>
    </row>
    <row r="176">
      <c r="A176" s="20"/>
      <c r="B176" s="20"/>
      <c r="C176" s="120" t="s">
        <v>27</v>
      </c>
      <c r="D176" s="121">
        <v>0.66</v>
      </c>
      <c r="E176" s="121">
        <v>645.0</v>
      </c>
      <c r="F176" s="121">
        <f>E176*D176</f>
        <v>425.7</v>
      </c>
      <c r="G176" s="120" t="s">
        <v>791</v>
      </c>
      <c r="H176" s="465"/>
      <c r="I176" s="465"/>
    </row>
    <row r="177">
      <c r="A177" s="124" t="s">
        <v>843</v>
      </c>
      <c r="B177" s="2"/>
      <c r="C177" s="2"/>
      <c r="D177" s="2"/>
      <c r="E177" s="2"/>
      <c r="F177" s="3"/>
      <c r="G177" s="125" t="s">
        <v>778</v>
      </c>
      <c r="H177" s="465"/>
      <c r="I177" s="465"/>
    </row>
    <row r="178">
      <c r="A178" s="127">
        <v>9999.0</v>
      </c>
      <c r="B178" s="126"/>
      <c r="C178" s="123" t="s">
        <v>1750</v>
      </c>
      <c r="D178" s="2"/>
      <c r="E178" s="3"/>
      <c r="F178" s="467"/>
      <c r="G178" s="3"/>
      <c r="H178" s="465"/>
      <c r="I178" s="465"/>
    </row>
    <row r="179">
      <c r="A179" s="20"/>
      <c r="B179" s="20"/>
      <c r="C179" s="120" t="s">
        <v>107</v>
      </c>
      <c r="D179" s="121">
        <v>2.73</v>
      </c>
      <c r="E179" s="121">
        <v>2.12</v>
      </c>
      <c r="F179" s="121">
        <f>E179*D179</f>
        <v>5.7876</v>
      </c>
      <c r="G179" s="120" t="s">
        <v>846</v>
      </c>
      <c r="H179" s="465"/>
      <c r="I179" s="465"/>
    </row>
    <row r="180">
      <c r="A180" s="129" t="s">
        <v>42</v>
      </c>
      <c r="B180" s="2"/>
      <c r="C180" s="3"/>
      <c r="D180" s="121">
        <v>10.0</v>
      </c>
      <c r="E180" s="130" t="s">
        <v>22</v>
      </c>
      <c r="F180" s="470">
        <f>F172+F174+F176+F179</f>
        <v>1389.9276</v>
      </c>
      <c r="G180" s="131"/>
      <c r="H180" s="465"/>
      <c r="I180" s="465"/>
    </row>
    <row r="181">
      <c r="A181" s="129" t="s">
        <v>800</v>
      </c>
      <c r="B181" s="2"/>
      <c r="C181" s="3"/>
      <c r="D181" s="121">
        <v>1.0</v>
      </c>
      <c r="E181" s="130" t="s">
        <v>22</v>
      </c>
      <c r="F181" s="121">
        <f>F180/D180</f>
        <v>138.99276</v>
      </c>
      <c r="G181" s="131"/>
      <c r="H181" s="465"/>
      <c r="I181" s="465"/>
    </row>
    <row r="182">
      <c r="A182" s="133" t="s">
        <v>802</v>
      </c>
      <c r="B182" s="2"/>
      <c r="C182" s="2"/>
      <c r="D182" s="3"/>
      <c r="E182" s="121"/>
      <c r="F182" s="121">
        <f>F181*1%</f>
        <v>1.3899276</v>
      </c>
      <c r="G182" s="131"/>
      <c r="H182" s="465"/>
      <c r="I182" s="465"/>
    </row>
    <row r="183">
      <c r="A183" s="133" t="s">
        <v>42</v>
      </c>
      <c r="B183" s="2"/>
      <c r="C183" s="2"/>
      <c r="D183" s="3"/>
      <c r="E183" s="131"/>
      <c r="F183" s="121">
        <f>F181+F182</f>
        <v>140.3826876</v>
      </c>
      <c r="G183" s="131"/>
      <c r="H183" s="465"/>
      <c r="I183" s="465"/>
    </row>
    <row r="184">
      <c r="A184" s="133" t="s">
        <v>806</v>
      </c>
      <c r="B184" s="2"/>
      <c r="C184" s="2"/>
      <c r="D184" s="3"/>
      <c r="E184" s="121"/>
      <c r="F184" s="121">
        <f>F183*15%</f>
        <v>21.05740314</v>
      </c>
      <c r="G184" s="131"/>
      <c r="H184" s="465"/>
      <c r="I184" s="465"/>
    </row>
    <row r="185">
      <c r="A185" s="133" t="s">
        <v>42</v>
      </c>
      <c r="B185" s="2"/>
      <c r="C185" s="2"/>
      <c r="D185" s="3"/>
      <c r="E185" s="131"/>
      <c r="F185" s="300">
        <f>round(F183+F184,2)</f>
        <v>161.44</v>
      </c>
      <c r="G185" s="131"/>
      <c r="H185" s="465"/>
      <c r="I185" s="465"/>
    </row>
    <row r="186">
      <c r="A186" s="471" t="str">
        <f>CONCATENATE("Say ₹ ",F169," + ",F185," x Cost Index")</f>
        <v>Say ₹ 64.11 + 161.44 x Cost Index</v>
      </c>
      <c r="B186" s="2"/>
      <c r="C186" s="2"/>
      <c r="D186" s="2"/>
      <c r="E186" s="2"/>
      <c r="F186" s="3"/>
      <c r="G186" s="472" t="s">
        <v>939</v>
      </c>
      <c r="H186" s="473">
        <f>F163*1.01*1.15/10</f>
        <v>64.1148</v>
      </c>
      <c r="I186" s="473">
        <f>(F172+F174+F176+F179)*1.01*1.15/10</f>
        <v>161.4400907</v>
      </c>
    </row>
    <row r="187">
      <c r="A187" s="111" t="s">
        <v>742</v>
      </c>
      <c r="B187" s="111" t="s">
        <v>745</v>
      </c>
      <c r="C187" s="112" t="s">
        <v>6</v>
      </c>
      <c r="D187" s="2"/>
      <c r="E187" s="3"/>
      <c r="F187" s="112" t="s">
        <v>746</v>
      </c>
      <c r="G187" s="3"/>
      <c r="H187" s="465"/>
      <c r="I187" s="465"/>
    </row>
    <row r="188">
      <c r="A188" s="20"/>
      <c r="B188" s="20"/>
      <c r="C188" s="115" t="s">
        <v>8</v>
      </c>
      <c r="D188" s="115" t="s">
        <v>9</v>
      </c>
      <c r="E188" s="115" t="s">
        <v>358</v>
      </c>
      <c r="F188" s="115" t="s">
        <v>11</v>
      </c>
      <c r="G188" s="115" t="s">
        <v>751</v>
      </c>
      <c r="H188" s="465"/>
      <c r="I188" s="465"/>
    </row>
    <row r="189">
      <c r="A189" s="466" t="s">
        <v>1820</v>
      </c>
      <c r="B189" s="2"/>
      <c r="C189" s="2"/>
      <c r="D189" s="2"/>
      <c r="E189" s="2"/>
      <c r="F189" s="2"/>
      <c r="G189" s="3"/>
      <c r="H189" s="465"/>
      <c r="I189" s="465"/>
    </row>
    <row r="190">
      <c r="A190" s="119"/>
      <c r="B190" s="120" t="s">
        <v>754</v>
      </c>
      <c r="C190" s="120" t="s">
        <v>22</v>
      </c>
      <c r="D190" s="120" t="s">
        <v>757</v>
      </c>
      <c r="E190" s="121">
        <v>10.0</v>
      </c>
      <c r="F190" s="467"/>
      <c r="G190" s="3"/>
      <c r="H190" s="465"/>
      <c r="I190" s="465"/>
    </row>
    <row r="191">
      <c r="A191" s="120" t="s">
        <v>761</v>
      </c>
      <c r="B191" s="123" t="s">
        <v>519</v>
      </c>
      <c r="C191" s="2"/>
      <c r="D191" s="2"/>
      <c r="E191" s="2"/>
      <c r="F191" s="2"/>
      <c r="G191" s="3"/>
      <c r="H191" s="465"/>
      <c r="I191" s="465"/>
    </row>
    <row r="192">
      <c r="A192" s="124" t="s">
        <v>764</v>
      </c>
      <c r="B192" s="2"/>
      <c r="C192" s="2"/>
      <c r="D192" s="2"/>
      <c r="E192" s="2"/>
      <c r="F192" s="3"/>
      <c r="G192" s="125" t="s">
        <v>766</v>
      </c>
      <c r="H192" s="465"/>
      <c r="I192" s="465"/>
    </row>
    <row r="193">
      <c r="A193" s="126"/>
      <c r="B193" s="127" t="s">
        <v>1751</v>
      </c>
      <c r="C193" s="123" t="s">
        <v>1822</v>
      </c>
      <c r="D193" s="2"/>
      <c r="E193" s="3"/>
      <c r="F193" s="467"/>
      <c r="G193" s="3"/>
      <c r="H193" s="465"/>
      <c r="I193" s="465"/>
    </row>
    <row r="194">
      <c r="A194" s="20"/>
      <c r="B194" s="20"/>
      <c r="C194" s="120" t="s">
        <v>22</v>
      </c>
      <c r="D194" s="121">
        <v>11.5</v>
      </c>
      <c r="E194" s="121">
        <v>65.0</v>
      </c>
      <c r="F194" s="121">
        <f>E194*D194</f>
        <v>747.5</v>
      </c>
      <c r="G194" s="120" t="s">
        <v>772</v>
      </c>
      <c r="H194" s="465"/>
      <c r="I194" s="465"/>
    </row>
    <row r="195">
      <c r="A195" s="129" t="s">
        <v>42</v>
      </c>
      <c r="B195" s="2"/>
      <c r="C195" s="3"/>
      <c r="D195" s="121">
        <v>10.0</v>
      </c>
      <c r="E195" s="130" t="s">
        <v>22</v>
      </c>
      <c r="F195" s="121">
        <f>F194</f>
        <v>747.5</v>
      </c>
      <c r="G195" s="120"/>
      <c r="H195" s="465"/>
      <c r="I195" s="465"/>
    </row>
    <row r="196">
      <c r="A196" s="129" t="s">
        <v>800</v>
      </c>
      <c r="B196" s="2"/>
      <c r="C196" s="3"/>
      <c r="D196" s="121">
        <v>1.0</v>
      </c>
      <c r="E196" s="130" t="s">
        <v>22</v>
      </c>
      <c r="F196" s="121">
        <f>F195/D195</f>
        <v>74.75</v>
      </c>
      <c r="G196" s="120"/>
      <c r="H196" s="465"/>
      <c r="I196" s="465"/>
    </row>
    <row r="197">
      <c r="A197" s="133" t="s">
        <v>802</v>
      </c>
      <c r="B197" s="2"/>
      <c r="C197" s="2"/>
      <c r="D197" s="3"/>
      <c r="E197" s="121"/>
      <c r="F197" s="121">
        <f>F196*1%</f>
        <v>0.7475</v>
      </c>
      <c r="G197" s="120"/>
      <c r="H197" s="465"/>
      <c r="I197" s="465"/>
    </row>
    <row r="198">
      <c r="A198" s="133" t="s">
        <v>42</v>
      </c>
      <c r="B198" s="2"/>
      <c r="C198" s="2"/>
      <c r="D198" s="3"/>
      <c r="E198" s="131"/>
      <c r="F198" s="121">
        <f>F196+F197</f>
        <v>75.4975</v>
      </c>
      <c r="G198" s="120"/>
      <c r="H198" s="465"/>
      <c r="I198" s="465"/>
    </row>
    <row r="199">
      <c r="A199" s="133" t="s">
        <v>806</v>
      </c>
      <c r="B199" s="2"/>
      <c r="C199" s="2"/>
      <c r="D199" s="3"/>
      <c r="E199" s="121"/>
      <c r="F199" s="121">
        <f>F198*15%</f>
        <v>11.324625</v>
      </c>
      <c r="G199" s="120"/>
      <c r="H199" s="465"/>
      <c r="I199" s="465"/>
    </row>
    <row r="200">
      <c r="A200" s="133" t="s">
        <v>42</v>
      </c>
      <c r="B200" s="2"/>
      <c r="C200" s="2"/>
      <c r="D200" s="3"/>
      <c r="E200" s="131"/>
      <c r="F200" s="300">
        <f>round(F198+F199,2)</f>
        <v>86.82</v>
      </c>
      <c r="G200" s="120"/>
      <c r="H200" s="465"/>
      <c r="I200" s="465"/>
    </row>
    <row r="201">
      <c r="A201" s="124" t="s">
        <v>777</v>
      </c>
      <c r="B201" s="2"/>
      <c r="C201" s="2"/>
      <c r="D201" s="2"/>
      <c r="E201" s="2"/>
      <c r="F201" s="3"/>
      <c r="G201" s="125" t="s">
        <v>778</v>
      </c>
      <c r="H201" s="465"/>
      <c r="I201" s="465"/>
    </row>
    <row r="202">
      <c r="A202" s="127">
        <v>116.0</v>
      </c>
      <c r="B202" s="126"/>
      <c r="C202" s="123" t="s">
        <v>535</v>
      </c>
      <c r="D202" s="2"/>
      <c r="E202" s="3"/>
      <c r="F202" s="467"/>
      <c r="G202" s="3"/>
      <c r="H202" s="465"/>
      <c r="I202" s="465"/>
    </row>
    <row r="203">
      <c r="A203" s="20"/>
      <c r="B203" s="20"/>
      <c r="C203" s="120" t="s">
        <v>27</v>
      </c>
      <c r="D203" s="121">
        <v>0.33</v>
      </c>
      <c r="E203" s="121">
        <v>784.0</v>
      </c>
      <c r="F203" s="121">
        <f>E203*D203</f>
        <v>258.72</v>
      </c>
      <c r="G203" s="120" t="s">
        <v>780</v>
      </c>
      <c r="H203" s="465"/>
      <c r="I203" s="465"/>
    </row>
    <row r="204">
      <c r="A204" s="127">
        <v>117.0</v>
      </c>
      <c r="B204" s="126"/>
      <c r="C204" s="123" t="s">
        <v>856</v>
      </c>
      <c r="D204" s="2"/>
      <c r="E204" s="3"/>
      <c r="F204" s="467"/>
      <c r="G204" s="3"/>
      <c r="H204" s="465"/>
      <c r="I204" s="465"/>
    </row>
    <row r="205">
      <c r="A205" s="20"/>
      <c r="B205" s="20"/>
      <c r="C205" s="120" t="s">
        <v>27</v>
      </c>
      <c r="D205" s="121">
        <v>0.98</v>
      </c>
      <c r="E205" s="121">
        <v>714.0</v>
      </c>
      <c r="F205" s="121">
        <f>E205*D205</f>
        <v>699.72</v>
      </c>
      <c r="G205" s="120" t="s">
        <v>782</v>
      </c>
      <c r="H205" s="465"/>
      <c r="I205" s="465"/>
    </row>
    <row r="206">
      <c r="A206" s="127">
        <v>114.0</v>
      </c>
      <c r="B206" s="126"/>
      <c r="C206" s="123" t="s">
        <v>97</v>
      </c>
      <c r="D206" s="2"/>
      <c r="E206" s="3"/>
      <c r="F206" s="467"/>
      <c r="G206" s="3"/>
      <c r="H206" s="465"/>
      <c r="I206" s="465"/>
    </row>
    <row r="207">
      <c r="A207" s="20"/>
      <c r="B207" s="20"/>
      <c r="C207" s="120" t="s">
        <v>27</v>
      </c>
      <c r="D207" s="121">
        <v>0.98</v>
      </c>
      <c r="E207" s="121">
        <v>645.0</v>
      </c>
      <c r="F207" s="121">
        <f>E207*D207</f>
        <v>632.1</v>
      </c>
      <c r="G207" s="120" t="s">
        <v>791</v>
      </c>
      <c r="H207" s="465"/>
      <c r="I207" s="465"/>
    </row>
    <row r="208">
      <c r="A208" s="124" t="s">
        <v>843</v>
      </c>
      <c r="B208" s="2"/>
      <c r="C208" s="2"/>
      <c r="D208" s="2"/>
      <c r="E208" s="2"/>
      <c r="F208" s="3"/>
      <c r="G208" s="125" t="s">
        <v>778</v>
      </c>
      <c r="H208" s="465"/>
      <c r="I208" s="465"/>
    </row>
    <row r="209">
      <c r="A209" s="127">
        <v>9999.0</v>
      </c>
      <c r="B209" s="126"/>
      <c r="C209" s="123" t="s">
        <v>1750</v>
      </c>
      <c r="D209" s="2"/>
      <c r="E209" s="3"/>
      <c r="F209" s="467"/>
      <c r="G209" s="3"/>
      <c r="H209" s="465"/>
      <c r="I209" s="465"/>
    </row>
    <row r="210">
      <c r="A210" s="20"/>
      <c r="B210" s="20"/>
      <c r="C210" s="120" t="s">
        <v>107</v>
      </c>
      <c r="D210" s="121">
        <v>4.16</v>
      </c>
      <c r="E210" s="121">
        <v>2.12</v>
      </c>
      <c r="F210" s="121">
        <f>E210*D210</f>
        <v>8.8192</v>
      </c>
      <c r="G210" s="120" t="s">
        <v>846</v>
      </c>
      <c r="H210" s="465"/>
      <c r="I210" s="465"/>
    </row>
    <row r="211">
      <c r="A211" s="129" t="s">
        <v>42</v>
      </c>
      <c r="B211" s="2"/>
      <c r="C211" s="3"/>
      <c r="D211" s="121">
        <v>10.0</v>
      </c>
      <c r="E211" s="130" t="s">
        <v>22</v>
      </c>
      <c r="F211" s="470">
        <f>F203+F205+F207+F210</f>
        <v>1599.3592</v>
      </c>
      <c r="G211" s="131"/>
      <c r="H211" s="465"/>
      <c r="I211" s="465"/>
    </row>
    <row r="212">
      <c r="A212" s="129" t="s">
        <v>800</v>
      </c>
      <c r="B212" s="2"/>
      <c r="C212" s="3"/>
      <c r="D212" s="121">
        <v>1.0</v>
      </c>
      <c r="E212" s="130" t="s">
        <v>22</v>
      </c>
      <c r="F212" s="121">
        <f>F211/D211</f>
        <v>159.93592</v>
      </c>
      <c r="G212" s="131"/>
      <c r="H212" s="465"/>
      <c r="I212" s="465"/>
    </row>
    <row r="213">
      <c r="A213" s="133" t="s">
        <v>802</v>
      </c>
      <c r="B213" s="2"/>
      <c r="C213" s="2"/>
      <c r="D213" s="3"/>
      <c r="E213" s="121"/>
      <c r="F213" s="121">
        <f>F212*1%</f>
        <v>1.5993592</v>
      </c>
      <c r="G213" s="131"/>
      <c r="H213" s="465"/>
      <c r="I213" s="465"/>
    </row>
    <row r="214">
      <c r="A214" s="133" t="s">
        <v>42</v>
      </c>
      <c r="B214" s="2"/>
      <c r="C214" s="2"/>
      <c r="D214" s="3"/>
      <c r="E214" s="131"/>
      <c r="F214" s="121">
        <f>F212+F213</f>
        <v>161.5352792</v>
      </c>
      <c r="G214" s="131"/>
      <c r="H214" s="465"/>
      <c r="I214" s="465"/>
    </row>
    <row r="215">
      <c r="A215" s="133" t="s">
        <v>806</v>
      </c>
      <c r="B215" s="2"/>
      <c r="C215" s="2"/>
      <c r="D215" s="3"/>
      <c r="E215" s="121"/>
      <c r="F215" s="121">
        <f>F214*15%</f>
        <v>24.23029188</v>
      </c>
      <c r="G215" s="131"/>
      <c r="H215" s="465"/>
      <c r="I215" s="465"/>
    </row>
    <row r="216">
      <c r="A216" s="133" t="s">
        <v>42</v>
      </c>
      <c r="B216" s="2"/>
      <c r="C216" s="2"/>
      <c r="D216" s="3"/>
      <c r="E216" s="131"/>
      <c r="F216" s="300">
        <f>round(F214+F215,2)</f>
        <v>185.77</v>
      </c>
      <c r="G216" s="131"/>
      <c r="H216" s="465"/>
      <c r="I216" s="465"/>
    </row>
    <row r="217">
      <c r="A217" s="471" t="str">
        <f>CONCATENATE("Say ₹ ",F200," + ",F216," x Cost Index")</f>
        <v>Say ₹ 86.82 + 185.77 x Cost Index</v>
      </c>
      <c r="B217" s="2"/>
      <c r="C217" s="2"/>
      <c r="D217" s="2"/>
      <c r="E217" s="2"/>
      <c r="F217" s="3"/>
      <c r="G217" s="472" t="s">
        <v>939</v>
      </c>
      <c r="H217" s="473">
        <f>F194*1.01*1.15/10</f>
        <v>86.822125</v>
      </c>
      <c r="I217" s="473">
        <f>(F203+F205+F207+F210)*1.01*1.15/10</f>
        <v>185.7655711</v>
      </c>
    </row>
    <row r="218">
      <c r="A218" s="111" t="s">
        <v>742</v>
      </c>
      <c r="B218" s="111" t="s">
        <v>745</v>
      </c>
      <c r="C218" s="112" t="s">
        <v>6</v>
      </c>
      <c r="D218" s="2"/>
      <c r="E218" s="3"/>
      <c r="F218" s="112" t="s">
        <v>746</v>
      </c>
      <c r="G218" s="3"/>
      <c r="H218" s="465"/>
      <c r="I218" s="465"/>
    </row>
    <row r="219">
      <c r="A219" s="20"/>
      <c r="B219" s="20"/>
      <c r="C219" s="115" t="s">
        <v>8</v>
      </c>
      <c r="D219" s="115" t="s">
        <v>9</v>
      </c>
      <c r="E219" s="115" t="s">
        <v>358</v>
      </c>
      <c r="F219" s="115" t="s">
        <v>11</v>
      </c>
      <c r="G219" s="115" t="s">
        <v>751</v>
      </c>
      <c r="H219" s="465"/>
      <c r="I219" s="465"/>
    </row>
    <row r="220">
      <c r="A220" s="466" t="s">
        <v>1836</v>
      </c>
      <c r="B220" s="2"/>
      <c r="C220" s="2"/>
      <c r="D220" s="2"/>
      <c r="E220" s="2"/>
      <c r="F220" s="2"/>
      <c r="G220" s="3"/>
      <c r="H220" s="465"/>
      <c r="I220" s="465"/>
    </row>
    <row r="221">
      <c r="A221" s="119"/>
      <c r="B221" s="120" t="s">
        <v>754</v>
      </c>
      <c r="C221" s="120" t="s">
        <v>22</v>
      </c>
      <c r="D221" s="120" t="s">
        <v>757</v>
      </c>
      <c r="E221" s="121">
        <v>10.0</v>
      </c>
      <c r="F221" s="467"/>
      <c r="G221" s="3"/>
      <c r="H221" s="465"/>
      <c r="I221" s="465"/>
    </row>
    <row r="222">
      <c r="A222" s="120" t="s">
        <v>761</v>
      </c>
      <c r="B222" s="123" t="s">
        <v>1769</v>
      </c>
      <c r="C222" s="2"/>
      <c r="D222" s="2"/>
      <c r="E222" s="2"/>
      <c r="F222" s="2"/>
      <c r="G222" s="3"/>
      <c r="H222" s="465"/>
      <c r="I222" s="465"/>
    </row>
    <row r="223">
      <c r="A223" s="124" t="s">
        <v>764</v>
      </c>
      <c r="B223" s="2"/>
      <c r="C223" s="2"/>
      <c r="D223" s="2"/>
      <c r="E223" s="2"/>
      <c r="F223" s="3"/>
      <c r="G223" s="125" t="s">
        <v>766</v>
      </c>
      <c r="H223" s="465"/>
      <c r="I223" s="465"/>
    </row>
    <row r="224">
      <c r="A224" s="126"/>
      <c r="B224" s="127" t="s">
        <v>1770</v>
      </c>
      <c r="C224" s="123" t="s">
        <v>1837</v>
      </c>
      <c r="D224" s="2"/>
      <c r="E224" s="3"/>
      <c r="F224" s="467"/>
      <c r="G224" s="3"/>
      <c r="H224" s="465"/>
      <c r="I224" s="465"/>
    </row>
    <row r="225">
      <c r="A225" s="20"/>
      <c r="B225" s="20"/>
      <c r="C225" s="120" t="s">
        <v>22</v>
      </c>
      <c r="D225" s="121">
        <v>11.5</v>
      </c>
      <c r="E225" s="121">
        <v>84.0</v>
      </c>
      <c r="F225" s="121">
        <f>E225*D225</f>
        <v>966</v>
      </c>
      <c r="G225" s="120" t="s">
        <v>772</v>
      </c>
      <c r="H225" s="465"/>
      <c r="I225" s="465"/>
    </row>
    <row r="226">
      <c r="A226" s="129" t="s">
        <v>42</v>
      </c>
      <c r="B226" s="2"/>
      <c r="C226" s="3"/>
      <c r="D226" s="121">
        <v>10.0</v>
      </c>
      <c r="E226" s="130" t="s">
        <v>22</v>
      </c>
      <c r="F226" s="121">
        <f>F225</f>
        <v>966</v>
      </c>
      <c r="G226" s="120"/>
      <c r="H226" s="465"/>
      <c r="I226" s="465"/>
    </row>
    <row r="227">
      <c r="A227" s="129" t="s">
        <v>800</v>
      </c>
      <c r="B227" s="2"/>
      <c r="C227" s="3"/>
      <c r="D227" s="121">
        <v>1.0</v>
      </c>
      <c r="E227" s="130" t="s">
        <v>22</v>
      </c>
      <c r="F227" s="121">
        <f>F226/D226</f>
        <v>96.6</v>
      </c>
      <c r="G227" s="120"/>
      <c r="H227" s="465"/>
      <c r="I227" s="465"/>
    </row>
    <row r="228">
      <c r="A228" s="133" t="s">
        <v>802</v>
      </c>
      <c r="B228" s="2"/>
      <c r="C228" s="2"/>
      <c r="D228" s="3"/>
      <c r="E228" s="121"/>
      <c r="F228" s="121">
        <f>F227*1%</f>
        <v>0.966</v>
      </c>
      <c r="G228" s="120"/>
      <c r="H228" s="465"/>
      <c r="I228" s="465"/>
    </row>
    <row r="229">
      <c r="A229" s="133" t="s">
        <v>42</v>
      </c>
      <c r="B229" s="2"/>
      <c r="C229" s="2"/>
      <c r="D229" s="3"/>
      <c r="E229" s="131"/>
      <c r="F229" s="121">
        <f>F227+F228</f>
        <v>97.566</v>
      </c>
      <c r="G229" s="120"/>
      <c r="H229" s="465"/>
      <c r="I229" s="465"/>
    </row>
    <row r="230">
      <c r="A230" s="133" t="s">
        <v>806</v>
      </c>
      <c r="B230" s="2"/>
      <c r="C230" s="2"/>
      <c r="D230" s="3"/>
      <c r="E230" s="121"/>
      <c r="F230" s="121">
        <f>F229*15%</f>
        <v>14.6349</v>
      </c>
      <c r="G230" s="120"/>
      <c r="H230" s="465"/>
      <c r="I230" s="465"/>
    </row>
    <row r="231">
      <c r="A231" s="133" t="s">
        <v>42</v>
      </c>
      <c r="B231" s="2"/>
      <c r="C231" s="2"/>
      <c r="D231" s="3"/>
      <c r="E231" s="131"/>
      <c r="F231" s="300">
        <f>round(F229+F230,2)</f>
        <v>112.2</v>
      </c>
      <c r="G231" s="120"/>
      <c r="H231" s="465"/>
      <c r="I231" s="465"/>
    </row>
    <row r="232">
      <c r="A232" s="124" t="s">
        <v>777</v>
      </c>
      <c r="B232" s="2"/>
      <c r="C232" s="2"/>
      <c r="D232" s="2"/>
      <c r="E232" s="2"/>
      <c r="F232" s="3"/>
      <c r="G232" s="125" t="s">
        <v>778</v>
      </c>
      <c r="H232" s="465"/>
      <c r="I232" s="465"/>
    </row>
    <row r="233">
      <c r="A233" s="127">
        <v>116.0</v>
      </c>
      <c r="B233" s="126"/>
      <c r="C233" s="123" t="s">
        <v>535</v>
      </c>
      <c r="D233" s="2"/>
      <c r="E233" s="3"/>
      <c r="F233" s="467"/>
      <c r="G233" s="3"/>
      <c r="H233" s="465"/>
      <c r="I233" s="465"/>
    </row>
    <row r="234">
      <c r="A234" s="20"/>
      <c r="B234" s="20"/>
      <c r="C234" s="120" t="s">
        <v>27</v>
      </c>
      <c r="D234" s="121">
        <v>0.33</v>
      </c>
      <c r="E234" s="121">
        <v>784.0</v>
      </c>
      <c r="F234" s="121">
        <f>E234*D234</f>
        <v>258.72</v>
      </c>
      <c r="G234" s="120" t="s">
        <v>780</v>
      </c>
      <c r="H234" s="465"/>
      <c r="I234" s="465"/>
    </row>
    <row r="235">
      <c r="A235" s="127">
        <v>117.0</v>
      </c>
      <c r="B235" s="126"/>
      <c r="C235" s="123" t="s">
        <v>856</v>
      </c>
      <c r="D235" s="2"/>
      <c r="E235" s="3"/>
      <c r="F235" s="467"/>
      <c r="G235" s="3"/>
      <c r="H235" s="465"/>
      <c r="I235" s="465"/>
    </row>
    <row r="236">
      <c r="A236" s="20"/>
      <c r="B236" s="20"/>
      <c r="C236" s="120" t="s">
        <v>27</v>
      </c>
      <c r="D236" s="121">
        <v>1.31</v>
      </c>
      <c r="E236" s="121">
        <v>714.0</v>
      </c>
      <c r="F236" s="121">
        <f>E236*D236</f>
        <v>935.34</v>
      </c>
      <c r="G236" s="120" t="s">
        <v>782</v>
      </c>
      <c r="H236" s="465"/>
      <c r="I236" s="465"/>
    </row>
    <row r="237">
      <c r="A237" s="127">
        <v>114.0</v>
      </c>
      <c r="B237" s="126"/>
      <c r="C237" s="123" t="s">
        <v>97</v>
      </c>
      <c r="D237" s="2"/>
      <c r="E237" s="3"/>
      <c r="F237" s="467"/>
      <c r="G237" s="3"/>
      <c r="H237" s="465"/>
      <c r="I237" s="465"/>
    </row>
    <row r="238">
      <c r="A238" s="20"/>
      <c r="B238" s="20"/>
      <c r="C238" s="120" t="s">
        <v>27</v>
      </c>
      <c r="D238" s="121">
        <v>1.31</v>
      </c>
      <c r="E238" s="121">
        <v>645.0</v>
      </c>
      <c r="F238" s="121">
        <f>E238*D238</f>
        <v>844.95</v>
      </c>
      <c r="G238" s="120" t="s">
        <v>791</v>
      </c>
      <c r="H238" s="465"/>
      <c r="I238" s="465"/>
    </row>
    <row r="239">
      <c r="A239" s="124" t="s">
        <v>843</v>
      </c>
      <c r="B239" s="2"/>
      <c r="C239" s="2"/>
      <c r="D239" s="2"/>
      <c r="E239" s="2"/>
      <c r="F239" s="3"/>
      <c r="G239" s="125" t="s">
        <v>778</v>
      </c>
      <c r="H239" s="465"/>
      <c r="I239" s="465"/>
    </row>
    <row r="240">
      <c r="A240" s="127">
        <v>9999.0</v>
      </c>
      <c r="B240" s="126"/>
      <c r="C240" s="123" t="s">
        <v>1750</v>
      </c>
      <c r="D240" s="2"/>
      <c r="E240" s="3"/>
      <c r="F240" s="467"/>
      <c r="G240" s="3"/>
      <c r="H240" s="465"/>
      <c r="I240" s="465"/>
    </row>
    <row r="241">
      <c r="A241" s="20"/>
      <c r="B241" s="20"/>
      <c r="C241" s="120" t="s">
        <v>107</v>
      </c>
      <c r="D241" s="121">
        <v>5.33</v>
      </c>
      <c r="E241" s="121">
        <v>2.12</v>
      </c>
      <c r="F241" s="121">
        <f>E241*D241</f>
        <v>11.2996</v>
      </c>
      <c r="G241" s="120" t="s">
        <v>846</v>
      </c>
      <c r="H241" s="465"/>
      <c r="I241" s="465"/>
    </row>
    <row r="242">
      <c r="A242" s="129" t="s">
        <v>42</v>
      </c>
      <c r="B242" s="2"/>
      <c r="C242" s="3"/>
      <c r="D242" s="121">
        <v>10.0</v>
      </c>
      <c r="E242" s="130" t="s">
        <v>22</v>
      </c>
      <c r="F242" s="470">
        <f>F234+F236+F238+F241</f>
        <v>2050.3096</v>
      </c>
      <c r="G242" s="131"/>
      <c r="H242" s="465"/>
      <c r="I242" s="465"/>
    </row>
    <row r="243">
      <c r="A243" s="129" t="s">
        <v>800</v>
      </c>
      <c r="B243" s="2"/>
      <c r="C243" s="3"/>
      <c r="D243" s="121">
        <v>1.0</v>
      </c>
      <c r="E243" s="130" t="s">
        <v>22</v>
      </c>
      <c r="F243" s="121">
        <f>F242/D242</f>
        <v>205.03096</v>
      </c>
      <c r="G243" s="131"/>
      <c r="H243" s="465"/>
      <c r="I243" s="465"/>
    </row>
    <row r="244">
      <c r="A244" s="133" t="s">
        <v>802</v>
      </c>
      <c r="B244" s="2"/>
      <c r="C244" s="2"/>
      <c r="D244" s="3"/>
      <c r="E244" s="121"/>
      <c r="F244" s="121">
        <f>F243*1%</f>
        <v>2.0503096</v>
      </c>
      <c r="G244" s="131"/>
      <c r="H244" s="465"/>
      <c r="I244" s="465"/>
    </row>
    <row r="245">
      <c r="A245" s="133" t="s">
        <v>42</v>
      </c>
      <c r="B245" s="2"/>
      <c r="C245" s="2"/>
      <c r="D245" s="3"/>
      <c r="E245" s="131"/>
      <c r="F245" s="121">
        <f>F243+F244</f>
        <v>207.0812696</v>
      </c>
      <c r="G245" s="131"/>
      <c r="H245" s="465"/>
      <c r="I245" s="465"/>
    </row>
    <row r="246">
      <c r="A246" s="133" t="s">
        <v>806</v>
      </c>
      <c r="B246" s="2"/>
      <c r="C246" s="2"/>
      <c r="D246" s="3"/>
      <c r="E246" s="121"/>
      <c r="F246" s="121">
        <f>F245*15%</f>
        <v>31.06219044</v>
      </c>
      <c r="G246" s="131"/>
      <c r="H246" s="465"/>
      <c r="I246" s="465"/>
    </row>
    <row r="247">
      <c r="A247" s="133" t="s">
        <v>42</v>
      </c>
      <c r="B247" s="2"/>
      <c r="C247" s="2"/>
      <c r="D247" s="3"/>
      <c r="E247" s="131"/>
      <c r="F247" s="300">
        <f>round(F245+F246,2)</f>
        <v>238.14</v>
      </c>
      <c r="G247" s="131"/>
      <c r="H247" s="465"/>
      <c r="I247" s="465"/>
    </row>
    <row r="248">
      <c r="A248" s="471" t="str">
        <f>CONCATENATE("Say ₹ ",F231," + ",F247," x Cost Index")</f>
        <v>Say ₹ 112.2 + 238.14 x Cost Index</v>
      </c>
      <c r="B248" s="2"/>
      <c r="C248" s="2"/>
      <c r="D248" s="2"/>
      <c r="E248" s="2"/>
      <c r="F248" s="3"/>
      <c r="G248" s="472" t="s">
        <v>939</v>
      </c>
      <c r="H248" s="473">
        <f>F225*1.01*1.15/10</f>
        <v>112.2009</v>
      </c>
      <c r="I248" s="473">
        <f>(F234+F236+F238+F241)*1.01*1.15/10</f>
        <v>238.14346</v>
      </c>
    </row>
    <row r="249">
      <c r="A249" s="111" t="s">
        <v>742</v>
      </c>
      <c r="B249" s="111" t="s">
        <v>745</v>
      </c>
      <c r="C249" s="112" t="s">
        <v>6</v>
      </c>
      <c r="D249" s="2"/>
      <c r="E249" s="3"/>
      <c r="F249" s="112" t="s">
        <v>746</v>
      </c>
      <c r="G249" s="3"/>
      <c r="H249" s="465"/>
      <c r="I249" s="465"/>
    </row>
    <row r="250">
      <c r="A250" s="20"/>
      <c r="B250" s="20"/>
      <c r="C250" s="115" t="s">
        <v>8</v>
      </c>
      <c r="D250" s="115" t="s">
        <v>9</v>
      </c>
      <c r="E250" s="115" t="s">
        <v>358</v>
      </c>
      <c r="F250" s="115" t="s">
        <v>11</v>
      </c>
      <c r="G250" s="115" t="s">
        <v>751</v>
      </c>
      <c r="H250" s="465"/>
      <c r="I250" s="465"/>
    </row>
    <row r="251">
      <c r="A251" s="466" t="s">
        <v>1853</v>
      </c>
      <c r="B251" s="2"/>
      <c r="C251" s="2"/>
      <c r="D251" s="2"/>
      <c r="E251" s="2"/>
      <c r="F251" s="2"/>
      <c r="G251" s="3"/>
      <c r="H251" s="465"/>
      <c r="I251" s="465"/>
    </row>
    <row r="252">
      <c r="A252" s="119"/>
      <c r="B252" s="120" t="s">
        <v>754</v>
      </c>
      <c r="C252" s="120" t="s">
        <v>22</v>
      </c>
      <c r="D252" s="120" t="s">
        <v>757</v>
      </c>
      <c r="E252" s="121">
        <v>10.0</v>
      </c>
      <c r="F252" s="467"/>
      <c r="G252" s="3"/>
      <c r="H252" s="465"/>
      <c r="I252" s="465"/>
    </row>
    <row r="253">
      <c r="A253" s="120" t="s">
        <v>761</v>
      </c>
      <c r="B253" s="123" t="s">
        <v>519</v>
      </c>
      <c r="C253" s="2"/>
      <c r="D253" s="2"/>
      <c r="E253" s="2"/>
      <c r="F253" s="2"/>
      <c r="G253" s="3"/>
      <c r="H253" s="465"/>
      <c r="I253" s="465"/>
    </row>
    <row r="254">
      <c r="A254" s="124" t="s">
        <v>764</v>
      </c>
      <c r="B254" s="2"/>
      <c r="C254" s="2"/>
      <c r="D254" s="2"/>
      <c r="E254" s="2"/>
      <c r="F254" s="3"/>
      <c r="G254" s="125" t="s">
        <v>766</v>
      </c>
      <c r="H254" s="465"/>
      <c r="I254" s="465"/>
    </row>
    <row r="255">
      <c r="A255" s="126"/>
      <c r="B255" s="127" t="s">
        <v>1781</v>
      </c>
      <c r="C255" s="123" t="s">
        <v>1855</v>
      </c>
      <c r="D255" s="2"/>
      <c r="E255" s="3"/>
      <c r="F255" s="467"/>
      <c r="G255" s="3"/>
      <c r="H255" s="465"/>
      <c r="I255" s="465"/>
    </row>
    <row r="256">
      <c r="A256" s="20"/>
      <c r="B256" s="20"/>
      <c r="C256" s="120" t="s">
        <v>22</v>
      </c>
      <c r="D256" s="121">
        <v>11.5</v>
      </c>
      <c r="E256" s="121">
        <v>53.0</v>
      </c>
      <c r="F256" s="121">
        <f>E256*D256</f>
        <v>609.5</v>
      </c>
      <c r="G256" s="120" t="s">
        <v>772</v>
      </c>
      <c r="H256" s="465"/>
      <c r="I256" s="465"/>
    </row>
    <row r="257">
      <c r="A257" s="129" t="s">
        <v>42</v>
      </c>
      <c r="B257" s="2"/>
      <c r="C257" s="3"/>
      <c r="D257" s="121">
        <v>10.0</v>
      </c>
      <c r="E257" s="130" t="s">
        <v>22</v>
      </c>
      <c r="F257" s="121">
        <f>F256</f>
        <v>609.5</v>
      </c>
      <c r="G257" s="120"/>
      <c r="H257" s="465"/>
      <c r="I257" s="465"/>
    </row>
    <row r="258">
      <c r="A258" s="129" t="s">
        <v>800</v>
      </c>
      <c r="B258" s="2"/>
      <c r="C258" s="3"/>
      <c r="D258" s="121">
        <v>1.0</v>
      </c>
      <c r="E258" s="130" t="s">
        <v>22</v>
      </c>
      <c r="F258" s="121">
        <f>F257/D257</f>
        <v>60.95</v>
      </c>
      <c r="G258" s="120"/>
      <c r="H258" s="465"/>
      <c r="I258" s="465"/>
    </row>
    <row r="259">
      <c r="A259" s="133" t="s">
        <v>802</v>
      </c>
      <c r="B259" s="2"/>
      <c r="C259" s="2"/>
      <c r="D259" s="3"/>
      <c r="E259" s="121"/>
      <c r="F259" s="121">
        <f>F258*1%</f>
        <v>0.6095</v>
      </c>
      <c r="G259" s="120"/>
      <c r="H259" s="465"/>
      <c r="I259" s="465"/>
    </row>
    <row r="260">
      <c r="A260" s="133" t="s">
        <v>42</v>
      </c>
      <c r="B260" s="2"/>
      <c r="C260" s="2"/>
      <c r="D260" s="3"/>
      <c r="E260" s="131"/>
      <c r="F260" s="121">
        <f>F258+F259</f>
        <v>61.5595</v>
      </c>
      <c r="G260" s="120"/>
      <c r="H260" s="465"/>
      <c r="I260" s="465"/>
    </row>
    <row r="261">
      <c r="A261" s="133" t="s">
        <v>806</v>
      </c>
      <c r="B261" s="2"/>
      <c r="C261" s="2"/>
      <c r="D261" s="3"/>
      <c r="E261" s="121"/>
      <c r="F261" s="121">
        <f>F260*15%</f>
        <v>9.233925</v>
      </c>
      <c r="G261" s="120"/>
      <c r="H261" s="465"/>
      <c r="I261" s="465"/>
    </row>
    <row r="262">
      <c r="A262" s="133" t="s">
        <v>42</v>
      </c>
      <c r="B262" s="2"/>
      <c r="C262" s="2"/>
      <c r="D262" s="3"/>
      <c r="E262" s="131"/>
      <c r="F262" s="300">
        <f>round(F260+F261,2)</f>
        <v>70.79</v>
      </c>
      <c r="G262" s="120"/>
      <c r="H262" s="465"/>
      <c r="I262" s="465"/>
    </row>
    <row r="263">
      <c r="A263" s="124" t="s">
        <v>777</v>
      </c>
      <c r="B263" s="2"/>
      <c r="C263" s="2"/>
      <c r="D263" s="2"/>
      <c r="E263" s="2"/>
      <c r="F263" s="3"/>
      <c r="G263" s="125" t="s">
        <v>778</v>
      </c>
      <c r="H263" s="465"/>
      <c r="I263" s="465"/>
    </row>
    <row r="264">
      <c r="A264" s="127">
        <v>116.0</v>
      </c>
      <c r="B264" s="126"/>
      <c r="C264" s="123" t="s">
        <v>535</v>
      </c>
      <c r="D264" s="2"/>
      <c r="E264" s="3"/>
      <c r="F264" s="467"/>
      <c r="G264" s="3"/>
      <c r="H264" s="465"/>
      <c r="I264" s="465"/>
    </row>
    <row r="265">
      <c r="A265" s="20"/>
      <c r="B265" s="20"/>
      <c r="C265" s="120" t="s">
        <v>27</v>
      </c>
      <c r="D265" s="121">
        <v>0.33</v>
      </c>
      <c r="E265" s="121">
        <v>784.0</v>
      </c>
      <c r="F265" s="121">
        <f>E265*D265</f>
        <v>258.72</v>
      </c>
      <c r="G265" s="120" t="s">
        <v>780</v>
      </c>
      <c r="H265" s="465"/>
      <c r="I265" s="465"/>
    </row>
    <row r="266">
      <c r="A266" s="127">
        <v>117.0</v>
      </c>
      <c r="B266" s="126"/>
      <c r="C266" s="123" t="s">
        <v>856</v>
      </c>
      <c r="D266" s="2"/>
      <c r="E266" s="3"/>
      <c r="F266" s="467"/>
      <c r="G266" s="3"/>
      <c r="H266" s="465"/>
      <c r="I266" s="465"/>
    </row>
    <row r="267">
      <c r="A267" s="20"/>
      <c r="B267" s="20"/>
      <c r="C267" s="120" t="s">
        <v>27</v>
      </c>
      <c r="D267" s="121">
        <v>1.31</v>
      </c>
      <c r="E267" s="121">
        <v>714.0</v>
      </c>
      <c r="F267" s="121">
        <f>E267*D267</f>
        <v>935.34</v>
      </c>
      <c r="G267" s="120" t="s">
        <v>782</v>
      </c>
      <c r="H267" s="465"/>
      <c r="I267" s="465"/>
    </row>
    <row r="268">
      <c r="A268" s="127">
        <v>114.0</v>
      </c>
      <c r="B268" s="126"/>
      <c r="C268" s="123" t="s">
        <v>97</v>
      </c>
      <c r="D268" s="2"/>
      <c r="E268" s="3"/>
      <c r="F268" s="467"/>
      <c r="G268" s="3"/>
      <c r="H268" s="465"/>
      <c r="I268" s="465"/>
    </row>
    <row r="269">
      <c r="A269" s="20"/>
      <c r="B269" s="20"/>
      <c r="C269" s="120" t="s">
        <v>27</v>
      </c>
      <c r="D269" s="121">
        <v>1.31</v>
      </c>
      <c r="E269" s="121">
        <v>645.0</v>
      </c>
      <c r="F269" s="121">
        <f>E269*D269</f>
        <v>844.95</v>
      </c>
      <c r="G269" s="120" t="s">
        <v>791</v>
      </c>
      <c r="H269" s="465"/>
      <c r="I269" s="465"/>
    </row>
    <row r="270">
      <c r="A270" s="124" t="s">
        <v>843</v>
      </c>
      <c r="B270" s="2"/>
      <c r="C270" s="2"/>
      <c r="D270" s="2"/>
      <c r="E270" s="2"/>
      <c r="F270" s="3"/>
      <c r="G270" s="125" t="s">
        <v>778</v>
      </c>
      <c r="H270" s="465"/>
      <c r="I270" s="465"/>
    </row>
    <row r="271">
      <c r="A271" s="127">
        <v>9999.0</v>
      </c>
      <c r="B271" s="126"/>
      <c r="C271" s="123" t="s">
        <v>1750</v>
      </c>
      <c r="D271" s="2"/>
      <c r="E271" s="3"/>
      <c r="F271" s="467"/>
      <c r="G271" s="3"/>
      <c r="H271" s="465"/>
      <c r="I271" s="465"/>
    </row>
    <row r="272">
      <c r="A272" s="20"/>
      <c r="B272" s="20"/>
      <c r="C272" s="120" t="s">
        <v>107</v>
      </c>
      <c r="D272" s="121">
        <v>5.33</v>
      </c>
      <c r="E272" s="121">
        <v>2.12</v>
      </c>
      <c r="F272" s="121">
        <f>E272*D272</f>
        <v>11.2996</v>
      </c>
      <c r="G272" s="120" t="s">
        <v>846</v>
      </c>
      <c r="H272" s="465"/>
      <c r="I272" s="465"/>
    </row>
    <row r="273">
      <c r="A273" s="129" t="s">
        <v>42</v>
      </c>
      <c r="B273" s="2"/>
      <c r="C273" s="3"/>
      <c r="D273" s="121">
        <v>10.0</v>
      </c>
      <c r="E273" s="130" t="s">
        <v>22</v>
      </c>
      <c r="F273" s="470">
        <f>F265+F267+F269+F272</f>
        <v>2050.3096</v>
      </c>
      <c r="G273" s="131"/>
      <c r="H273" s="465"/>
      <c r="I273" s="465"/>
    </row>
    <row r="274">
      <c r="A274" s="129" t="s">
        <v>800</v>
      </c>
      <c r="B274" s="2"/>
      <c r="C274" s="3"/>
      <c r="D274" s="121">
        <v>1.0</v>
      </c>
      <c r="E274" s="130" t="s">
        <v>22</v>
      </c>
      <c r="F274" s="121">
        <f>F273/D273</f>
        <v>205.03096</v>
      </c>
      <c r="G274" s="131"/>
      <c r="H274" s="465"/>
      <c r="I274" s="465"/>
    </row>
    <row r="275">
      <c r="A275" s="133" t="s">
        <v>802</v>
      </c>
      <c r="B275" s="2"/>
      <c r="C275" s="2"/>
      <c r="D275" s="3"/>
      <c r="E275" s="121"/>
      <c r="F275" s="121">
        <f>F274*1%</f>
        <v>2.0503096</v>
      </c>
      <c r="G275" s="131"/>
      <c r="H275" s="465"/>
      <c r="I275" s="465"/>
    </row>
    <row r="276">
      <c r="A276" s="133" t="s">
        <v>42</v>
      </c>
      <c r="B276" s="2"/>
      <c r="C276" s="2"/>
      <c r="D276" s="3"/>
      <c r="E276" s="131"/>
      <c r="F276" s="121">
        <f>F274+F275</f>
        <v>207.0812696</v>
      </c>
      <c r="G276" s="131"/>
      <c r="H276" s="465"/>
      <c r="I276" s="465"/>
    </row>
    <row r="277">
      <c r="A277" s="133" t="s">
        <v>806</v>
      </c>
      <c r="B277" s="2"/>
      <c r="C277" s="2"/>
      <c r="D277" s="3"/>
      <c r="E277" s="121"/>
      <c r="F277" s="121">
        <f>F276*15%</f>
        <v>31.06219044</v>
      </c>
      <c r="G277" s="131"/>
      <c r="H277" s="465"/>
      <c r="I277" s="465"/>
    </row>
    <row r="278">
      <c r="A278" s="133" t="s">
        <v>42</v>
      </c>
      <c r="B278" s="2"/>
      <c r="C278" s="2"/>
      <c r="D278" s="3"/>
      <c r="E278" s="131"/>
      <c r="F278" s="300">
        <f>round(F276+F277,2)</f>
        <v>238.14</v>
      </c>
      <c r="G278" s="131"/>
      <c r="H278" s="465"/>
      <c r="I278" s="465"/>
    </row>
    <row r="279">
      <c r="A279" s="471" t="str">
        <f>CONCATENATE("Say ₹ ",F262," + ",F278," x Cost Index")</f>
        <v>Say ₹ 70.79 + 238.14 x Cost Index</v>
      </c>
      <c r="B279" s="2"/>
      <c r="C279" s="2"/>
      <c r="D279" s="2"/>
      <c r="E279" s="2"/>
      <c r="F279" s="3"/>
      <c r="G279" s="472" t="s">
        <v>939</v>
      </c>
      <c r="H279" s="473">
        <f>F256*1.01*1.15/10</f>
        <v>70.793425</v>
      </c>
      <c r="I279" s="473">
        <f>(F265+F267+F269+F272)*1.01*1.15/10</f>
        <v>238.14346</v>
      </c>
    </row>
    <row r="280">
      <c r="A280" s="111" t="s">
        <v>742</v>
      </c>
      <c r="B280" s="111" t="s">
        <v>745</v>
      </c>
      <c r="C280" s="112" t="s">
        <v>6</v>
      </c>
      <c r="D280" s="2"/>
      <c r="E280" s="3"/>
      <c r="F280" s="112" t="s">
        <v>746</v>
      </c>
      <c r="G280" s="3"/>
      <c r="H280" s="465"/>
      <c r="I280" s="465"/>
    </row>
    <row r="281">
      <c r="A281" s="20"/>
      <c r="B281" s="20"/>
      <c r="C281" s="115" t="s">
        <v>8</v>
      </c>
      <c r="D281" s="115" t="s">
        <v>9</v>
      </c>
      <c r="E281" s="115" t="s">
        <v>358</v>
      </c>
      <c r="F281" s="115" t="s">
        <v>11</v>
      </c>
      <c r="G281" s="115" t="s">
        <v>751</v>
      </c>
      <c r="H281" s="465"/>
      <c r="I281" s="465"/>
    </row>
    <row r="282">
      <c r="A282" s="466" t="s">
        <v>1862</v>
      </c>
      <c r="B282" s="2"/>
      <c r="C282" s="2"/>
      <c r="D282" s="2"/>
      <c r="E282" s="2"/>
      <c r="F282" s="2"/>
      <c r="G282" s="3"/>
      <c r="H282" s="465"/>
      <c r="I282" s="465"/>
    </row>
    <row r="283">
      <c r="A283" s="507"/>
      <c r="B283" s="508" t="s">
        <v>754</v>
      </c>
      <c r="C283" s="508" t="s">
        <v>22</v>
      </c>
      <c r="D283" s="508" t="s">
        <v>757</v>
      </c>
      <c r="E283" s="470">
        <v>10.0</v>
      </c>
      <c r="F283" s="509"/>
      <c r="G283" s="3"/>
      <c r="H283" s="465"/>
      <c r="I283" s="465"/>
    </row>
    <row r="284">
      <c r="A284" s="508" t="s">
        <v>761</v>
      </c>
      <c r="B284" s="510" t="s">
        <v>519</v>
      </c>
      <c r="C284" s="2"/>
      <c r="D284" s="2"/>
      <c r="E284" s="2"/>
      <c r="F284" s="2"/>
      <c r="G284" s="3"/>
      <c r="H284" s="465"/>
      <c r="I284" s="465"/>
    </row>
    <row r="285">
      <c r="A285" s="124" t="s">
        <v>764</v>
      </c>
      <c r="B285" s="2"/>
      <c r="C285" s="2"/>
      <c r="D285" s="2"/>
      <c r="E285" s="2"/>
      <c r="F285" s="3"/>
      <c r="G285" s="125" t="s">
        <v>766</v>
      </c>
      <c r="H285" s="465"/>
      <c r="I285" s="465"/>
    </row>
    <row r="286">
      <c r="A286" s="511"/>
      <c r="B286" s="512" t="s">
        <v>1789</v>
      </c>
      <c r="C286" s="510" t="s">
        <v>1863</v>
      </c>
      <c r="D286" s="2"/>
      <c r="E286" s="3"/>
      <c r="F286" s="509"/>
      <c r="G286" s="3"/>
      <c r="H286" s="465"/>
      <c r="I286" s="465"/>
    </row>
    <row r="287">
      <c r="A287" s="20"/>
      <c r="B287" s="20"/>
      <c r="C287" s="508" t="s">
        <v>22</v>
      </c>
      <c r="D287" s="470">
        <v>11.5</v>
      </c>
      <c r="E287" s="470">
        <v>90.0</v>
      </c>
      <c r="F287" s="121">
        <f>E287*D287</f>
        <v>1035</v>
      </c>
      <c r="G287" s="508" t="s">
        <v>772</v>
      </c>
      <c r="H287" s="465"/>
      <c r="I287" s="465"/>
    </row>
    <row r="288">
      <c r="A288" s="129" t="s">
        <v>42</v>
      </c>
      <c r="B288" s="2"/>
      <c r="C288" s="3"/>
      <c r="D288" s="121">
        <v>10.0</v>
      </c>
      <c r="E288" s="130" t="s">
        <v>22</v>
      </c>
      <c r="F288" s="121">
        <f>F287</f>
        <v>1035</v>
      </c>
      <c r="G288" s="508"/>
      <c r="H288" s="465"/>
      <c r="I288" s="465"/>
    </row>
    <row r="289">
      <c r="A289" s="129" t="s">
        <v>800</v>
      </c>
      <c r="B289" s="2"/>
      <c r="C289" s="3"/>
      <c r="D289" s="121">
        <v>1.0</v>
      </c>
      <c r="E289" s="130" t="s">
        <v>22</v>
      </c>
      <c r="F289" s="121">
        <f>F288/D288</f>
        <v>103.5</v>
      </c>
      <c r="G289" s="508"/>
      <c r="H289" s="465"/>
      <c r="I289" s="465"/>
    </row>
    <row r="290">
      <c r="A290" s="133" t="s">
        <v>802</v>
      </c>
      <c r="B290" s="2"/>
      <c r="C290" s="2"/>
      <c r="D290" s="3"/>
      <c r="E290" s="121"/>
      <c r="F290" s="121">
        <f>F289*1%</f>
        <v>1.035</v>
      </c>
      <c r="G290" s="508"/>
      <c r="H290" s="465"/>
      <c r="I290" s="465"/>
    </row>
    <row r="291">
      <c r="A291" s="133" t="s">
        <v>42</v>
      </c>
      <c r="B291" s="2"/>
      <c r="C291" s="2"/>
      <c r="D291" s="3"/>
      <c r="E291" s="131"/>
      <c r="F291" s="121">
        <f>F289+F290</f>
        <v>104.535</v>
      </c>
      <c r="G291" s="508"/>
      <c r="H291" s="465"/>
      <c r="I291" s="465"/>
    </row>
    <row r="292">
      <c r="A292" s="133" t="s">
        <v>806</v>
      </c>
      <c r="B292" s="2"/>
      <c r="C292" s="2"/>
      <c r="D292" s="3"/>
      <c r="E292" s="121"/>
      <c r="F292" s="121">
        <f>F291*15%</f>
        <v>15.68025</v>
      </c>
      <c r="G292" s="508"/>
      <c r="H292" s="465"/>
      <c r="I292" s="465"/>
    </row>
    <row r="293">
      <c r="A293" s="133" t="s">
        <v>42</v>
      </c>
      <c r="B293" s="2"/>
      <c r="C293" s="2"/>
      <c r="D293" s="3"/>
      <c r="E293" s="131"/>
      <c r="F293" s="300">
        <f>round(F291+F292,2)</f>
        <v>120.22</v>
      </c>
      <c r="G293" s="508"/>
      <c r="H293" s="465"/>
      <c r="I293" s="465"/>
    </row>
    <row r="294">
      <c r="A294" s="124" t="s">
        <v>777</v>
      </c>
      <c r="B294" s="2"/>
      <c r="C294" s="2"/>
      <c r="D294" s="2"/>
      <c r="E294" s="2"/>
      <c r="F294" s="3"/>
      <c r="G294" s="125" t="s">
        <v>778</v>
      </c>
      <c r="H294" s="465"/>
      <c r="I294" s="465"/>
    </row>
    <row r="295">
      <c r="A295" s="512">
        <v>116.0</v>
      </c>
      <c r="B295" s="511"/>
      <c r="C295" s="510" t="s">
        <v>535</v>
      </c>
      <c r="D295" s="2"/>
      <c r="E295" s="3"/>
      <c r="F295" s="509"/>
      <c r="G295" s="3"/>
      <c r="H295" s="465"/>
      <c r="I295" s="465"/>
    </row>
    <row r="296">
      <c r="A296" s="20"/>
      <c r="B296" s="20"/>
      <c r="C296" s="508" t="s">
        <v>27</v>
      </c>
      <c r="D296" s="470">
        <v>0.33</v>
      </c>
      <c r="E296" s="470">
        <v>784.0</v>
      </c>
      <c r="F296" s="121">
        <f>E296*D296</f>
        <v>258.72</v>
      </c>
      <c r="G296" s="508" t="s">
        <v>780</v>
      </c>
      <c r="H296" s="465"/>
      <c r="I296" s="465"/>
    </row>
    <row r="297">
      <c r="A297" s="512">
        <v>117.0</v>
      </c>
      <c r="B297" s="511"/>
      <c r="C297" s="510" t="s">
        <v>856</v>
      </c>
      <c r="D297" s="2"/>
      <c r="E297" s="3"/>
      <c r="F297" s="509"/>
      <c r="G297" s="3"/>
      <c r="H297" s="465"/>
      <c r="I297" s="465"/>
    </row>
    <row r="298">
      <c r="A298" s="20"/>
      <c r="B298" s="20"/>
      <c r="C298" s="508" t="s">
        <v>27</v>
      </c>
      <c r="D298" s="470">
        <v>1.31</v>
      </c>
      <c r="E298" s="470">
        <v>714.0</v>
      </c>
      <c r="F298" s="121">
        <f>E298*D298</f>
        <v>935.34</v>
      </c>
      <c r="G298" s="508" t="s">
        <v>782</v>
      </c>
      <c r="H298" s="465"/>
      <c r="I298" s="465"/>
    </row>
    <row r="299">
      <c r="A299" s="512">
        <v>114.0</v>
      </c>
      <c r="B299" s="511"/>
      <c r="C299" s="510" t="s">
        <v>97</v>
      </c>
      <c r="D299" s="2"/>
      <c r="E299" s="3"/>
      <c r="F299" s="509"/>
      <c r="G299" s="3"/>
      <c r="H299" s="465"/>
      <c r="I299" s="465"/>
    </row>
    <row r="300">
      <c r="A300" s="20"/>
      <c r="B300" s="20"/>
      <c r="C300" s="508" t="s">
        <v>27</v>
      </c>
      <c r="D300" s="470">
        <v>1.31</v>
      </c>
      <c r="E300" s="470">
        <v>645.0</v>
      </c>
      <c r="F300" s="121">
        <f>E300*D300</f>
        <v>844.95</v>
      </c>
      <c r="G300" s="508" t="s">
        <v>791</v>
      </c>
      <c r="H300" s="465"/>
      <c r="I300" s="465"/>
    </row>
    <row r="301">
      <c r="A301" s="124" t="s">
        <v>843</v>
      </c>
      <c r="B301" s="2"/>
      <c r="C301" s="2"/>
      <c r="D301" s="2"/>
      <c r="E301" s="2"/>
      <c r="F301" s="3"/>
      <c r="G301" s="125" t="s">
        <v>778</v>
      </c>
      <c r="H301" s="465"/>
      <c r="I301" s="465"/>
    </row>
    <row r="302">
      <c r="A302" s="512">
        <v>9999.0</v>
      </c>
      <c r="B302" s="511"/>
      <c r="C302" s="510" t="s">
        <v>1750</v>
      </c>
      <c r="D302" s="2"/>
      <c r="E302" s="3"/>
      <c r="F302" s="509"/>
      <c r="G302" s="3"/>
      <c r="H302" s="465"/>
      <c r="I302" s="465"/>
    </row>
    <row r="303">
      <c r="A303" s="20"/>
      <c r="B303" s="20"/>
      <c r="C303" s="508" t="s">
        <v>107</v>
      </c>
      <c r="D303" s="470">
        <v>5.33</v>
      </c>
      <c r="E303" s="470">
        <v>2.12</v>
      </c>
      <c r="F303" s="121">
        <f>E303*D303</f>
        <v>11.2996</v>
      </c>
      <c r="G303" s="508" t="s">
        <v>846</v>
      </c>
      <c r="H303" s="465"/>
      <c r="I303" s="465"/>
    </row>
    <row r="304">
      <c r="A304" s="129" t="s">
        <v>42</v>
      </c>
      <c r="B304" s="2"/>
      <c r="C304" s="3"/>
      <c r="D304" s="121">
        <v>10.0</v>
      </c>
      <c r="E304" s="130" t="s">
        <v>22</v>
      </c>
      <c r="F304" s="470">
        <f>F296+F298+F300+F303</f>
        <v>2050.3096</v>
      </c>
      <c r="G304" s="131"/>
      <c r="H304" s="465"/>
      <c r="I304" s="465"/>
    </row>
    <row r="305">
      <c r="A305" s="129" t="s">
        <v>800</v>
      </c>
      <c r="B305" s="2"/>
      <c r="C305" s="3"/>
      <c r="D305" s="121">
        <v>1.0</v>
      </c>
      <c r="E305" s="130" t="s">
        <v>22</v>
      </c>
      <c r="F305" s="121">
        <f>F304/D304</f>
        <v>205.03096</v>
      </c>
      <c r="G305" s="131"/>
      <c r="H305" s="465"/>
      <c r="I305" s="465"/>
    </row>
    <row r="306">
      <c r="A306" s="133" t="s">
        <v>802</v>
      </c>
      <c r="B306" s="2"/>
      <c r="C306" s="2"/>
      <c r="D306" s="3"/>
      <c r="E306" s="121"/>
      <c r="F306" s="121">
        <f>F305*1%</f>
        <v>2.0503096</v>
      </c>
      <c r="G306" s="131"/>
      <c r="H306" s="465"/>
      <c r="I306" s="465"/>
    </row>
    <row r="307">
      <c r="A307" s="133" t="s">
        <v>42</v>
      </c>
      <c r="B307" s="2"/>
      <c r="C307" s="2"/>
      <c r="D307" s="3"/>
      <c r="E307" s="131"/>
      <c r="F307" s="121">
        <f>F305+F306</f>
        <v>207.0812696</v>
      </c>
      <c r="G307" s="131"/>
      <c r="H307" s="465"/>
      <c r="I307" s="465"/>
    </row>
    <row r="308">
      <c r="A308" s="133" t="s">
        <v>806</v>
      </c>
      <c r="B308" s="2"/>
      <c r="C308" s="2"/>
      <c r="D308" s="3"/>
      <c r="E308" s="121"/>
      <c r="F308" s="121">
        <f>F307*15%</f>
        <v>31.06219044</v>
      </c>
      <c r="G308" s="131"/>
      <c r="H308" s="465"/>
      <c r="I308" s="465"/>
    </row>
    <row r="309">
      <c r="A309" s="133" t="s">
        <v>42</v>
      </c>
      <c r="B309" s="2"/>
      <c r="C309" s="2"/>
      <c r="D309" s="3"/>
      <c r="E309" s="131"/>
      <c r="F309" s="300">
        <f>round(F307+F308,2)</f>
        <v>238.14</v>
      </c>
      <c r="G309" s="131"/>
      <c r="H309" s="465"/>
      <c r="I309" s="465"/>
    </row>
    <row r="310">
      <c r="A310" s="471" t="str">
        <f>CONCATENATE("Say ₹ ",F293," + ",F309," x Cost Index")</f>
        <v>Say ₹ 120.22 + 238.14 x Cost Index</v>
      </c>
      <c r="B310" s="2"/>
      <c r="C310" s="2"/>
      <c r="D310" s="2"/>
      <c r="E310" s="2"/>
      <c r="F310" s="3"/>
      <c r="G310" s="472" t="s">
        <v>939</v>
      </c>
      <c r="H310" s="473">
        <f>F287*1.01*1.15/10</f>
        <v>120.21525</v>
      </c>
      <c r="I310" s="473">
        <f>(F296+F298+F300+F303)*1.01*1.15/10</f>
        <v>238.14346</v>
      </c>
    </row>
    <row r="311">
      <c r="A311" s="111" t="s">
        <v>742</v>
      </c>
      <c r="B311" s="111" t="s">
        <v>745</v>
      </c>
      <c r="C311" s="112" t="s">
        <v>6</v>
      </c>
      <c r="D311" s="2"/>
      <c r="E311" s="3"/>
      <c r="F311" s="112" t="s">
        <v>746</v>
      </c>
      <c r="G311" s="3"/>
      <c r="H311" s="465"/>
      <c r="I311" s="465"/>
    </row>
    <row r="312">
      <c r="A312" s="20"/>
      <c r="B312" s="20"/>
      <c r="C312" s="115" t="s">
        <v>8</v>
      </c>
      <c r="D312" s="115" t="s">
        <v>9</v>
      </c>
      <c r="E312" s="115" t="s">
        <v>358</v>
      </c>
      <c r="F312" s="115" t="s">
        <v>11</v>
      </c>
      <c r="G312" s="115" t="s">
        <v>751</v>
      </c>
      <c r="H312" s="465"/>
      <c r="I312" s="465"/>
    </row>
    <row r="313">
      <c r="A313" s="466" t="s">
        <v>1876</v>
      </c>
      <c r="B313" s="2"/>
      <c r="C313" s="2"/>
      <c r="D313" s="2"/>
      <c r="E313" s="2"/>
      <c r="F313" s="2"/>
      <c r="G313" s="3"/>
      <c r="H313" s="465"/>
      <c r="I313" s="465"/>
    </row>
    <row r="314">
      <c r="A314" s="119"/>
      <c r="B314" s="120" t="s">
        <v>754</v>
      </c>
      <c r="C314" s="120" t="s">
        <v>22</v>
      </c>
      <c r="D314" s="120" t="s">
        <v>757</v>
      </c>
      <c r="E314" s="121">
        <v>10.0</v>
      </c>
      <c r="F314" s="467"/>
      <c r="G314" s="3"/>
      <c r="H314" s="465"/>
      <c r="I314" s="465"/>
    </row>
    <row r="315">
      <c r="A315" s="120" t="s">
        <v>761</v>
      </c>
      <c r="B315" s="123" t="s">
        <v>519</v>
      </c>
      <c r="C315" s="2"/>
      <c r="D315" s="2"/>
      <c r="E315" s="2"/>
      <c r="F315" s="2"/>
      <c r="G315" s="3"/>
      <c r="H315" s="465"/>
      <c r="I315" s="465"/>
    </row>
    <row r="316">
      <c r="A316" s="124" t="s">
        <v>764</v>
      </c>
      <c r="B316" s="2"/>
      <c r="C316" s="2"/>
      <c r="D316" s="2"/>
      <c r="E316" s="2"/>
      <c r="F316" s="3"/>
      <c r="G316" s="125" t="s">
        <v>766</v>
      </c>
      <c r="H316" s="465"/>
      <c r="I316" s="465"/>
    </row>
    <row r="317">
      <c r="A317" s="126"/>
      <c r="B317" s="127" t="s">
        <v>1799</v>
      </c>
      <c r="C317" s="123" t="s">
        <v>1878</v>
      </c>
      <c r="D317" s="2"/>
      <c r="E317" s="3"/>
      <c r="F317" s="467"/>
      <c r="G317" s="3"/>
      <c r="H317" s="465"/>
      <c r="I317" s="465"/>
    </row>
    <row r="318">
      <c r="A318" s="20"/>
      <c r="B318" s="20"/>
      <c r="C318" s="120" t="s">
        <v>22</v>
      </c>
      <c r="D318" s="121">
        <v>11.5</v>
      </c>
      <c r="E318" s="121">
        <v>60.0</v>
      </c>
      <c r="F318" s="121">
        <f>E318*D318</f>
        <v>690</v>
      </c>
      <c r="G318" s="120" t="s">
        <v>772</v>
      </c>
      <c r="H318" s="465"/>
      <c r="I318" s="465"/>
    </row>
    <row r="319">
      <c r="A319" s="129" t="s">
        <v>42</v>
      </c>
      <c r="B319" s="2"/>
      <c r="C319" s="3"/>
      <c r="D319" s="121">
        <v>10.0</v>
      </c>
      <c r="E319" s="130" t="s">
        <v>22</v>
      </c>
      <c r="F319" s="121">
        <f>F318</f>
        <v>690</v>
      </c>
      <c r="G319" s="120"/>
      <c r="H319" s="465"/>
      <c r="I319" s="465"/>
    </row>
    <row r="320">
      <c r="A320" s="129" t="s">
        <v>800</v>
      </c>
      <c r="B320" s="2"/>
      <c r="C320" s="3"/>
      <c r="D320" s="121">
        <v>1.0</v>
      </c>
      <c r="E320" s="130" t="s">
        <v>22</v>
      </c>
      <c r="F320" s="121">
        <f>F319/D319</f>
        <v>69</v>
      </c>
      <c r="G320" s="120"/>
      <c r="H320" s="465"/>
      <c r="I320" s="465"/>
    </row>
    <row r="321">
      <c r="A321" s="133" t="s">
        <v>802</v>
      </c>
      <c r="B321" s="2"/>
      <c r="C321" s="2"/>
      <c r="D321" s="3"/>
      <c r="E321" s="121"/>
      <c r="F321" s="121">
        <f>F320*1%</f>
        <v>0.69</v>
      </c>
      <c r="G321" s="120"/>
      <c r="H321" s="465"/>
      <c r="I321" s="465"/>
    </row>
    <row r="322">
      <c r="A322" s="133" t="s">
        <v>42</v>
      </c>
      <c r="B322" s="2"/>
      <c r="C322" s="2"/>
      <c r="D322" s="3"/>
      <c r="E322" s="131"/>
      <c r="F322" s="121">
        <f>F320+F321</f>
        <v>69.69</v>
      </c>
      <c r="G322" s="120"/>
      <c r="H322" s="465"/>
      <c r="I322" s="465"/>
    </row>
    <row r="323">
      <c r="A323" s="133" t="s">
        <v>806</v>
      </c>
      <c r="B323" s="2"/>
      <c r="C323" s="2"/>
      <c r="D323" s="3"/>
      <c r="E323" s="121"/>
      <c r="F323" s="121">
        <f>F322*15%</f>
        <v>10.4535</v>
      </c>
      <c r="G323" s="120"/>
      <c r="H323" s="465"/>
      <c r="I323" s="465"/>
    </row>
    <row r="324">
      <c r="A324" s="133" t="s">
        <v>42</v>
      </c>
      <c r="B324" s="2"/>
      <c r="C324" s="2"/>
      <c r="D324" s="3"/>
      <c r="E324" s="131"/>
      <c r="F324" s="300">
        <f>round(F322+F323,2)</f>
        <v>80.14</v>
      </c>
      <c r="G324" s="120"/>
      <c r="H324" s="465"/>
      <c r="I324" s="465"/>
    </row>
    <row r="325">
      <c r="A325" s="124" t="s">
        <v>777</v>
      </c>
      <c r="B325" s="2"/>
      <c r="C325" s="2"/>
      <c r="D325" s="2"/>
      <c r="E325" s="2"/>
      <c r="F325" s="3"/>
      <c r="G325" s="125" t="s">
        <v>778</v>
      </c>
      <c r="H325" s="465"/>
      <c r="I325" s="465"/>
    </row>
    <row r="326">
      <c r="A326" s="127">
        <v>116.0</v>
      </c>
      <c r="B326" s="126"/>
      <c r="C326" s="123" t="s">
        <v>535</v>
      </c>
      <c r="D326" s="2"/>
      <c r="E326" s="3"/>
      <c r="F326" s="467"/>
      <c r="G326" s="3"/>
      <c r="H326" s="465"/>
      <c r="I326" s="465"/>
    </row>
    <row r="327">
      <c r="A327" s="20"/>
      <c r="B327" s="20"/>
      <c r="C327" s="120" t="s">
        <v>27</v>
      </c>
      <c r="D327" s="121">
        <v>0.33</v>
      </c>
      <c r="E327" s="121">
        <v>784.0</v>
      </c>
      <c r="F327" s="121">
        <f>E327*D327</f>
        <v>258.72</v>
      </c>
      <c r="G327" s="120" t="s">
        <v>780</v>
      </c>
      <c r="H327" s="465"/>
      <c r="I327" s="465"/>
    </row>
    <row r="328">
      <c r="A328" s="127">
        <v>117.0</v>
      </c>
      <c r="B328" s="126"/>
      <c r="C328" s="123" t="s">
        <v>856</v>
      </c>
      <c r="D328" s="2"/>
      <c r="E328" s="3"/>
      <c r="F328" s="467"/>
      <c r="G328" s="3"/>
      <c r="H328" s="465"/>
      <c r="I328" s="465"/>
    </row>
    <row r="329">
      <c r="A329" s="20"/>
      <c r="B329" s="20"/>
      <c r="C329" s="120" t="s">
        <v>27</v>
      </c>
      <c r="D329" s="121">
        <v>1.31</v>
      </c>
      <c r="E329" s="121">
        <v>714.0</v>
      </c>
      <c r="F329" s="121">
        <f>E329*D329</f>
        <v>935.34</v>
      </c>
      <c r="G329" s="120" t="s">
        <v>782</v>
      </c>
      <c r="H329" s="465"/>
      <c r="I329" s="465"/>
    </row>
    <row r="330">
      <c r="A330" s="127">
        <v>114.0</v>
      </c>
      <c r="B330" s="126"/>
      <c r="C330" s="123" t="s">
        <v>97</v>
      </c>
      <c r="D330" s="2"/>
      <c r="E330" s="3"/>
      <c r="F330" s="467"/>
      <c r="G330" s="3"/>
      <c r="H330" s="465"/>
      <c r="I330" s="465"/>
    </row>
    <row r="331">
      <c r="A331" s="20"/>
      <c r="B331" s="20"/>
      <c r="C331" s="120" t="s">
        <v>27</v>
      </c>
      <c r="D331" s="121">
        <v>1.31</v>
      </c>
      <c r="E331" s="121">
        <v>645.0</v>
      </c>
      <c r="F331" s="121">
        <f>E331*D331</f>
        <v>844.95</v>
      </c>
      <c r="G331" s="120" t="s">
        <v>791</v>
      </c>
      <c r="H331" s="465"/>
      <c r="I331" s="465"/>
    </row>
    <row r="332">
      <c r="A332" s="124" t="s">
        <v>843</v>
      </c>
      <c r="B332" s="2"/>
      <c r="C332" s="2"/>
      <c r="D332" s="2"/>
      <c r="E332" s="2"/>
      <c r="F332" s="3"/>
      <c r="G332" s="125" t="s">
        <v>778</v>
      </c>
      <c r="H332" s="465"/>
      <c r="I332" s="465"/>
    </row>
    <row r="333">
      <c r="A333" s="127">
        <v>9999.0</v>
      </c>
      <c r="B333" s="126"/>
      <c r="C333" s="123" t="s">
        <v>1750</v>
      </c>
      <c r="D333" s="2"/>
      <c r="E333" s="3"/>
      <c r="F333" s="467"/>
      <c r="G333" s="3"/>
      <c r="H333" s="465"/>
      <c r="I333" s="465"/>
    </row>
    <row r="334">
      <c r="A334" s="20"/>
      <c r="B334" s="20"/>
      <c r="C334" s="120" t="s">
        <v>107</v>
      </c>
      <c r="D334" s="121">
        <v>5.33</v>
      </c>
      <c r="E334" s="121">
        <v>2.12</v>
      </c>
      <c r="F334" s="121">
        <f>E334*D334</f>
        <v>11.2996</v>
      </c>
      <c r="G334" s="120" t="s">
        <v>846</v>
      </c>
      <c r="H334" s="465"/>
      <c r="I334" s="465"/>
    </row>
    <row r="335">
      <c r="A335" s="129" t="s">
        <v>42</v>
      </c>
      <c r="B335" s="2"/>
      <c r="C335" s="3"/>
      <c r="D335" s="121">
        <v>10.0</v>
      </c>
      <c r="E335" s="130" t="s">
        <v>22</v>
      </c>
      <c r="F335" s="470">
        <f>F327+F329+F331+F334</f>
        <v>2050.3096</v>
      </c>
      <c r="G335" s="131"/>
      <c r="H335" s="465"/>
      <c r="I335" s="465"/>
    </row>
    <row r="336">
      <c r="A336" s="129" t="s">
        <v>800</v>
      </c>
      <c r="B336" s="2"/>
      <c r="C336" s="3"/>
      <c r="D336" s="121">
        <v>1.0</v>
      </c>
      <c r="E336" s="130" t="s">
        <v>22</v>
      </c>
      <c r="F336" s="121">
        <f>F335/D335</f>
        <v>205.03096</v>
      </c>
      <c r="G336" s="131"/>
      <c r="H336" s="465"/>
      <c r="I336" s="465"/>
    </row>
    <row r="337">
      <c r="A337" s="133" t="s">
        <v>802</v>
      </c>
      <c r="B337" s="2"/>
      <c r="C337" s="2"/>
      <c r="D337" s="3"/>
      <c r="E337" s="121"/>
      <c r="F337" s="121">
        <f>F336*1%</f>
        <v>2.0503096</v>
      </c>
      <c r="G337" s="131"/>
      <c r="H337" s="465"/>
      <c r="I337" s="465"/>
    </row>
    <row r="338">
      <c r="A338" s="133" t="s">
        <v>42</v>
      </c>
      <c r="B338" s="2"/>
      <c r="C338" s="2"/>
      <c r="D338" s="3"/>
      <c r="E338" s="131"/>
      <c r="F338" s="121">
        <f>F336+F337</f>
        <v>207.0812696</v>
      </c>
      <c r="G338" s="131"/>
      <c r="H338" s="465"/>
      <c r="I338" s="465"/>
    </row>
    <row r="339">
      <c r="A339" s="133" t="s">
        <v>806</v>
      </c>
      <c r="B339" s="2"/>
      <c r="C339" s="2"/>
      <c r="D339" s="3"/>
      <c r="E339" s="121"/>
      <c r="F339" s="121">
        <f>F338*15%</f>
        <v>31.06219044</v>
      </c>
      <c r="G339" s="131"/>
      <c r="H339" s="465"/>
      <c r="I339" s="465"/>
    </row>
    <row r="340">
      <c r="A340" s="133" t="s">
        <v>42</v>
      </c>
      <c r="B340" s="2"/>
      <c r="C340" s="2"/>
      <c r="D340" s="3"/>
      <c r="E340" s="131"/>
      <c r="F340" s="300">
        <f>round(F338+F339,2)</f>
        <v>238.14</v>
      </c>
      <c r="G340" s="131"/>
      <c r="H340" s="465"/>
      <c r="I340" s="465"/>
    </row>
    <row r="341">
      <c r="A341" s="471" t="str">
        <f>CONCATENATE("Say ₹ ",F324," + ",F340," x Cost Index")</f>
        <v>Say ₹ 80.14 + 238.14 x Cost Index</v>
      </c>
      <c r="B341" s="2"/>
      <c r="C341" s="2"/>
      <c r="D341" s="2"/>
      <c r="E341" s="2"/>
      <c r="F341" s="3"/>
      <c r="G341" s="472" t="s">
        <v>939</v>
      </c>
      <c r="H341" s="473">
        <f>F318*1.01*1.15/10</f>
        <v>80.1435</v>
      </c>
      <c r="I341" s="473">
        <f>(F327+F329+F331+F334)*1.01*1.15/10</f>
        <v>238.14346</v>
      </c>
    </row>
    <row r="342">
      <c r="A342" s="111" t="s">
        <v>742</v>
      </c>
      <c r="B342" s="111" t="s">
        <v>745</v>
      </c>
      <c r="C342" s="112" t="s">
        <v>6</v>
      </c>
      <c r="D342" s="2"/>
      <c r="E342" s="3"/>
      <c r="F342" s="112" t="s">
        <v>746</v>
      </c>
      <c r="G342" s="3"/>
      <c r="H342" s="465"/>
      <c r="I342" s="465"/>
    </row>
    <row r="343">
      <c r="A343" s="20"/>
      <c r="B343" s="20"/>
      <c r="C343" s="115" t="s">
        <v>8</v>
      </c>
      <c r="D343" s="115" t="s">
        <v>9</v>
      </c>
      <c r="E343" s="115" t="s">
        <v>358</v>
      </c>
      <c r="F343" s="115" t="s">
        <v>11</v>
      </c>
      <c r="G343" s="115" t="s">
        <v>751</v>
      </c>
      <c r="H343" s="465"/>
      <c r="I343" s="465"/>
    </row>
    <row r="344">
      <c r="A344" s="466" t="s">
        <v>1893</v>
      </c>
      <c r="B344" s="2"/>
      <c r="C344" s="2"/>
      <c r="D344" s="2"/>
      <c r="E344" s="2"/>
      <c r="F344" s="2"/>
      <c r="G344" s="3"/>
      <c r="H344" s="465"/>
      <c r="I344" s="465"/>
    </row>
    <row r="345">
      <c r="A345" s="119"/>
      <c r="B345" s="120" t="s">
        <v>754</v>
      </c>
      <c r="C345" s="120" t="s">
        <v>22</v>
      </c>
      <c r="D345" s="120" t="s">
        <v>757</v>
      </c>
      <c r="E345" s="121">
        <v>10.0</v>
      </c>
      <c r="F345" s="467"/>
      <c r="G345" s="3"/>
      <c r="H345" s="465"/>
      <c r="I345" s="569"/>
    </row>
    <row r="346">
      <c r="A346" s="120" t="s">
        <v>761</v>
      </c>
      <c r="B346" s="123" t="s">
        <v>1895</v>
      </c>
      <c r="C346" s="2"/>
      <c r="D346" s="2"/>
      <c r="E346" s="2"/>
      <c r="F346" s="2"/>
      <c r="G346" s="3"/>
      <c r="H346" s="465"/>
      <c r="I346" s="569"/>
    </row>
    <row r="347">
      <c r="A347" s="124" t="s">
        <v>764</v>
      </c>
      <c r="B347" s="2"/>
      <c r="C347" s="2"/>
      <c r="D347" s="2"/>
      <c r="E347" s="2"/>
      <c r="F347" s="3"/>
      <c r="G347" s="125" t="s">
        <v>766</v>
      </c>
      <c r="H347" s="465"/>
      <c r="I347" s="465"/>
    </row>
    <row r="348">
      <c r="A348" s="126"/>
      <c r="B348" s="127" t="s">
        <v>1677</v>
      </c>
      <c r="C348" s="123" t="s">
        <v>1900</v>
      </c>
      <c r="D348" s="2"/>
      <c r="E348" s="3"/>
      <c r="F348" s="467"/>
      <c r="G348" s="3"/>
      <c r="H348" s="465"/>
      <c r="I348" s="465"/>
    </row>
    <row r="349">
      <c r="A349" s="20"/>
      <c r="B349" s="20"/>
      <c r="C349" s="120" t="s">
        <v>22</v>
      </c>
      <c r="D349" s="121">
        <v>11.5</v>
      </c>
      <c r="E349" s="121">
        <v>38.0</v>
      </c>
      <c r="F349" s="121">
        <f>E349*D349</f>
        <v>437</v>
      </c>
      <c r="G349" s="120" t="s">
        <v>772</v>
      </c>
      <c r="H349" s="465"/>
      <c r="I349" s="465"/>
    </row>
    <row r="350">
      <c r="A350" s="129" t="s">
        <v>42</v>
      </c>
      <c r="B350" s="2"/>
      <c r="C350" s="3"/>
      <c r="D350" s="121">
        <v>10.0</v>
      </c>
      <c r="E350" s="130" t="s">
        <v>22</v>
      </c>
      <c r="F350" s="121">
        <f>F349</f>
        <v>437</v>
      </c>
      <c r="G350" s="120"/>
      <c r="H350" s="465"/>
      <c r="I350" s="465"/>
    </row>
    <row r="351">
      <c r="A351" s="129" t="s">
        <v>800</v>
      </c>
      <c r="B351" s="2"/>
      <c r="C351" s="3"/>
      <c r="D351" s="121">
        <v>1.0</v>
      </c>
      <c r="E351" s="130" t="s">
        <v>22</v>
      </c>
      <c r="F351" s="121">
        <f>F350/D350</f>
        <v>43.7</v>
      </c>
      <c r="G351" s="120"/>
      <c r="H351" s="465"/>
      <c r="I351" s="465"/>
    </row>
    <row r="352">
      <c r="A352" s="133" t="s">
        <v>802</v>
      </c>
      <c r="B352" s="2"/>
      <c r="C352" s="2"/>
      <c r="D352" s="3"/>
      <c r="E352" s="121"/>
      <c r="F352" s="121">
        <f>F351*1%</f>
        <v>0.437</v>
      </c>
      <c r="G352" s="120"/>
      <c r="H352" s="465"/>
      <c r="I352" s="465"/>
    </row>
    <row r="353">
      <c r="A353" s="133" t="s">
        <v>42</v>
      </c>
      <c r="B353" s="2"/>
      <c r="C353" s="2"/>
      <c r="D353" s="3"/>
      <c r="E353" s="131"/>
      <c r="F353" s="121">
        <f>F351+F352</f>
        <v>44.137</v>
      </c>
      <c r="G353" s="120"/>
      <c r="H353" s="465"/>
      <c r="I353" s="465"/>
    </row>
    <row r="354">
      <c r="A354" s="133" t="s">
        <v>806</v>
      </c>
      <c r="B354" s="2"/>
      <c r="C354" s="2"/>
      <c r="D354" s="3"/>
      <c r="E354" s="121"/>
      <c r="F354" s="121">
        <f>F353*15%</f>
        <v>6.62055</v>
      </c>
      <c r="G354" s="120"/>
      <c r="H354" s="465"/>
      <c r="I354" s="465"/>
    </row>
    <row r="355">
      <c r="A355" s="133" t="s">
        <v>42</v>
      </c>
      <c r="B355" s="2"/>
      <c r="C355" s="2"/>
      <c r="D355" s="3"/>
      <c r="E355" s="131"/>
      <c r="F355" s="300">
        <f>round(F353+F354,2)</f>
        <v>50.76</v>
      </c>
      <c r="G355" s="120"/>
      <c r="H355" s="465"/>
      <c r="I355" s="465"/>
    </row>
    <row r="356">
      <c r="A356" s="124" t="s">
        <v>777</v>
      </c>
      <c r="B356" s="2"/>
      <c r="C356" s="2"/>
      <c r="D356" s="2"/>
      <c r="E356" s="2"/>
      <c r="F356" s="3"/>
      <c r="G356" s="125" t="s">
        <v>778</v>
      </c>
      <c r="H356" s="465"/>
      <c r="I356" s="465"/>
    </row>
    <row r="357">
      <c r="A357" s="127">
        <v>116.0</v>
      </c>
      <c r="B357" s="126"/>
      <c r="C357" s="123" t="s">
        <v>535</v>
      </c>
      <c r="D357" s="2"/>
      <c r="E357" s="3"/>
      <c r="F357" s="467"/>
      <c r="G357" s="3"/>
      <c r="H357" s="465"/>
      <c r="I357" s="465"/>
    </row>
    <row r="358">
      <c r="A358" s="20"/>
      <c r="B358" s="20"/>
      <c r="C358" s="120" t="s">
        <v>27</v>
      </c>
      <c r="D358" s="121">
        <v>0.33</v>
      </c>
      <c r="E358" s="121">
        <v>784.0</v>
      </c>
      <c r="F358" s="121">
        <f>E358*D358</f>
        <v>258.72</v>
      </c>
      <c r="G358" s="120" t="s">
        <v>780</v>
      </c>
      <c r="H358" s="465"/>
      <c r="I358" s="465"/>
    </row>
    <row r="359">
      <c r="A359" s="127">
        <v>117.0</v>
      </c>
      <c r="B359" s="126"/>
      <c r="C359" s="123" t="s">
        <v>856</v>
      </c>
      <c r="D359" s="2"/>
      <c r="E359" s="3"/>
      <c r="F359" s="467"/>
      <c r="G359" s="3"/>
      <c r="H359" s="465"/>
      <c r="I359" s="465"/>
    </row>
    <row r="360">
      <c r="A360" s="20"/>
      <c r="B360" s="20"/>
      <c r="C360" s="120" t="s">
        <v>27</v>
      </c>
      <c r="D360" s="121">
        <v>0.82</v>
      </c>
      <c r="E360" s="121">
        <v>714.0</v>
      </c>
      <c r="F360" s="121">
        <f>E360*D360</f>
        <v>585.48</v>
      </c>
      <c r="G360" s="120" t="s">
        <v>782</v>
      </c>
      <c r="H360" s="465"/>
      <c r="I360" s="465"/>
    </row>
    <row r="361">
      <c r="A361" s="127">
        <v>114.0</v>
      </c>
      <c r="B361" s="126"/>
      <c r="C361" s="123" t="s">
        <v>97</v>
      </c>
      <c r="D361" s="2"/>
      <c r="E361" s="3"/>
      <c r="F361" s="467"/>
      <c r="G361" s="3"/>
      <c r="H361" s="465"/>
      <c r="I361" s="465"/>
    </row>
    <row r="362">
      <c r="A362" s="20"/>
      <c r="B362" s="20"/>
      <c r="C362" s="120" t="s">
        <v>27</v>
      </c>
      <c r="D362" s="121">
        <v>0.66</v>
      </c>
      <c r="E362" s="121">
        <v>645.0</v>
      </c>
      <c r="F362" s="121">
        <f>E362*D362</f>
        <v>425.7</v>
      </c>
      <c r="G362" s="120" t="s">
        <v>791</v>
      </c>
      <c r="H362" s="465"/>
      <c r="I362" s="465"/>
    </row>
    <row r="363">
      <c r="A363" s="124" t="s">
        <v>843</v>
      </c>
      <c r="B363" s="2"/>
      <c r="C363" s="2"/>
      <c r="D363" s="2"/>
      <c r="E363" s="2"/>
      <c r="F363" s="3"/>
      <c r="G363" s="125" t="s">
        <v>778</v>
      </c>
      <c r="H363" s="465"/>
      <c r="I363" s="465"/>
    </row>
    <row r="364">
      <c r="A364" s="127">
        <v>9999.0</v>
      </c>
      <c r="B364" s="126"/>
      <c r="C364" s="123" t="s">
        <v>1737</v>
      </c>
      <c r="D364" s="2"/>
      <c r="E364" s="3"/>
      <c r="F364" s="467"/>
      <c r="G364" s="3"/>
      <c r="H364" s="465"/>
      <c r="I364" s="465"/>
    </row>
    <row r="365">
      <c r="A365" s="20"/>
      <c r="B365" s="20"/>
      <c r="C365" s="120" t="s">
        <v>107</v>
      </c>
      <c r="D365" s="121">
        <v>2.73</v>
      </c>
      <c r="E365" s="121">
        <v>2.12</v>
      </c>
      <c r="F365" s="121">
        <f>E365*D365</f>
        <v>5.7876</v>
      </c>
      <c r="G365" s="120" t="s">
        <v>846</v>
      </c>
      <c r="H365" s="465"/>
      <c r="I365" s="465"/>
    </row>
    <row r="366">
      <c r="A366" s="127">
        <v>9999.0</v>
      </c>
      <c r="B366" s="126"/>
      <c r="C366" s="123" t="s">
        <v>1756</v>
      </c>
      <c r="D366" s="2"/>
      <c r="E366" s="3"/>
      <c r="F366" s="467"/>
      <c r="G366" s="3"/>
      <c r="H366" s="465"/>
      <c r="I366" s="465"/>
    </row>
    <row r="367">
      <c r="A367" s="20"/>
      <c r="B367" s="20"/>
      <c r="C367" s="120" t="s">
        <v>107</v>
      </c>
      <c r="D367" s="121">
        <v>30.98</v>
      </c>
      <c r="E367" s="121">
        <v>2.12</v>
      </c>
      <c r="F367" s="121">
        <f>E367*D367</f>
        <v>65.6776</v>
      </c>
      <c r="G367" s="120" t="s">
        <v>850</v>
      </c>
      <c r="H367" s="465"/>
      <c r="I367" s="465"/>
    </row>
    <row r="368">
      <c r="A368" s="129" t="s">
        <v>42</v>
      </c>
      <c r="B368" s="2"/>
      <c r="C368" s="3"/>
      <c r="D368" s="121">
        <v>10.0</v>
      </c>
      <c r="E368" s="130" t="s">
        <v>22</v>
      </c>
      <c r="F368" s="121">
        <f>F358+F360+F362+F365+F367</f>
        <v>1341.3652</v>
      </c>
      <c r="G368" s="131"/>
      <c r="H368" s="465"/>
      <c r="I368" s="465"/>
    </row>
    <row r="369">
      <c r="A369" s="129" t="s">
        <v>800</v>
      </c>
      <c r="B369" s="2"/>
      <c r="C369" s="3"/>
      <c r="D369" s="121">
        <v>1.0</v>
      </c>
      <c r="E369" s="130" t="s">
        <v>22</v>
      </c>
      <c r="F369" s="121">
        <f>F368/D368</f>
        <v>134.13652</v>
      </c>
      <c r="G369" s="131"/>
      <c r="H369" s="465"/>
      <c r="I369" s="465"/>
    </row>
    <row r="370">
      <c r="A370" s="133" t="s">
        <v>802</v>
      </c>
      <c r="B370" s="2"/>
      <c r="C370" s="2"/>
      <c r="D370" s="3"/>
      <c r="E370" s="121"/>
      <c r="F370" s="121">
        <f>F369*1%</f>
        <v>1.3413652</v>
      </c>
      <c r="G370" s="131"/>
      <c r="H370" s="465"/>
      <c r="I370" s="465"/>
    </row>
    <row r="371">
      <c r="A371" s="133" t="s">
        <v>42</v>
      </c>
      <c r="B371" s="2"/>
      <c r="C371" s="2"/>
      <c r="D371" s="3"/>
      <c r="E371" s="131"/>
      <c r="F371" s="121">
        <f>F369+F370</f>
        <v>135.4778852</v>
      </c>
      <c r="G371" s="131"/>
      <c r="H371" s="465"/>
      <c r="I371" s="465"/>
    </row>
    <row r="372">
      <c r="A372" s="133" t="s">
        <v>806</v>
      </c>
      <c r="B372" s="2"/>
      <c r="C372" s="2"/>
      <c r="D372" s="3"/>
      <c r="E372" s="121"/>
      <c r="F372" s="121">
        <f>F371*15%</f>
        <v>20.32168278</v>
      </c>
      <c r="G372" s="131"/>
      <c r="H372" s="465"/>
      <c r="I372" s="465"/>
    </row>
    <row r="373">
      <c r="A373" s="133" t="s">
        <v>42</v>
      </c>
      <c r="B373" s="2"/>
      <c r="C373" s="2"/>
      <c r="D373" s="3"/>
      <c r="E373" s="131"/>
      <c r="F373" s="300">
        <f>round(F371+F372,2)</f>
        <v>155.8</v>
      </c>
      <c r="G373" s="131"/>
      <c r="H373" s="465"/>
      <c r="I373" s="465"/>
    </row>
    <row r="374">
      <c r="A374" s="471" t="str">
        <f>CONCATENATE("Say ₹ ",F355," + ",F373," x Cost Index")</f>
        <v>Say ₹ 50.76 + 155.8 x Cost Index</v>
      </c>
      <c r="B374" s="2"/>
      <c r="C374" s="2"/>
      <c r="D374" s="2"/>
      <c r="E374" s="2"/>
      <c r="F374" s="3"/>
      <c r="G374" s="472" t="s">
        <v>939</v>
      </c>
      <c r="H374" s="473">
        <f>F349*1.01*1.15/10</f>
        <v>50.75755</v>
      </c>
      <c r="I374" s="473">
        <f>(F358+F360+F362+F365+F367)*1.01*1.15/10</f>
        <v>155.799568</v>
      </c>
    </row>
    <row r="375">
      <c r="A375" s="111" t="s">
        <v>742</v>
      </c>
      <c r="B375" s="111" t="s">
        <v>745</v>
      </c>
      <c r="C375" s="112" t="s">
        <v>6</v>
      </c>
      <c r="D375" s="2"/>
      <c r="E375" s="3"/>
      <c r="F375" s="112" t="s">
        <v>746</v>
      </c>
      <c r="G375" s="3"/>
      <c r="H375" s="465"/>
      <c r="I375" s="465"/>
    </row>
    <row r="376">
      <c r="A376" s="20"/>
      <c r="B376" s="20"/>
      <c r="C376" s="115" t="s">
        <v>8</v>
      </c>
      <c r="D376" s="115" t="s">
        <v>9</v>
      </c>
      <c r="E376" s="115" t="s">
        <v>358</v>
      </c>
      <c r="F376" s="115" t="s">
        <v>11</v>
      </c>
      <c r="G376" s="115" t="s">
        <v>751</v>
      </c>
      <c r="H376" s="465"/>
      <c r="I376" s="465"/>
    </row>
    <row r="377">
      <c r="A377" s="466" t="s">
        <v>1911</v>
      </c>
      <c r="B377" s="2"/>
      <c r="C377" s="2"/>
      <c r="D377" s="2"/>
      <c r="E377" s="2"/>
      <c r="F377" s="2"/>
      <c r="G377" s="3"/>
      <c r="H377" s="465"/>
      <c r="I377" s="465"/>
    </row>
    <row r="378">
      <c r="A378" s="119"/>
      <c r="B378" s="120" t="s">
        <v>754</v>
      </c>
      <c r="C378" s="120" t="s">
        <v>22</v>
      </c>
      <c r="D378" s="120" t="s">
        <v>757</v>
      </c>
      <c r="E378" s="121">
        <v>10.0</v>
      </c>
      <c r="F378" s="467"/>
      <c r="G378" s="3"/>
      <c r="H378" s="465"/>
      <c r="I378" s="465"/>
    </row>
    <row r="379">
      <c r="A379" s="120" t="s">
        <v>761</v>
      </c>
      <c r="B379" s="123" t="s">
        <v>1675</v>
      </c>
      <c r="C379" s="2"/>
      <c r="D379" s="2"/>
      <c r="E379" s="2"/>
      <c r="F379" s="2"/>
      <c r="G379" s="3"/>
      <c r="H379" s="465"/>
      <c r="I379" s="465"/>
    </row>
    <row r="380">
      <c r="A380" s="124" t="s">
        <v>764</v>
      </c>
      <c r="B380" s="2"/>
      <c r="C380" s="2"/>
      <c r="D380" s="2"/>
      <c r="E380" s="2"/>
      <c r="F380" s="3"/>
      <c r="G380" s="125" t="s">
        <v>766</v>
      </c>
      <c r="H380" s="465"/>
      <c r="I380" s="465"/>
    </row>
    <row r="381">
      <c r="A381" s="126"/>
      <c r="B381" s="127" t="s">
        <v>1701</v>
      </c>
      <c r="C381" s="123" t="s">
        <v>1742</v>
      </c>
      <c r="D381" s="2"/>
      <c r="E381" s="3"/>
      <c r="F381" s="467"/>
      <c r="G381" s="3"/>
      <c r="H381" s="465"/>
      <c r="I381" s="465"/>
    </row>
    <row r="382">
      <c r="A382" s="20"/>
      <c r="B382" s="20"/>
      <c r="C382" s="120" t="s">
        <v>22</v>
      </c>
      <c r="D382" s="121">
        <v>11.5</v>
      </c>
      <c r="E382" s="121">
        <v>27.0</v>
      </c>
      <c r="F382" s="121">
        <f>E382*D382</f>
        <v>310.5</v>
      </c>
      <c r="G382" s="120" t="s">
        <v>772</v>
      </c>
      <c r="H382" s="465"/>
      <c r="I382" s="465"/>
    </row>
    <row r="383">
      <c r="A383" s="129" t="s">
        <v>42</v>
      </c>
      <c r="B383" s="2"/>
      <c r="C383" s="3"/>
      <c r="D383" s="121">
        <v>10.0</v>
      </c>
      <c r="E383" s="130" t="s">
        <v>22</v>
      </c>
      <c r="F383" s="121">
        <f>F382</f>
        <v>310.5</v>
      </c>
      <c r="G383" s="120"/>
      <c r="H383" s="465"/>
      <c r="I383" s="465"/>
    </row>
    <row r="384">
      <c r="A384" s="129" t="s">
        <v>800</v>
      </c>
      <c r="B384" s="2"/>
      <c r="C384" s="3"/>
      <c r="D384" s="121">
        <v>1.0</v>
      </c>
      <c r="E384" s="130" t="s">
        <v>22</v>
      </c>
      <c r="F384" s="121">
        <f>F383/D383</f>
        <v>31.05</v>
      </c>
      <c r="G384" s="120"/>
      <c r="H384" s="465"/>
      <c r="I384" s="465"/>
    </row>
    <row r="385">
      <c r="A385" s="133" t="s">
        <v>802</v>
      </c>
      <c r="B385" s="2"/>
      <c r="C385" s="2"/>
      <c r="D385" s="3"/>
      <c r="E385" s="121"/>
      <c r="F385" s="121">
        <f>F384*1%</f>
        <v>0.3105</v>
      </c>
      <c r="G385" s="120"/>
      <c r="H385" s="465"/>
      <c r="I385" s="465"/>
    </row>
    <row r="386">
      <c r="A386" s="133" t="s">
        <v>42</v>
      </c>
      <c r="B386" s="2"/>
      <c r="C386" s="2"/>
      <c r="D386" s="3"/>
      <c r="E386" s="131"/>
      <c r="F386" s="121">
        <f>F384+F385</f>
        <v>31.3605</v>
      </c>
      <c r="G386" s="120"/>
      <c r="H386" s="465"/>
      <c r="I386" s="465"/>
    </row>
    <row r="387">
      <c r="A387" s="133" t="s">
        <v>806</v>
      </c>
      <c r="B387" s="2"/>
      <c r="C387" s="2"/>
      <c r="D387" s="3"/>
      <c r="E387" s="121"/>
      <c r="F387" s="121">
        <f>F386*15%</f>
        <v>4.704075</v>
      </c>
      <c r="G387" s="120"/>
      <c r="H387" s="465"/>
      <c r="I387" s="465"/>
    </row>
    <row r="388">
      <c r="A388" s="133" t="s">
        <v>42</v>
      </c>
      <c r="B388" s="2"/>
      <c r="C388" s="2"/>
      <c r="D388" s="3"/>
      <c r="E388" s="131"/>
      <c r="F388" s="300">
        <f>round(F386+F387,2)</f>
        <v>36.06</v>
      </c>
      <c r="G388" s="120"/>
      <c r="H388" s="465"/>
      <c r="I388" s="465"/>
    </row>
    <row r="389">
      <c r="A389" s="124" t="s">
        <v>777</v>
      </c>
      <c r="B389" s="2"/>
      <c r="C389" s="2"/>
      <c r="D389" s="2"/>
      <c r="E389" s="2"/>
      <c r="F389" s="3"/>
      <c r="G389" s="125" t="s">
        <v>778</v>
      </c>
      <c r="H389" s="465"/>
      <c r="I389" s="465"/>
    </row>
    <row r="390">
      <c r="A390" s="127">
        <v>116.0</v>
      </c>
      <c r="B390" s="126"/>
      <c r="C390" s="123" t="s">
        <v>535</v>
      </c>
      <c r="D390" s="2"/>
      <c r="E390" s="3"/>
      <c r="F390" s="467"/>
      <c r="G390" s="3"/>
      <c r="H390" s="465"/>
      <c r="I390" s="465"/>
    </row>
    <row r="391">
      <c r="A391" s="20"/>
      <c r="B391" s="20"/>
      <c r="C391" s="120" t="s">
        <v>27</v>
      </c>
      <c r="D391" s="121">
        <v>0.33</v>
      </c>
      <c r="E391" s="121">
        <v>784.0</v>
      </c>
      <c r="F391" s="121">
        <f>E391*D391</f>
        <v>258.72</v>
      </c>
      <c r="G391" s="120" t="s">
        <v>780</v>
      </c>
      <c r="H391" s="465"/>
      <c r="I391" s="465"/>
    </row>
    <row r="392">
      <c r="A392" s="127">
        <v>117.0</v>
      </c>
      <c r="B392" s="126"/>
      <c r="C392" s="123" t="s">
        <v>856</v>
      </c>
      <c r="D392" s="2"/>
      <c r="E392" s="3"/>
      <c r="F392" s="467"/>
      <c r="G392" s="3"/>
      <c r="H392" s="465"/>
      <c r="I392" s="465"/>
    </row>
    <row r="393">
      <c r="A393" s="20"/>
      <c r="B393" s="20"/>
      <c r="C393" s="120" t="s">
        <v>27</v>
      </c>
      <c r="D393" s="121">
        <v>0.82</v>
      </c>
      <c r="E393" s="121">
        <v>714.0</v>
      </c>
      <c r="F393" s="121">
        <f>E393*D393</f>
        <v>585.48</v>
      </c>
      <c r="G393" s="120" t="s">
        <v>782</v>
      </c>
      <c r="H393" s="465"/>
      <c r="I393" s="465"/>
    </row>
    <row r="394">
      <c r="A394" s="127">
        <v>114.0</v>
      </c>
      <c r="B394" s="126"/>
      <c r="C394" s="123" t="s">
        <v>97</v>
      </c>
      <c r="D394" s="2"/>
      <c r="E394" s="3"/>
      <c r="F394" s="467"/>
      <c r="G394" s="3"/>
      <c r="H394" s="465"/>
      <c r="I394" s="465"/>
    </row>
    <row r="395">
      <c r="A395" s="20"/>
      <c r="B395" s="20"/>
      <c r="C395" s="120" t="s">
        <v>27</v>
      </c>
      <c r="D395" s="121">
        <v>0.66</v>
      </c>
      <c r="E395" s="121">
        <v>645.0</v>
      </c>
      <c r="F395" s="121">
        <f>E395*D395</f>
        <v>425.7</v>
      </c>
      <c r="G395" s="120" t="s">
        <v>791</v>
      </c>
      <c r="H395" s="465"/>
      <c r="I395" s="465"/>
    </row>
    <row r="396">
      <c r="A396" s="124" t="s">
        <v>843</v>
      </c>
      <c r="B396" s="2"/>
      <c r="C396" s="2"/>
      <c r="D396" s="2"/>
      <c r="E396" s="2"/>
      <c r="F396" s="3"/>
      <c r="G396" s="125" t="s">
        <v>778</v>
      </c>
      <c r="H396" s="465"/>
      <c r="I396" s="465"/>
    </row>
    <row r="397">
      <c r="A397" s="127">
        <v>9999.0</v>
      </c>
      <c r="B397" s="126"/>
      <c r="C397" s="123" t="s">
        <v>1750</v>
      </c>
      <c r="D397" s="2"/>
      <c r="E397" s="3"/>
      <c r="F397" s="467"/>
      <c r="G397" s="3"/>
      <c r="H397" s="465"/>
      <c r="I397" s="465"/>
    </row>
    <row r="398">
      <c r="A398" s="20"/>
      <c r="B398" s="20"/>
      <c r="C398" s="120" t="s">
        <v>107</v>
      </c>
      <c r="D398" s="121">
        <v>2.73</v>
      </c>
      <c r="E398" s="121">
        <v>2.12</v>
      </c>
      <c r="F398" s="121">
        <f>E398*D398</f>
        <v>5.7876</v>
      </c>
      <c r="G398" s="120" t="s">
        <v>846</v>
      </c>
      <c r="H398" s="465"/>
      <c r="I398" s="465"/>
    </row>
    <row r="399">
      <c r="A399" s="127">
        <v>9999.0</v>
      </c>
      <c r="B399" s="126"/>
      <c r="C399" s="123" t="s">
        <v>1756</v>
      </c>
      <c r="D399" s="2"/>
      <c r="E399" s="3"/>
      <c r="F399" s="467"/>
      <c r="G399" s="3"/>
      <c r="H399" s="465"/>
      <c r="I399" s="465"/>
    </row>
    <row r="400">
      <c r="A400" s="20"/>
      <c r="B400" s="20"/>
      <c r="C400" s="120" t="s">
        <v>107</v>
      </c>
      <c r="D400" s="121">
        <v>30.98</v>
      </c>
      <c r="E400" s="121">
        <v>2.12</v>
      </c>
      <c r="F400" s="121">
        <f>E400*D400</f>
        <v>65.6776</v>
      </c>
      <c r="G400" s="120" t="s">
        <v>850</v>
      </c>
      <c r="H400" s="465"/>
      <c r="I400" s="465"/>
    </row>
    <row r="401">
      <c r="A401" s="129" t="s">
        <v>42</v>
      </c>
      <c r="B401" s="2"/>
      <c r="C401" s="3"/>
      <c r="D401" s="121">
        <v>10.0</v>
      </c>
      <c r="E401" s="130" t="s">
        <v>22</v>
      </c>
      <c r="F401" s="121">
        <f>F391+F393+F395+F398+F400</f>
        <v>1341.3652</v>
      </c>
      <c r="G401" s="131"/>
      <c r="H401" s="465"/>
      <c r="I401" s="465"/>
    </row>
    <row r="402">
      <c r="A402" s="129" t="s">
        <v>800</v>
      </c>
      <c r="B402" s="2"/>
      <c r="C402" s="3"/>
      <c r="D402" s="121">
        <v>1.0</v>
      </c>
      <c r="E402" s="130" t="s">
        <v>22</v>
      </c>
      <c r="F402" s="121">
        <f>F401/D401</f>
        <v>134.13652</v>
      </c>
      <c r="G402" s="131"/>
      <c r="H402" s="465"/>
      <c r="I402" s="465"/>
    </row>
    <row r="403">
      <c r="A403" s="133" t="s">
        <v>802</v>
      </c>
      <c r="B403" s="2"/>
      <c r="C403" s="2"/>
      <c r="D403" s="3"/>
      <c r="E403" s="121"/>
      <c r="F403" s="121">
        <f>F402*1%</f>
        <v>1.3413652</v>
      </c>
      <c r="G403" s="131"/>
      <c r="H403" s="465"/>
      <c r="I403" s="465"/>
    </row>
    <row r="404">
      <c r="A404" s="133" t="s">
        <v>42</v>
      </c>
      <c r="B404" s="2"/>
      <c r="C404" s="2"/>
      <c r="D404" s="3"/>
      <c r="E404" s="131"/>
      <c r="F404" s="121">
        <f>F402+F403</f>
        <v>135.4778852</v>
      </c>
      <c r="G404" s="131"/>
      <c r="H404" s="465"/>
      <c r="I404" s="465"/>
    </row>
    <row r="405">
      <c r="A405" s="133" t="s">
        <v>806</v>
      </c>
      <c r="B405" s="2"/>
      <c r="C405" s="2"/>
      <c r="D405" s="3"/>
      <c r="E405" s="121"/>
      <c r="F405" s="121">
        <f>F404*15%</f>
        <v>20.32168278</v>
      </c>
      <c r="G405" s="131"/>
      <c r="H405" s="465"/>
      <c r="I405" s="465"/>
    </row>
    <row r="406">
      <c r="A406" s="133" t="s">
        <v>42</v>
      </c>
      <c r="B406" s="2"/>
      <c r="C406" s="2"/>
      <c r="D406" s="3"/>
      <c r="E406" s="131"/>
      <c r="F406" s="300">
        <f>round(F404+F405,2)</f>
        <v>155.8</v>
      </c>
      <c r="G406" s="131"/>
      <c r="H406" s="465"/>
      <c r="I406" s="465"/>
    </row>
    <row r="407">
      <c r="A407" s="471" t="str">
        <f>CONCATENATE("Say ₹ ",F388," + ",F406," x Cost Index")</f>
        <v>Say ₹ 36.06 + 155.8 x Cost Index</v>
      </c>
      <c r="B407" s="2"/>
      <c r="C407" s="2"/>
      <c r="D407" s="2"/>
      <c r="E407" s="2"/>
      <c r="F407" s="3"/>
      <c r="G407" s="472" t="s">
        <v>939</v>
      </c>
      <c r="H407" s="473">
        <f>F382*1.01*1.15/10</f>
        <v>36.064575</v>
      </c>
      <c r="I407" s="473">
        <f>(F391+F393+F395+F398+F400)*1.01*1.15/10</f>
        <v>155.799568</v>
      </c>
    </row>
    <row r="408">
      <c r="A408" s="111" t="s">
        <v>742</v>
      </c>
      <c r="B408" s="111" t="s">
        <v>745</v>
      </c>
      <c r="C408" s="112" t="s">
        <v>6</v>
      </c>
      <c r="D408" s="2"/>
      <c r="E408" s="3"/>
      <c r="F408" s="112" t="s">
        <v>746</v>
      </c>
      <c r="G408" s="3"/>
      <c r="H408" s="465"/>
      <c r="I408" s="465"/>
    </row>
    <row r="409">
      <c r="A409" s="20"/>
      <c r="B409" s="20"/>
      <c r="C409" s="115" t="s">
        <v>8</v>
      </c>
      <c r="D409" s="115" t="s">
        <v>9</v>
      </c>
      <c r="E409" s="115" t="s">
        <v>358</v>
      </c>
      <c r="F409" s="115" t="s">
        <v>11</v>
      </c>
      <c r="G409" s="115" t="s">
        <v>751</v>
      </c>
      <c r="H409" s="465"/>
      <c r="I409" s="465"/>
    </row>
    <row r="410">
      <c r="A410" s="466" t="s">
        <v>1922</v>
      </c>
      <c r="B410" s="2"/>
      <c r="C410" s="2"/>
      <c r="D410" s="2"/>
      <c r="E410" s="2"/>
      <c r="F410" s="2"/>
      <c r="G410" s="3"/>
      <c r="H410" s="465"/>
      <c r="I410" s="465"/>
    </row>
    <row r="411">
      <c r="A411" s="119"/>
      <c r="B411" s="120" t="s">
        <v>754</v>
      </c>
      <c r="C411" s="120" t="s">
        <v>22</v>
      </c>
      <c r="D411" s="120" t="s">
        <v>757</v>
      </c>
      <c r="E411" s="121">
        <v>10.0</v>
      </c>
      <c r="F411" s="467"/>
      <c r="G411" s="3"/>
      <c r="H411" s="465"/>
      <c r="I411" s="465"/>
    </row>
    <row r="412">
      <c r="A412" s="120" t="s">
        <v>761</v>
      </c>
      <c r="B412" s="123" t="s">
        <v>1675</v>
      </c>
      <c r="C412" s="2"/>
      <c r="D412" s="2"/>
      <c r="E412" s="2"/>
      <c r="F412" s="2"/>
      <c r="G412" s="3"/>
      <c r="H412" s="465"/>
      <c r="I412" s="465"/>
    </row>
    <row r="413">
      <c r="A413" s="124" t="s">
        <v>764</v>
      </c>
      <c r="B413" s="2"/>
      <c r="C413" s="2"/>
      <c r="D413" s="2"/>
      <c r="E413" s="2"/>
      <c r="F413" s="3"/>
      <c r="G413" s="125" t="s">
        <v>766</v>
      </c>
      <c r="H413" s="465"/>
      <c r="I413" s="465"/>
    </row>
    <row r="414">
      <c r="A414" s="126"/>
      <c r="B414" s="127" t="s">
        <v>1712</v>
      </c>
      <c r="C414" s="123" t="s">
        <v>1759</v>
      </c>
      <c r="D414" s="2"/>
      <c r="E414" s="3"/>
      <c r="F414" s="467"/>
      <c r="G414" s="3"/>
      <c r="H414" s="465"/>
      <c r="I414" s="465"/>
    </row>
    <row r="415">
      <c r="A415" s="20"/>
      <c r="B415" s="20"/>
      <c r="C415" s="120" t="s">
        <v>22</v>
      </c>
      <c r="D415" s="121">
        <v>11.5</v>
      </c>
      <c r="E415" s="121">
        <v>40.5</v>
      </c>
      <c r="F415" s="121">
        <f>E415*D415</f>
        <v>465.75</v>
      </c>
      <c r="G415" s="120" t="s">
        <v>772</v>
      </c>
      <c r="H415" s="465"/>
      <c r="I415" s="465"/>
    </row>
    <row r="416">
      <c r="A416" s="129" t="s">
        <v>42</v>
      </c>
      <c r="B416" s="2"/>
      <c r="C416" s="3"/>
      <c r="D416" s="121">
        <v>10.0</v>
      </c>
      <c r="E416" s="130" t="s">
        <v>22</v>
      </c>
      <c r="F416" s="121">
        <f>F415</f>
        <v>465.75</v>
      </c>
      <c r="G416" s="120"/>
      <c r="H416" s="465"/>
      <c r="I416" s="465"/>
    </row>
    <row r="417">
      <c r="A417" s="129" t="s">
        <v>800</v>
      </c>
      <c r="B417" s="2"/>
      <c r="C417" s="3"/>
      <c r="D417" s="121">
        <v>1.0</v>
      </c>
      <c r="E417" s="130" t="s">
        <v>22</v>
      </c>
      <c r="F417" s="121">
        <f>F416/D416</f>
        <v>46.575</v>
      </c>
      <c r="G417" s="120"/>
      <c r="H417" s="465"/>
      <c r="I417" s="465"/>
    </row>
    <row r="418">
      <c r="A418" s="133" t="s">
        <v>802</v>
      </c>
      <c r="B418" s="2"/>
      <c r="C418" s="2"/>
      <c r="D418" s="3"/>
      <c r="E418" s="121"/>
      <c r="F418" s="121">
        <f>F417*1%</f>
        <v>0.46575</v>
      </c>
      <c r="G418" s="120"/>
      <c r="H418" s="465"/>
      <c r="I418" s="465"/>
    </row>
    <row r="419">
      <c r="A419" s="133" t="s">
        <v>42</v>
      </c>
      <c r="B419" s="2"/>
      <c r="C419" s="2"/>
      <c r="D419" s="3"/>
      <c r="E419" s="131"/>
      <c r="F419" s="121">
        <f>F417+F418</f>
        <v>47.04075</v>
      </c>
      <c r="G419" s="120"/>
      <c r="H419" s="465"/>
      <c r="I419" s="465"/>
    </row>
    <row r="420">
      <c r="A420" s="133" t="s">
        <v>806</v>
      </c>
      <c r="B420" s="2"/>
      <c r="C420" s="2"/>
      <c r="D420" s="3"/>
      <c r="E420" s="121"/>
      <c r="F420" s="121">
        <f>F419*15%</f>
        <v>7.0561125</v>
      </c>
      <c r="G420" s="120"/>
      <c r="H420" s="465"/>
      <c r="I420" s="465"/>
    </row>
    <row r="421">
      <c r="A421" s="133" t="s">
        <v>42</v>
      </c>
      <c r="B421" s="2"/>
      <c r="C421" s="2"/>
      <c r="D421" s="3"/>
      <c r="E421" s="131"/>
      <c r="F421" s="300">
        <f>round(F419+F420,2)</f>
        <v>54.1</v>
      </c>
      <c r="G421" s="120"/>
      <c r="H421" s="465"/>
      <c r="I421" s="465"/>
    </row>
    <row r="422">
      <c r="A422" s="124" t="s">
        <v>777</v>
      </c>
      <c r="B422" s="2"/>
      <c r="C422" s="2"/>
      <c r="D422" s="2"/>
      <c r="E422" s="2"/>
      <c r="F422" s="3"/>
      <c r="G422" s="125" t="s">
        <v>778</v>
      </c>
      <c r="H422" s="465"/>
      <c r="I422" s="465"/>
    </row>
    <row r="423">
      <c r="A423" s="127">
        <v>116.0</v>
      </c>
      <c r="B423" s="126"/>
      <c r="C423" s="123" t="s">
        <v>535</v>
      </c>
      <c r="D423" s="2"/>
      <c r="E423" s="3"/>
      <c r="F423" s="467"/>
      <c r="G423" s="3"/>
      <c r="H423" s="465"/>
      <c r="I423" s="465"/>
    </row>
    <row r="424">
      <c r="A424" s="20"/>
      <c r="B424" s="20"/>
      <c r="C424" s="120" t="s">
        <v>27</v>
      </c>
      <c r="D424" s="121">
        <v>0.33</v>
      </c>
      <c r="E424" s="121">
        <v>784.0</v>
      </c>
      <c r="F424" s="121">
        <f>E424*D424</f>
        <v>258.72</v>
      </c>
      <c r="G424" s="120" t="s">
        <v>780</v>
      </c>
      <c r="H424" s="465"/>
      <c r="I424" s="465"/>
    </row>
    <row r="425">
      <c r="A425" s="127">
        <v>117.0</v>
      </c>
      <c r="B425" s="126"/>
      <c r="C425" s="123" t="s">
        <v>856</v>
      </c>
      <c r="D425" s="2"/>
      <c r="E425" s="3"/>
      <c r="F425" s="467"/>
      <c r="G425" s="3"/>
      <c r="H425" s="465"/>
      <c r="I425" s="465"/>
    </row>
    <row r="426">
      <c r="A426" s="20"/>
      <c r="B426" s="20"/>
      <c r="C426" s="120" t="s">
        <v>27</v>
      </c>
      <c r="D426" s="121">
        <v>0.98</v>
      </c>
      <c r="E426" s="121">
        <v>714.0</v>
      </c>
      <c r="F426" s="121">
        <f>E426*D426</f>
        <v>699.72</v>
      </c>
      <c r="G426" s="120" t="s">
        <v>782</v>
      </c>
      <c r="H426" s="465"/>
      <c r="I426" s="465"/>
    </row>
    <row r="427">
      <c r="A427" s="127">
        <v>114.0</v>
      </c>
      <c r="B427" s="126"/>
      <c r="C427" s="123" t="s">
        <v>97</v>
      </c>
      <c r="D427" s="2"/>
      <c r="E427" s="3"/>
      <c r="F427" s="467"/>
      <c r="G427" s="3"/>
      <c r="H427" s="465"/>
      <c r="I427" s="465"/>
    </row>
    <row r="428">
      <c r="A428" s="20"/>
      <c r="B428" s="20"/>
      <c r="C428" s="120" t="s">
        <v>27</v>
      </c>
      <c r="D428" s="121">
        <v>0.66</v>
      </c>
      <c r="E428" s="121">
        <v>645.0</v>
      </c>
      <c r="F428" s="121">
        <f>E428*D428</f>
        <v>425.7</v>
      </c>
      <c r="G428" s="120" t="s">
        <v>791</v>
      </c>
      <c r="H428" s="465"/>
      <c r="I428" s="465"/>
    </row>
    <row r="429">
      <c r="A429" s="124" t="s">
        <v>843</v>
      </c>
      <c r="B429" s="2"/>
      <c r="C429" s="2"/>
      <c r="D429" s="2"/>
      <c r="E429" s="2"/>
      <c r="F429" s="3"/>
      <c r="G429" s="125" t="s">
        <v>778</v>
      </c>
      <c r="H429" s="465"/>
      <c r="I429" s="465"/>
    </row>
    <row r="430">
      <c r="A430" s="127">
        <v>9999.0</v>
      </c>
      <c r="B430" s="126"/>
      <c r="C430" s="123" t="s">
        <v>1750</v>
      </c>
      <c r="D430" s="2"/>
      <c r="E430" s="3"/>
      <c r="F430" s="467"/>
      <c r="G430" s="3"/>
      <c r="H430" s="465"/>
      <c r="I430" s="465"/>
    </row>
    <row r="431">
      <c r="A431" s="20"/>
      <c r="B431" s="20"/>
      <c r="C431" s="120" t="s">
        <v>107</v>
      </c>
      <c r="D431" s="121">
        <v>2.73</v>
      </c>
      <c r="E431" s="121">
        <v>2.12</v>
      </c>
      <c r="F431" s="121">
        <f>E431*D431</f>
        <v>5.7876</v>
      </c>
      <c r="G431" s="120" t="s">
        <v>846</v>
      </c>
      <c r="H431" s="465"/>
      <c r="I431" s="465"/>
    </row>
    <row r="432">
      <c r="A432" s="127">
        <v>9999.0</v>
      </c>
      <c r="B432" s="126"/>
      <c r="C432" s="123" t="s">
        <v>1756</v>
      </c>
      <c r="D432" s="2"/>
      <c r="E432" s="3"/>
      <c r="F432" s="467"/>
      <c r="G432" s="3"/>
      <c r="H432" s="465"/>
      <c r="I432" s="465"/>
    </row>
    <row r="433">
      <c r="A433" s="20"/>
      <c r="B433" s="20"/>
      <c r="C433" s="120" t="s">
        <v>107</v>
      </c>
      <c r="D433" s="121">
        <v>30.98</v>
      </c>
      <c r="E433" s="121">
        <v>2.12</v>
      </c>
      <c r="F433" s="121">
        <f>E433*D433</f>
        <v>65.6776</v>
      </c>
      <c r="G433" s="120" t="s">
        <v>850</v>
      </c>
      <c r="H433" s="465"/>
      <c r="I433" s="465"/>
    </row>
    <row r="434">
      <c r="A434" s="129" t="s">
        <v>42</v>
      </c>
      <c r="B434" s="2"/>
      <c r="C434" s="3"/>
      <c r="D434" s="121">
        <v>10.0</v>
      </c>
      <c r="E434" s="130" t="s">
        <v>22</v>
      </c>
      <c r="F434" s="121">
        <f>F424+F426+F428+F431+F433</f>
        <v>1455.6052</v>
      </c>
      <c r="G434" s="131"/>
      <c r="H434" s="465"/>
      <c r="I434" s="465"/>
    </row>
    <row r="435">
      <c r="A435" s="129" t="s">
        <v>800</v>
      </c>
      <c r="B435" s="2"/>
      <c r="C435" s="3"/>
      <c r="D435" s="121">
        <v>1.0</v>
      </c>
      <c r="E435" s="130" t="s">
        <v>22</v>
      </c>
      <c r="F435" s="121">
        <f>F434/D434</f>
        <v>145.56052</v>
      </c>
      <c r="G435" s="131"/>
      <c r="H435" s="465"/>
      <c r="I435" s="465"/>
    </row>
    <row r="436">
      <c r="A436" s="133" t="s">
        <v>802</v>
      </c>
      <c r="B436" s="2"/>
      <c r="C436" s="2"/>
      <c r="D436" s="3"/>
      <c r="E436" s="121"/>
      <c r="F436" s="121">
        <f>F435*1%</f>
        <v>1.4556052</v>
      </c>
      <c r="G436" s="131"/>
      <c r="H436" s="465"/>
      <c r="I436" s="465"/>
    </row>
    <row r="437">
      <c r="A437" s="133" t="s">
        <v>42</v>
      </c>
      <c r="B437" s="2"/>
      <c r="C437" s="2"/>
      <c r="D437" s="3"/>
      <c r="E437" s="131"/>
      <c r="F437" s="121">
        <f>F435+F436</f>
        <v>147.0161252</v>
      </c>
      <c r="G437" s="131"/>
      <c r="H437" s="465"/>
      <c r="I437" s="465"/>
    </row>
    <row r="438">
      <c r="A438" s="133" t="s">
        <v>806</v>
      </c>
      <c r="B438" s="2"/>
      <c r="C438" s="2"/>
      <c r="D438" s="3"/>
      <c r="E438" s="121"/>
      <c r="F438" s="121">
        <f>F437*15%</f>
        <v>22.05241878</v>
      </c>
      <c r="G438" s="131"/>
      <c r="H438" s="465"/>
      <c r="I438" s="465"/>
    </row>
    <row r="439">
      <c r="A439" s="133" t="s">
        <v>42</v>
      </c>
      <c r="B439" s="2"/>
      <c r="C439" s="2"/>
      <c r="D439" s="3"/>
      <c r="E439" s="131"/>
      <c r="F439" s="300">
        <f>round(F437+F438,2)</f>
        <v>169.07</v>
      </c>
      <c r="G439" s="131"/>
      <c r="H439" s="465"/>
      <c r="I439" s="465"/>
    </row>
    <row r="440">
      <c r="A440" s="471" t="str">
        <f>CONCATENATE("Say ₹ ",F421," + ",F439," x Cost Index")</f>
        <v>Say ₹ 54.1 + 169.07 x Cost Index</v>
      </c>
      <c r="B440" s="2"/>
      <c r="C440" s="2"/>
      <c r="D440" s="2"/>
      <c r="E440" s="2"/>
      <c r="F440" s="3"/>
      <c r="G440" s="472" t="s">
        <v>939</v>
      </c>
      <c r="H440" s="473">
        <f>F415*1.01*1.15/10</f>
        <v>54.0968625</v>
      </c>
      <c r="I440" s="473">
        <f>(F424+F426+F428+F431+F433)*1.01*1.15/10</f>
        <v>169.068544</v>
      </c>
    </row>
    <row r="441">
      <c r="A441" s="111" t="s">
        <v>742</v>
      </c>
      <c r="B441" s="111" t="s">
        <v>745</v>
      </c>
      <c r="C441" s="112" t="s">
        <v>6</v>
      </c>
      <c r="D441" s="2"/>
      <c r="E441" s="3"/>
      <c r="F441" s="112" t="s">
        <v>746</v>
      </c>
      <c r="G441" s="3"/>
      <c r="H441" s="465"/>
      <c r="I441" s="465"/>
    </row>
    <row r="442">
      <c r="A442" s="20"/>
      <c r="B442" s="20"/>
      <c r="C442" s="115" t="s">
        <v>8</v>
      </c>
      <c r="D442" s="115" t="s">
        <v>9</v>
      </c>
      <c r="E442" s="115" t="s">
        <v>358</v>
      </c>
      <c r="F442" s="115" t="s">
        <v>11</v>
      </c>
      <c r="G442" s="115" t="s">
        <v>751</v>
      </c>
      <c r="H442" s="465"/>
      <c r="I442" s="465"/>
    </row>
    <row r="443">
      <c r="A443" s="466" t="s">
        <v>1992</v>
      </c>
      <c r="B443" s="2"/>
      <c r="C443" s="2"/>
      <c r="D443" s="2"/>
      <c r="E443" s="2"/>
      <c r="F443" s="2"/>
      <c r="G443" s="3"/>
      <c r="H443" s="465"/>
      <c r="I443" s="465"/>
    </row>
    <row r="444">
      <c r="A444" s="119"/>
      <c r="B444" s="120" t="s">
        <v>754</v>
      </c>
      <c r="C444" s="120" t="s">
        <v>22</v>
      </c>
      <c r="D444" s="120" t="s">
        <v>757</v>
      </c>
      <c r="E444" s="121">
        <v>10.0</v>
      </c>
      <c r="F444" s="467"/>
      <c r="G444" s="3"/>
      <c r="H444" s="465"/>
      <c r="I444" s="465"/>
    </row>
    <row r="445">
      <c r="A445" s="120" t="s">
        <v>761</v>
      </c>
      <c r="B445" s="123" t="s">
        <v>519</v>
      </c>
      <c r="C445" s="2"/>
      <c r="D445" s="2"/>
      <c r="E445" s="2"/>
      <c r="F445" s="2"/>
      <c r="G445" s="3"/>
      <c r="H445" s="465"/>
      <c r="I445" s="465"/>
    </row>
    <row r="446">
      <c r="A446" s="124" t="s">
        <v>764</v>
      </c>
      <c r="B446" s="2"/>
      <c r="C446" s="2"/>
      <c r="D446" s="2"/>
      <c r="E446" s="2"/>
      <c r="F446" s="3"/>
      <c r="G446" s="125" t="s">
        <v>766</v>
      </c>
      <c r="H446" s="465"/>
      <c r="I446" s="465"/>
    </row>
    <row r="447">
      <c r="A447" s="126"/>
      <c r="B447" s="127" t="s">
        <v>1719</v>
      </c>
      <c r="C447" s="123" t="s">
        <v>1773</v>
      </c>
      <c r="D447" s="2"/>
      <c r="E447" s="3"/>
      <c r="F447" s="467"/>
      <c r="G447" s="3"/>
      <c r="H447" s="465"/>
      <c r="I447" s="465"/>
    </row>
    <row r="448">
      <c r="A448" s="20"/>
      <c r="B448" s="20"/>
      <c r="C448" s="120" t="s">
        <v>22</v>
      </c>
      <c r="D448" s="121">
        <v>11.5</v>
      </c>
      <c r="E448" s="121">
        <v>30.0</v>
      </c>
      <c r="F448" s="121">
        <f>E448*D448</f>
        <v>345</v>
      </c>
      <c r="G448" s="120" t="s">
        <v>772</v>
      </c>
      <c r="H448" s="465"/>
      <c r="I448" s="465"/>
    </row>
    <row r="449">
      <c r="A449" s="129" t="s">
        <v>42</v>
      </c>
      <c r="B449" s="2"/>
      <c r="C449" s="3"/>
      <c r="D449" s="121">
        <v>10.0</v>
      </c>
      <c r="E449" s="130" t="s">
        <v>22</v>
      </c>
      <c r="F449" s="121">
        <f>F448</f>
        <v>345</v>
      </c>
      <c r="G449" s="120"/>
      <c r="H449" s="465"/>
      <c r="I449" s="465"/>
    </row>
    <row r="450">
      <c r="A450" s="129" t="s">
        <v>800</v>
      </c>
      <c r="B450" s="2"/>
      <c r="C450" s="3"/>
      <c r="D450" s="121">
        <v>1.0</v>
      </c>
      <c r="E450" s="130" t="s">
        <v>22</v>
      </c>
      <c r="F450" s="121">
        <f>F449/D449</f>
        <v>34.5</v>
      </c>
      <c r="G450" s="120"/>
      <c r="H450" s="465"/>
      <c r="I450" s="465"/>
    </row>
    <row r="451">
      <c r="A451" s="133" t="s">
        <v>802</v>
      </c>
      <c r="B451" s="2"/>
      <c r="C451" s="2"/>
      <c r="D451" s="3"/>
      <c r="E451" s="121"/>
      <c r="F451" s="121">
        <f>F450*1%</f>
        <v>0.345</v>
      </c>
      <c r="G451" s="120"/>
      <c r="H451" s="465"/>
      <c r="I451" s="465"/>
    </row>
    <row r="452">
      <c r="A452" s="133" t="s">
        <v>42</v>
      </c>
      <c r="B452" s="2"/>
      <c r="C452" s="2"/>
      <c r="D452" s="3"/>
      <c r="E452" s="131"/>
      <c r="F452" s="121">
        <f>F450+F451</f>
        <v>34.845</v>
      </c>
      <c r="G452" s="120"/>
      <c r="H452" s="465"/>
      <c r="I452" s="465"/>
    </row>
    <row r="453">
      <c r="A453" s="133" t="s">
        <v>806</v>
      </c>
      <c r="B453" s="2"/>
      <c r="C453" s="2"/>
      <c r="D453" s="3"/>
      <c r="E453" s="121"/>
      <c r="F453" s="121">
        <f>F452*15%</f>
        <v>5.22675</v>
      </c>
      <c r="G453" s="120"/>
      <c r="H453" s="465"/>
      <c r="I453" s="465"/>
    </row>
    <row r="454">
      <c r="A454" s="133" t="s">
        <v>42</v>
      </c>
      <c r="B454" s="2"/>
      <c r="C454" s="2"/>
      <c r="D454" s="3"/>
      <c r="E454" s="131"/>
      <c r="F454" s="300">
        <f>round(F452+F453,2)</f>
        <v>40.07</v>
      </c>
      <c r="G454" s="120"/>
      <c r="H454" s="465"/>
      <c r="I454" s="465"/>
    </row>
    <row r="455">
      <c r="A455" s="124" t="s">
        <v>777</v>
      </c>
      <c r="B455" s="2"/>
      <c r="C455" s="2"/>
      <c r="D455" s="2"/>
      <c r="E455" s="2"/>
      <c r="F455" s="3"/>
      <c r="G455" s="125" t="s">
        <v>778</v>
      </c>
      <c r="H455" s="465"/>
      <c r="I455" s="465"/>
    </row>
    <row r="456">
      <c r="A456" s="127">
        <v>116.0</v>
      </c>
      <c r="B456" s="126"/>
      <c r="C456" s="123" t="s">
        <v>535</v>
      </c>
      <c r="D456" s="2"/>
      <c r="E456" s="3"/>
      <c r="F456" s="467"/>
      <c r="G456" s="3"/>
      <c r="H456" s="465"/>
      <c r="I456" s="465"/>
    </row>
    <row r="457">
      <c r="A457" s="20"/>
      <c r="B457" s="20"/>
      <c r="C457" s="120" t="s">
        <v>27</v>
      </c>
      <c r="D457" s="121">
        <v>0.33</v>
      </c>
      <c r="E457" s="121">
        <v>784.0</v>
      </c>
      <c r="F457" s="121">
        <f>E457*D457</f>
        <v>258.72</v>
      </c>
      <c r="G457" s="120" t="s">
        <v>780</v>
      </c>
      <c r="H457" s="465"/>
      <c r="I457" s="465"/>
    </row>
    <row r="458">
      <c r="A458" s="127">
        <v>117.0</v>
      </c>
      <c r="B458" s="126"/>
      <c r="C458" s="123" t="s">
        <v>856</v>
      </c>
      <c r="D458" s="2"/>
      <c r="E458" s="3"/>
      <c r="F458" s="467"/>
      <c r="G458" s="3"/>
      <c r="H458" s="465"/>
      <c r="I458" s="465"/>
    </row>
    <row r="459">
      <c r="A459" s="20"/>
      <c r="B459" s="20"/>
      <c r="C459" s="120" t="s">
        <v>27</v>
      </c>
      <c r="D459" s="121">
        <v>0.98</v>
      </c>
      <c r="E459" s="121">
        <v>714.0</v>
      </c>
      <c r="F459" s="121">
        <f>E459*D459</f>
        <v>699.72</v>
      </c>
      <c r="G459" s="120" t="s">
        <v>782</v>
      </c>
      <c r="H459" s="465"/>
      <c r="I459" s="465"/>
    </row>
    <row r="460">
      <c r="A460" s="127">
        <v>114.0</v>
      </c>
      <c r="B460" s="126"/>
      <c r="C460" s="123" t="s">
        <v>97</v>
      </c>
      <c r="D460" s="2"/>
      <c r="E460" s="3"/>
      <c r="F460" s="467"/>
      <c r="G460" s="3"/>
      <c r="H460" s="465"/>
      <c r="I460" s="465"/>
    </row>
    <row r="461">
      <c r="A461" s="20"/>
      <c r="B461" s="20"/>
      <c r="C461" s="120" t="s">
        <v>27</v>
      </c>
      <c r="D461" s="121">
        <v>0.66</v>
      </c>
      <c r="E461" s="121">
        <v>645.0</v>
      </c>
      <c r="F461" s="121">
        <f>E461*D461</f>
        <v>425.7</v>
      </c>
      <c r="G461" s="120" t="s">
        <v>791</v>
      </c>
      <c r="H461" s="465"/>
      <c r="I461" s="465"/>
    </row>
    <row r="462">
      <c r="A462" s="124" t="s">
        <v>843</v>
      </c>
      <c r="B462" s="2"/>
      <c r="C462" s="2"/>
      <c r="D462" s="2"/>
      <c r="E462" s="2"/>
      <c r="F462" s="3"/>
      <c r="G462" s="125" t="s">
        <v>778</v>
      </c>
      <c r="H462" s="465"/>
      <c r="I462" s="465"/>
    </row>
    <row r="463">
      <c r="A463" s="127">
        <v>9999.0</v>
      </c>
      <c r="B463" s="126"/>
      <c r="C463" s="123" t="s">
        <v>2004</v>
      </c>
      <c r="D463" s="2"/>
      <c r="E463" s="3"/>
      <c r="F463" s="467"/>
      <c r="G463" s="3"/>
      <c r="H463" s="465"/>
      <c r="I463" s="465"/>
    </row>
    <row r="464">
      <c r="A464" s="20"/>
      <c r="B464" s="20"/>
      <c r="C464" s="120" t="s">
        <v>107</v>
      </c>
      <c r="D464" s="121">
        <v>2.73</v>
      </c>
      <c r="E464" s="121">
        <v>2.12</v>
      </c>
      <c r="F464" s="121">
        <f>E464*D464</f>
        <v>5.7876</v>
      </c>
      <c r="G464" s="120" t="s">
        <v>846</v>
      </c>
      <c r="H464" s="465"/>
      <c r="I464" s="465"/>
    </row>
    <row r="465">
      <c r="A465" s="127">
        <v>9999.0</v>
      </c>
      <c r="B465" s="126"/>
      <c r="C465" s="123" t="s">
        <v>1756</v>
      </c>
      <c r="D465" s="2"/>
      <c r="E465" s="3"/>
      <c r="F465" s="467"/>
      <c r="G465" s="3"/>
      <c r="H465" s="465"/>
      <c r="I465" s="465"/>
    </row>
    <row r="466">
      <c r="A466" s="20"/>
      <c r="B466" s="20"/>
      <c r="C466" s="120" t="s">
        <v>107</v>
      </c>
      <c r="D466" s="121">
        <v>30.98</v>
      </c>
      <c r="E466" s="121">
        <v>2.12</v>
      </c>
      <c r="F466" s="121">
        <f>E466*D466</f>
        <v>65.6776</v>
      </c>
      <c r="G466" s="120" t="s">
        <v>850</v>
      </c>
      <c r="H466" s="465"/>
      <c r="I466" s="465"/>
    </row>
    <row r="467">
      <c r="A467" s="129" t="s">
        <v>42</v>
      </c>
      <c r="B467" s="2"/>
      <c r="C467" s="3"/>
      <c r="D467" s="121">
        <v>10.0</v>
      </c>
      <c r="E467" s="130" t="s">
        <v>22</v>
      </c>
      <c r="F467" s="121">
        <f>F457+F459+F461+F464+F466</f>
        <v>1455.6052</v>
      </c>
      <c r="G467" s="131"/>
      <c r="H467" s="465"/>
      <c r="I467" s="465"/>
    </row>
    <row r="468">
      <c r="A468" s="129" t="s">
        <v>800</v>
      </c>
      <c r="B468" s="2"/>
      <c r="C468" s="3"/>
      <c r="D468" s="121">
        <v>1.0</v>
      </c>
      <c r="E468" s="130" t="s">
        <v>22</v>
      </c>
      <c r="F468" s="121">
        <f>F467/D467</f>
        <v>145.56052</v>
      </c>
      <c r="G468" s="131"/>
      <c r="H468" s="465"/>
      <c r="I468" s="465"/>
    </row>
    <row r="469">
      <c r="A469" s="133" t="s">
        <v>802</v>
      </c>
      <c r="B469" s="2"/>
      <c r="C469" s="2"/>
      <c r="D469" s="3"/>
      <c r="E469" s="121"/>
      <c r="F469" s="121">
        <f>F468*1%</f>
        <v>1.4556052</v>
      </c>
      <c r="G469" s="131"/>
      <c r="H469" s="465"/>
      <c r="I469" s="465"/>
    </row>
    <row r="470">
      <c r="A470" s="133" t="s">
        <v>42</v>
      </c>
      <c r="B470" s="2"/>
      <c r="C470" s="2"/>
      <c r="D470" s="3"/>
      <c r="E470" s="131"/>
      <c r="F470" s="121">
        <f>F468+F469</f>
        <v>147.0161252</v>
      </c>
      <c r="G470" s="131"/>
      <c r="H470" s="465"/>
      <c r="I470" s="465"/>
    </row>
    <row r="471">
      <c r="A471" s="133" t="s">
        <v>806</v>
      </c>
      <c r="B471" s="2"/>
      <c r="C471" s="2"/>
      <c r="D471" s="3"/>
      <c r="E471" s="121"/>
      <c r="F471" s="121">
        <f>F470*15%</f>
        <v>22.05241878</v>
      </c>
      <c r="G471" s="131"/>
      <c r="H471" s="465"/>
      <c r="I471" s="465"/>
    </row>
    <row r="472">
      <c r="A472" s="133" t="s">
        <v>42</v>
      </c>
      <c r="B472" s="2"/>
      <c r="C472" s="2"/>
      <c r="D472" s="3"/>
      <c r="E472" s="131"/>
      <c r="F472" s="300">
        <f>round(F470+F471,2)</f>
        <v>169.07</v>
      </c>
      <c r="G472" s="131"/>
      <c r="H472" s="465"/>
      <c r="I472" s="465"/>
    </row>
    <row r="473">
      <c r="A473" s="471" t="str">
        <f>CONCATENATE("Say ₹ ",F454," + ",F472," x Cost Index")</f>
        <v>Say ₹ 40.07 + 169.07 x Cost Index</v>
      </c>
      <c r="B473" s="2"/>
      <c r="C473" s="2"/>
      <c r="D473" s="2"/>
      <c r="E473" s="2"/>
      <c r="F473" s="3"/>
      <c r="G473" s="472" t="s">
        <v>939</v>
      </c>
      <c r="H473" s="473">
        <f>F448*1.01*1.15/10</f>
        <v>40.07175</v>
      </c>
      <c r="I473" s="473">
        <f>(F457+F459+F461+F464+F466)*1.01*1.15/10</f>
        <v>169.068544</v>
      </c>
    </row>
    <row r="474">
      <c r="A474" s="111" t="s">
        <v>742</v>
      </c>
      <c r="B474" s="111" t="s">
        <v>745</v>
      </c>
      <c r="C474" s="112" t="s">
        <v>6</v>
      </c>
      <c r="D474" s="2"/>
      <c r="E474" s="3"/>
      <c r="F474" s="112" t="s">
        <v>746</v>
      </c>
      <c r="G474" s="3"/>
      <c r="H474" s="465"/>
      <c r="I474" s="465"/>
    </row>
    <row r="475">
      <c r="A475" s="20"/>
      <c r="B475" s="20"/>
      <c r="C475" s="115" t="s">
        <v>8</v>
      </c>
      <c r="D475" s="115" t="s">
        <v>9</v>
      </c>
      <c r="E475" s="115" t="s">
        <v>358</v>
      </c>
      <c r="F475" s="115" t="s">
        <v>11</v>
      </c>
      <c r="G475" s="115" t="s">
        <v>751</v>
      </c>
      <c r="H475" s="465"/>
      <c r="I475" s="465"/>
    </row>
    <row r="476">
      <c r="A476" s="466" t="s">
        <v>2007</v>
      </c>
      <c r="B476" s="2"/>
      <c r="C476" s="2"/>
      <c r="D476" s="2"/>
      <c r="E476" s="2"/>
      <c r="F476" s="2"/>
      <c r="G476" s="3"/>
      <c r="H476" s="465"/>
      <c r="I476" s="465"/>
    </row>
    <row r="477">
      <c r="A477" s="119"/>
      <c r="B477" s="120" t="s">
        <v>754</v>
      </c>
      <c r="C477" s="120" t="s">
        <v>22</v>
      </c>
      <c r="D477" s="120" t="s">
        <v>757</v>
      </c>
      <c r="E477" s="121">
        <v>10.0</v>
      </c>
      <c r="F477" s="467"/>
      <c r="G477" s="3"/>
      <c r="H477" s="465"/>
      <c r="I477" s="465"/>
    </row>
    <row r="478">
      <c r="A478" s="120" t="s">
        <v>761</v>
      </c>
      <c r="B478" s="123" t="s">
        <v>1675</v>
      </c>
      <c r="C478" s="2"/>
      <c r="D478" s="2"/>
      <c r="E478" s="2"/>
      <c r="F478" s="2"/>
      <c r="G478" s="3"/>
      <c r="H478" s="465"/>
      <c r="I478" s="465"/>
    </row>
    <row r="479">
      <c r="A479" s="124" t="s">
        <v>764</v>
      </c>
      <c r="B479" s="2"/>
      <c r="C479" s="2"/>
      <c r="D479" s="2"/>
      <c r="E479" s="2"/>
      <c r="F479" s="3"/>
      <c r="G479" s="125" t="s">
        <v>766</v>
      </c>
      <c r="H479" s="465"/>
      <c r="I479" s="465"/>
    </row>
    <row r="480">
      <c r="A480" s="126"/>
      <c r="B480" s="127" t="s">
        <v>1730</v>
      </c>
      <c r="C480" s="123" t="s">
        <v>2010</v>
      </c>
      <c r="D480" s="2"/>
      <c r="E480" s="3"/>
      <c r="F480" s="467"/>
      <c r="G480" s="3"/>
      <c r="H480" s="465"/>
      <c r="I480" s="465"/>
    </row>
    <row r="481">
      <c r="A481" s="20"/>
      <c r="B481" s="20"/>
      <c r="C481" s="120" t="s">
        <v>22</v>
      </c>
      <c r="D481" s="121">
        <v>11.5</v>
      </c>
      <c r="E481" s="121">
        <v>61.0</v>
      </c>
      <c r="F481" s="121">
        <f>E481*D481</f>
        <v>701.5</v>
      </c>
      <c r="G481" s="120" t="s">
        <v>772</v>
      </c>
      <c r="H481" s="465"/>
      <c r="I481" s="465"/>
    </row>
    <row r="482">
      <c r="A482" s="129" t="s">
        <v>42</v>
      </c>
      <c r="B482" s="2"/>
      <c r="C482" s="3"/>
      <c r="D482" s="121">
        <v>10.0</v>
      </c>
      <c r="E482" s="130" t="s">
        <v>22</v>
      </c>
      <c r="F482" s="121">
        <f>F481</f>
        <v>701.5</v>
      </c>
      <c r="G482" s="120"/>
      <c r="H482" s="465"/>
      <c r="I482" s="465"/>
    </row>
    <row r="483">
      <c r="A483" s="129" t="s">
        <v>800</v>
      </c>
      <c r="B483" s="2"/>
      <c r="C483" s="3"/>
      <c r="D483" s="121">
        <v>1.0</v>
      </c>
      <c r="E483" s="130" t="s">
        <v>22</v>
      </c>
      <c r="F483" s="121">
        <f>F482/D482</f>
        <v>70.15</v>
      </c>
      <c r="G483" s="120"/>
      <c r="H483" s="465"/>
      <c r="I483" s="465"/>
    </row>
    <row r="484">
      <c r="A484" s="133" t="s">
        <v>802</v>
      </c>
      <c r="B484" s="2"/>
      <c r="C484" s="2"/>
      <c r="D484" s="3"/>
      <c r="E484" s="121"/>
      <c r="F484" s="121">
        <f>F483*1%</f>
        <v>0.7015</v>
      </c>
      <c r="G484" s="120"/>
      <c r="H484" s="465"/>
      <c r="I484" s="465"/>
    </row>
    <row r="485">
      <c r="A485" s="133" t="s">
        <v>42</v>
      </c>
      <c r="B485" s="2"/>
      <c r="C485" s="2"/>
      <c r="D485" s="3"/>
      <c r="E485" s="131"/>
      <c r="F485" s="121">
        <f>F483+F484</f>
        <v>70.8515</v>
      </c>
      <c r="G485" s="120"/>
      <c r="H485" s="465"/>
      <c r="I485" s="465"/>
    </row>
    <row r="486">
      <c r="A486" s="133" t="s">
        <v>806</v>
      </c>
      <c r="B486" s="2"/>
      <c r="C486" s="2"/>
      <c r="D486" s="3"/>
      <c r="E486" s="121"/>
      <c r="F486" s="121">
        <f>F485*15%</f>
        <v>10.627725</v>
      </c>
      <c r="G486" s="120"/>
      <c r="H486" s="465"/>
      <c r="I486" s="465"/>
    </row>
    <row r="487">
      <c r="A487" s="133" t="s">
        <v>42</v>
      </c>
      <c r="B487" s="2"/>
      <c r="C487" s="2"/>
      <c r="D487" s="3"/>
      <c r="E487" s="131"/>
      <c r="F487" s="300">
        <f>round(F485+F486,2)</f>
        <v>81.48</v>
      </c>
      <c r="G487" s="120"/>
      <c r="H487" s="465"/>
      <c r="I487" s="465"/>
    </row>
    <row r="488">
      <c r="A488" s="124" t="s">
        <v>777</v>
      </c>
      <c r="B488" s="2"/>
      <c r="C488" s="2"/>
      <c r="D488" s="2"/>
      <c r="E488" s="2"/>
      <c r="F488" s="3"/>
      <c r="G488" s="125" t="s">
        <v>778</v>
      </c>
      <c r="H488" s="465"/>
      <c r="I488" s="465"/>
    </row>
    <row r="489">
      <c r="A489" s="127">
        <v>116.0</v>
      </c>
      <c r="B489" s="126"/>
      <c r="C489" s="123" t="s">
        <v>535</v>
      </c>
      <c r="D489" s="2"/>
      <c r="E489" s="3"/>
      <c r="F489" s="467"/>
      <c r="G489" s="3"/>
      <c r="H489" s="465"/>
      <c r="I489" s="465"/>
    </row>
    <row r="490">
      <c r="A490" s="20"/>
      <c r="B490" s="20"/>
      <c r="C490" s="120" t="s">
        <v>27</v>
      </c>
      <c r="D490" s="121">
        <v>0.33</v>
      </c>
      <c r="E490" s="121">
        <v>784.0</v>
      </c>
      <c r="F490" s="121">
        <f>E490*D490</f>
        <v>258.72</v>
      </c>
      <c r="G490" s="120" t="s">
        <v>780</v>
      </c>
      <c r="H490" s="465"/>
      <c r="I490" s="465"/>
    </row>
    <row r="491">
      <c r="A491" s="127">
        <v>117.0</v>
      </c>
      <c r="B491" s="126"/>
      <c r="C491" s="123" t="s">
        <v>856</v>
      </c>
      <c r="D491" s="2"/>
      <c r="E491" s="3"/>
      <c r="F491" s="467"/>
      <c r="G491" s="3"/>
      <c r="H491" s="465"/>
      <c r="I491" s="465"/>
    </row>
    <row r="492">
      <c r="A492" s="20"/>
      <c r="B492" s="20"/>
      <c r="C492" s="120" t="s">
        <v>27</v>
      </c>
      <c r="D492" s="121">
        <v>0.98</v>
      </c>
      <c r="E492" s="121">
        <v>714.0</v>
      </c>
      <c r="F492" s="121">
        <f>E492*D492</f>
        <v>699.72</v>
      </c>
      <c r="G492" s="120" t="s">
        <v>782</v>
      </c>
      <c r="H492" s="465"/>
      <c r="I492" s="465"/>
    </row>
    <row r="493">
      <c r="A493" s="127">
        <v>114.0</v>
      </c>
      <c r="B493" s="126"/>
      <c r="C493" s="123" t="s">
        <v>97</v>
      </c>
      <c r="D493" s="2"/>
      <c r="E493" s="3"/>
      <c r="F493" s="467"/>
      <c r="G493" s="3"/>
      <c r="H493" s="465"/>
      <c r="I493" s="465"/>
    </row>
    <row r="494">
      <c r="A494" s="20"/>
      <c r="B494" s="20"/>
      <c r="C494" s="120" t="s">
        <v>27</v>
      </c>
      <c r="D494" s="121">
        <v>0.66</v>
      </c>
      <c r="E494" s="121">
        <v>645.0</v>
      </c>
      <c r="F494" s="121">
        <f>E494*D494</f>
        <v>425.7</v>
      </c>
      <c r="G494" s="120" t="s">
        <v>791</v>
      </c>
      <c r="H494" s="465"/>
      <c r="I494" s="465"/>
    </row>
    <row r="495">
      <c r="A495" s="124" t="s">
        <v>843</v>
      </c>
      <c r="B495" s="2"/>
      <c r="C495" s="2"/>
      <c r="D495" s="2"/>
      <c r="E495" s="2"/>
      <c r="F495" s="3"/>
      <c r="G495" s="125" t="s">
        <v>778</v>
      </c>
      <c r="H495" s="465"/>
      <c r="I495" s="465"/>
    </row>
    <row r="496">
      <c r="A496" s="127">
        <v>9999.0</v>
      </c>
      <c r="B496" s="126"/>
      <c r="C496" s="123" t="s">
        <v>1750</v>
      </c>
      <c r="D496" s="2"/>
      <c r="E496" s="3"/>
      <c r="F496" s="467"/>
      <c r="G496" s="3"/>
      <c r="H496" s="465"/>
      <c r="I496" s="465"/>
    </row>
    <row r="497">
      <c r="A497" s="20"/>
      <c r="B497" s="20"/>
      <c r="C497" s="120" t="s">
        <v>107</v>
      </c>
      <c r="D497" s="121">
        <v>2.73</v>
      </c>
      <c r="E497" s="121">
        <v>2.12</v>
      </c>
      <c r="F497" s="121">
        <f>E497*D497</f>
        <v>5.7876</v>
      </c>
      <c r="G497" s="120" t="s">
        <v>846</v>
      </c>
      <c r="H497" s="465"/>
      <c r="I497" s="465"/>
    </row>
    <row r="498">
      <c r="A498" s="127">
        <v>9999.0</v>
      </c>
      <c r="B498" s="126"/>
      <c r="C498" s="123" t="s">
        <v>1756</v>
      </c>
      <c r="D498" s="2"/>
      <c r="E498" s="3"/>
      <c r="F498" s="467"/>
      <c r="G498" s="3"/>
      <c r="H498" s="465"/>
      <c r="I498" s="465"/>
    </row>
    <row r="499">
      <c r="A499" s="20"/>
      <c r="B499" s="20"/>
      <c r="C499" s="120" t="s">
        <v>107</v>
      </c>
      <c r="D499" s="121">
        <v>30.98</v>
      </c>
      <c r="E499" s="121">
        <v>2.12</v>
      </c>
      <c r="F499" s="121">
        <f>E499*D499</f>
        <v>65.6776</v>
      </c>
      <c r="G499" s="120" t="s">
        <v>850</v>
      </c>
      <c r="H499" s="465"/>
      <c r="I499" s="465"/>
    </row>
    <row r="500">
      <c r="A500" s="129" t="s">
        <v>42</v>
      </c>
      <c r="B500" s="2"/>
      <c r="C500" s="3"/>
      <c r="D500" s="121">
        <v>10.0</v>
      </c>
      <c r="E500" s="130" t="s">
        <v>22</v>
      </c>
      <c r="F500" s="121">
        <f>F490+F492+F494+F497+F499</f>
        <v>1455.6052</v>
      </c>
      <c r="G500" s="131"/>
      <c r="H500" s="465"/>
      <c r="I500" s="465"/>
    </row>
    <row r="501">
      <c r="A501" s="129" t="s">
        <v>800</v>
      </c>
      <c r="B501" s="2"/>
      <c r="C501" s="3"/>
      <c r="D501" s="121">
        <v>1.0</v>
      </c>
      <c r="E501" s="130" t="s">
        <v>22</v>
      </c>
      <c r="F501" s="121">
        <f>F500/D500</f>
        <v>145.56052</v>
      </c>
      <c r="G501" s="131"/>
      <c r="H501" s="465"/>
      <c r="I501" s="465"/>
    </row>
    <row r="502">
      <c r="A502" s="133" t="s">
        <v>802</v>
      </c>
      <c r="B502" s="2"/>
      <c r="C502" s="2"/>
      <c r="D502" s="3"/>
      <c r="E502" s="121"/>
      <c r="F502" s="121">
        <f>F501*1%</f>
        <v>1.4556052</v>
      </c>
      <c r="G502" s="131"/>
      <c r="H502" s="465"/>
      <c r="I502" s="465"/>
    </row>
    <row r="503">
      <c r="A503" s="133" t="s">
        <v>42</v>
      </c>
      <c r="B503" s="2"/>
      <c r="C503" s="2"/>
      <c r="D503" s="3"/>
      <c r="E503" s="131"/>
      <c r="F503" s="121">
        <f>F501+F502</f>
        <v>147.0161252</v>
      </c>
      <c r="G503" s="131"/>
      <c r="H503" s="465"/>
      <c r="I503" s="465"/>
    </row>
    <row r="504">
      <c r="A504" s="133" t="s">
        <v>806</v>
      </c>
      <c r="B504" s="2"/>
      <c r="C504" s="2"/>
      <c r="D504" s="3"/>
      <c r="E504" s="121"/>
      <c r="F504" s="121">
        <f>F503*15%</f>
        <v>22.05241878</v>
      </c>
      <c r="G504" s="131"/>
      <c r="H504" s="465"/>
      <c r="I504" s="465"/>
    </row>
    <row r="505">
      <c r="A505" s="133" t="s">
        <v>42</v>
      </c>
      <c r="B505" s="2"/>
      <c r="C505" s="2"/>
      <c r="D505" s="3"/>
      <c r="E505" s="131"/>
      <c r="F505" s="300">
        <f>round(F503+F504,2)</f>
        <v>169.07</v>
      </c>
      <c r="G505" s="131"/>
      <c r="H505" s="465"/>
      <c r="I505" s="465"/>
    </row>
    <row r="506">
      <c r="A506" s="471" t="str">
        <f>CONCATENATE("Say ₹ ",F487," + ",F505," x Cost Index")</f>
        <v>Say ₹ 81.48 + 169.07 x Cost Index</v>
      </c>
      <c r="B506" s="2"/>
      <c r="C506" s="2"/>
      <c r="D506" s="2"/>
      <c r="E506" s="2"/>
      <c r="F506" s="3"/>
      <c r="G506" s="472" t="s">
        <v>939</v>
      </c>
      <c r="H506" s="473">
        <f>F481*1.01*1.15/10</f>
        <v>81.479225</v>
      </c>
      <c r="I506" s="473">
        <f>(F490+F492+F494+F497+F499)*1.01*1.15/10</f>
        <v>169.068544</v>
      </c>
    </row>
    <row r="507">
      <c r="A507" s="111" t="s">
        <v>742</v>
      </c>
      <c r="B507" s="111" t="s">
        <v>745</v>
      </c>
      <c r="C507" s="112" t="s">
        <v>6</v>
      </c>
      <c r="D507" s="2"/>
      <c r="E507" s="3"/>
      <c r="F507" s="112" t="s">
        <v>746</v>
      </c>
      <c r="G507" s="3"/>
      <c r="H507" s="465"/>
      <c r="I507" s="465"/>
    </row>
    <row r="508">
      <c r="A508" s="20"/>
      <c r="B508" s="20"/>
      <c r="C508" s="115" t="s">
        <v>8</v>
      </c>
      <c r="D508" s="115" t="s">
        <v>9</v>
      </c>
      <c r="E508" s="115" t="s">
        <v>358</v>
      </c>
      <c r="F508" s="115" t="s">
        <v>11</v>
      </c>
      <c r="G508" s="115" t="s">
        <v>751</v>
      </c>
      <c r="H508" s="465"/>
      <c r="I508" s="465"/>
    </row>
    <row r="509">
      <c r="A509" s="466" t="s">
        <v>2024</v>
      </c>
      <c r="B509" s="2"/>
      <c r="C509" s="2"/>
      <c r="D509" s="2"/>
      <c r="E509" s="2"/>
      <c r="F509" s="2"/>
      <c r="G509" s="3"/>
      <c r="H509" s="465"/>
      <c r="I509" s="465"/>
    </row>
    <row r="510">
      <c r="A510" s="119"/>
      <c r="B510" s="120" t="s">
        <v>754</v>
      </c>
      <c r="C510" s="120" t="s">
        <v>22</v>
      </c>
      <c r="D510" s="120" t="s">
        <v>757</v>
      </c>
      <c r="E510" s="121">
        <v>10.0</v>
      </c>
      <c r="F510" s="467"/>
      <c r="G510" s="3"/>
      <c r="H510" s="465"/>
      <c r="I510" s="465"/>
    </row>
    <row r="511">
      <c r="A511" s="120" t="s">
        <v>761</v>
      </c>
      <c r="B511" s="123" t="s">
        <v>519</v>
      </c>
      <c r="C511" s="2"/>
      <c r="D511" s="2"/>
      <c r="E511" s="2"/>
      <c r="F511" s="2"/>
      <c r="G511" s="3"/>
      <c r="H511" s="465"/>
      <c r="I511" s="465"/>
    </row>
    <row r="512">
      <c r="A512" s="124" t="s">
        <v>764</v>
      </c>
      <c r="B512" s="2"/>
      <c r="C512" s="2"/>
      <c r="D512" s="2"/>
      <c r="E512" s="2"/>
      <c r="F512" s="3"/>
      <c r="G512" s="125" t="s">
        <v>766</v>
      </c>
      <c r="H512" s="465"/>
      <c r="I512" s="465"/>
    </row>
    <row r="513">
      <c r="A513" s="126"/>
      <c r="B513" s="127" t="s">
        <v>1739</v>
      </c>
      <c r="C513" s="123" t="s">
        <v>1803</v>
      </c>
      <c r="D513" s="2"/>
      <c r="E513" s="3"/>
      <c r="F513" s="467"/>
      <c r="G513" s="3"/>
      <c r="H513" s="465"/>
      <c r="I513" s="465"/>
    </row>
    <row r="514">
      <c r="A514" s="20"/>
      <c r="B514" s="20"/>
      <c r="C514" s="120" t="s">
        <v>22</v>
      </c>
      <c r="D514" s="121">
        <v>11.5</v>
      </c>
      <c r="E514" s="121">
        <v>48.0</v>
      </c>
      <c r="F514" s="121">
        <f>E514*D514</f>
        <v>552</v>
      </c>
      <c r="G514" s="120" t="s">
        <v>772</v>
      </c>
      <c r="H514" s="465"/>
      <c r="I514" s="465"/>
    </row>
    <row r="515">
      <c r="A515" s="129" t="s">
        <v>42</v>
      </c>
      <c r="B515" s="2"/>
      <c r="C515" s="3"/>
      <c r="D515" s="121">
        <v>10.0</v>
      </c>
      <c r="E515" s="130" t="s">
        <v>22</v>
      </c>
      <c r="F515" s="121">
        <f>F514</f>
        <v>552</v>
      </c>
      <c r="G515" s="120"/>
      <c r="H515" s="465"/>
      <c r="I515" s="465"/>
    </row>
    <row r="516">
      <c r="A516" s="129" t="s">
        <v>800</v>
      </c>
      <c r="B516" s="2"/>
      <c r="C516" s="3"/>
      <c r="D516" s="121">
        <v>1.0</v>
      </c>
      <c r="E516" s="130" t="s">
        <v>22</v>
      </c>
      <c r="F516" s="121">
        <f>F515/D515</f>
        <v>55.2</v>
      </c>
      <c r="G516" s="120"/>
      <c r="H516" s="465"/>
      <c r="I516" s="465"/>
    </row>
    <row r="517">
      <c r="A517" s="133" t="s">
        <v>802</v>
      </c>
      <c r="B517" s="2"/>
      <c r="C517" s="2"/>
      <c r="D517" s="3"/>
      <c r="E517" s="121"/>
      <c r="F517" s="121">
        <f>F516*1%</f>
        <v>0.552</v>
      </c>
      <c r="G517" s="120"/>
      <c r="H517" s="465"/>
      <c r="I517" s="465"/>
    </row>
    <row r="518">
      <c r="A518" s="133" t="s">
        <v>42</v>
      </c>
      <c r="B518" s="2"/>
      <c r="C518" s="2"/>
      <c r="D518" s="3"/>
      <c r="E518" s="131"/>
      <c r="F518" s="121">
        <f>F516+F517</f>
        <v>55.752</v>
      </c>
      <c r="G518" s="120"/>
      <c r="H518" s="465"/>
      <c r="I518" s="465"/>
    </row>
    <row r="519">
      <c r="A519" s="133" t="s">
        <v>806</v>
      </c>
      <c r="B519" s="2"/>
      <c r="C519" s="2"/>
      <c r="D519" s="3"/>
      <c r="E519" s="121"/>
      <c r="F519" s="121">
        <f>F518*15%</f>
        <v>8.3628</v>
      </c>
      <c r="G519" s="120"/>
      <c r="H519" s="465"/>
      <c r="I519" s="465"/>
    </row>
    <row r="520">
      <c r="A520" s="133" t="s">
        <v>42</v>
      </c>
      <c r="B520" s="2"/>
      <c r="C520" s="2"/>
      <c r="D520" s="3"/>
      <c r="E520" s="131"/>
      <c r="F520" s="300">
        <f>round(F518+F519,2)</f>
        <v>64.11</v>
      </c>
      <c r="G520" s="120"/>
      <c r="H520" s="465"/>
      <c r="I520" s="465"/>
    </row>
    <row r="521">
      <c r="A521" s="124" t="s">
        <v>777</v>
      </c>
      <c r="B521" s="2"/>
      <c r="C521" s="2"/>
      <c r="D521" s="2"/>
      <c r="E521" s="2"/>
      <c r="F521" s="3"/>
      <c r="G521" s="125" t="s">
        <v>778</v>
      </c>
      <c r="H521" s="465"/>
      <c r="I521" s="465"/>
    </row>
    <row r="522">
      <c r="A522" s="127">
        <v>116.0</v>
      </c>
      <c r="B522" s="126"/>
      <c r="C522" s="123" t="s">
        <v>535</v>
      </c>
      <c r="D522" s="2"/>
      <c r="E522" s="3"/>
      <c r="F522" s="467"/>
      <c r="G522" s="3"/>
      <c r="H522" s="465"/>
      <c r="I522" s="465"/>
    </row>
    <row r="523">
      <c r="A523" s="20"/>
      <c r="B523" s="20"/>
      <c r="C523" s="120" t="s">
        <v>27</v>
      </c>
      <c r="D523" s="121">
        <v>0.33</v>
      </c>
      <c r="E523" s="121">
        <v>784.0</v>
      </c>
      <c r="F523" s="121">
        <f>E523*D523</f>
        <v>258.72</v>
      </c>
      <c r="G523" s="120" t="s">
        <v>780</v>
      </c>
      <c r="H523" s="465"/>
      <c r="I523" s="465"/>
    </row>
    <row r="524">
      <c r="A524" s="127">
        <v>117.0</v>
      </c>
      <c r="B524" s="126"/>
      <c r="C524" s="123" t="s">
        <v>856</v>
      </c>
      <c r="D524" s="2"/>
      <c r="E524" s="3"/>
      <c r="F524" s="467"/>
      <c r="G524" s="3"/>
      <c r="H524" s="465"/>
      <c r="I524" s="465"/>
    </row>
    <row r="525">
      <c r="A525" s="20"/>
      <c r="B525" s="20"/>
      <c r="C525" s="120" t="s">
        <v>27</v>
      </c>
      <c r="D525" s="121">
        <v>0.98</v>
      </c>
      <c r="E525" s="121">
        <v>714.0</v>
      </c>
      <c r="F525" s="121">
        <f>E525*D525</f>
        <v>699.72</v>
      </c>
      <c r="G525" s="120" t="s">
        <v>782</v>
      </c>
      <c r="H525" s="465"/>
      <c r="I525" s="465"/>
    </row>
    <row r="526">
      <c r="A526" s="127">
        <v>114.0</v>
      </c>
      <c r="B526" s="126"/>
      <c r="C526" s="123" t="s">
        <v>97</v>
      </c>
      <c r="D526" s="2"/>
      <c r="E526" s="3"/>
      <c r="F526" s="467"/>
      <c r="G526" s="3"/>
      <c r="H526" s="465"/>
      <c r="I526" s="465"/>
    </row>
    <row r="527">
      <c r="A527" s="20"/>
      <c r="B527" s="20"/>
      <c r="C527" s="120" t="s">
        <v>27</v>
      </c>
      <c r="D527" s="121">
        <v>0.66</v>
      </c>
      <c r="E527" s="121">
        <v>645.0</v>
      </c>
      <c r="F527" s="121">
        <f>E527*D527</f>
        <v>425.7</v>
      </c>
      <c r="G527" s="120" t="s">
        <v>791</v>
      </c>
      <c r="H527" s="465"/>
      <c r="I527" s="465"/>
    </row>
    <row r="528">
      <c r="A528" s="124" t="s">
        <v>843</v>
      </c>
      <c r="B528" s="2"/>
      <c r="C528" s="2"/>
      <c r="D528" s="2"/>
      <c r="E528" s="2"/>
      <c r="F528" s="3"/>
      <c r="G528" s="125" t="s">
        <v>778</v>
      </c>
      <c r="H528" s="465"/>
      <c r="I528" s="465"/>
    </row>
    <row r="529">
      <c r="A529" s="127">
        <v>9999.0</v>
      </c>
      <c r="B529" s="126"/>
      <c r="C529" s="123" t="s">
        <v>1750</v>
      </c>
      <c r="D529" s="2"/>
      <c r="E529" s="3"/>
      <c r="F529" s="467"/>
      <c r="G529" s="3"/>
      <c r="H529" s="465"/>
      <c r="I529" s="465"/>
    </row>
    <row r="530">
      <c r="A530" s="20"/>
      <c r="B530" s="20"/>
      <c r="C530" s="120" t="s">
        <v>107</v>
      </c>
      <c r="D530" s="121">
        <v>2.73</v>
      </c>
      <c r="E530" s="121">
        <v>2.12</v>
      </c>
      <c r="F530" s="121">
        <f>E530*D530</f>
        <v>5.7876</v>
      </c>
      <c r="G530" s="120" t="s">
        <v>846</v>
      </c>
      <c r="H530" s="465"/>
      <c r="I530" s="465"/>
    </row>
    <row r="531">
      <c r="A531" s="127">
        <v>9999.0</v>
      </c>
      <c r="B531" s="126"/>
      <c r="C531" s="123" t="s">
        <v>2031</v>
      </c>
      <c r="D531" s="2"/>
      <c r="E531" s="3"/>
      <c r="F531" s="467"/>
      <c r="G531" s="3"/>
      <c r="H531" s="465"/>
      <c r="I531" s="465"/>
    </row>
    <row r="532">
      <c r="A532" s="20"/>
      <c r="B532" s="20"/>
      <c r="C532" s="120" t="s">
        <v>107</v>
      </c>
      <c r="D532" s="121">
        <v>30.98</v>
      </c>
      <c r="E532" s="121">
        <v>2.12</v>
      </c>
      <c r="F532" s="121">
        <f>E532*D532</f>
        <v>65.6776</v>
      </c>
      <c r="G532" s="120" t="s">
        <v>850</v>
      </c>
      <c r="H532" s="465"/>
      <c r="I532" s="465"/>
    </row>
    <row r="533">
      <c r="A533" s="129" t="s">
        <v>42</v>
      </c>
      <c r="B533" s="2"/>
      <c r="C533" s="3"/>
      <c r="D533" s="121">
        <v>10.0</v>
      </c>
      <c r="E533" s="130" t="s">
        <v>22</v>
      </c>
      <c r="F533" s="121">
        <f>F523+F525+F527+F530+F532</f>
        <v>1455.6052</v>
      </c>
      <c r="G533" s="131"/>
      <c r="H533" s="465"/>
      <c r="I533" s="465"/>
    </row>
    <row r="534">
      <c r="A534" s="129" t="s">
        <v>800</v>
      </c>
      <c r="B534" s="2"/>
      <c r="C534" s="3"/>
      <c r="D534" s="121">
        <v>1.0</v>
      </c>
      <c r="E534" s="130" t="s">
        <v>22</v>
      </c>
      <c r="F534" s="121">
        <f>F533/D533</f>
        <v>145.56052</v>
      </c>
      <c r="G534" s="131"/>
      <c r="H534" s="465"/>
      <c r="I534" s="465"/>
    </row>
    <row r="535">
      <c r="A535" s="133" t="s">
        <v>802</v>
      </c>
      <c r="B535" s="2"/>
      <c r="C535" s="2"/>
      <c r="D535" s="3"/>
      <c r="E535" s="121"/>
      <c r="F535" s="121">
        <f>F534*1%</f>
        <v>1.4556052</v>
      </c>
      <c r="G535" s="131"/>
      <c r="H535" s="465"/>
      <c r="I535" s="465"/>
    </row>
    <row r="536">
      <c r="A536" s="133" t="s">
        <v>42</v>
      </c>
      <c r="B536" s="2"/>
      <c r="C536" s="2"/>
      <c r="D536" s="3"/>
      <c r="E536" s="131"/>
      <c r="F536" s="121">
        <f>F534+F535</f>
        <v>147.0161252</v>
      </c>
      <c r="G536" s="131"/>
      <c r="H536" s="465"/>
      <c r="I536" s="465"/>
    </row>
    <row r="537">
      <c r="A537" s="133" t="s">
        <v>806</v>
      </c>
      <c r="B537" s="2"/>
      <c r="C537" s="2"/>
      <c r="D537" s="3"/>
      <c r="E537" s="121"/>
      <c r="F537" s="121">
        <f>F536*15%</f>
        <v>22.05241878</v>
      </c>
      <c r="G537" s="131"/>
      <c r="H537" s="465"/>
      <c r="I537" s="465"/>
    </row>
    <row r="538">
      <c r="A538" s="133" t="s">
        <v>42</v>
      </c>
      <c r="B538" s="2"/>
      <c r="C538" s="2"/>
      <c r="D538" s="3"/>
      <c r="E538" s="131"/>
      <c r="F538" s="300">
        <f>round(F536+F537,2)</f>
        <v>169.07</v>
      </c>
      <c r="G538" s="131"/>
      <c r="H538" s="465"/>
      <c r="I538" s="465"/>
    </row>
    <row r="539">
      <c r="A539" s="471" t="str">
        <f>CONCATENATE("Say ₹ ",F520," + ",F538," x Cost Index")</f>
        <v>Say ₹ 64.11 + 169.07 x Cost Index</v>
      </c>
      <c r="B539" s="2"/>
      <c r="C539" s="2"/>
      <c r="D539" s="2"/>
      <c r="E539" s="2"/>
      <c r="F539" s="3"/>
      <c r="G539" s="472" t="s">
        <v>939</v>
      </c>
      <c r="H539" s="473">
        <f>F514*1.01*1.15/10</f>
        <v>64.1148</v>
      </c>
      <c r="I539" s="473">
        <f>(F523+F525+F527+F530+F532)*1.01*1.15/10</f>
        <v>169.068544</v>
      </c>
    </row>
    <row r="540">
      <c r="A540" s="111" t="s">
        <v>742</v>
      </c>
      <c r="B540" s="111" t="s">
        <v>745</v>
      </c>
      <c r="C540" s="112" t="s">
        <v>6</v>
      </c>
      <c r="D540" s="2"/>
      <c r="E540" s="3"/>
      <c r="F540" s="112" t="s">
        <v>746</v>
      </c>
      <c r="G540" s="3"/>
      <c r="H540" s="465"/>
      <c r="I540" s="465"/>
    </row>
    <row r="541">
      <c r="A541" s="20"/>
      <c r="B541" s="20"/>
      <c r="C541" s="115" t="s">
        <v>8</v>
      </c>
      <c r="D541" s="115" t="s">
        <v>9</v>
      </c>
      <c r="E541" s="115" t="s">
        <v>358</v>
      </c>
      <c r="F541" s="115" t="s">
        <v>11</v>
      </c>
      <c r="G541" s="115" t="s">
        <v>751</v>
      </c>
      <c r="H541" s="465"/>
      <c r="I541" s="465"/>
    </row>
    <row r="542">
      <c r="A542" s="466" t="s">
        <v>2038</v>
      </c>
      <c r="B542" s="2"/>
      <c r="C542" s="2"/>
      <c r="D542" s="2"/>
      <c r="E542" s="2"/>
      <c r="F542" s="2"/>
      <c r="G542" s="3"/>
      <c r="H542" s="465"/>
      <c r="I542" s="465"/>
    </row>
    <row r="543">
      <c r="A543" s="119"/>
      <c r="B543" s="120" t="s">
        <v>754</v>
      </c>
      <c r="C543" s="120" t="s">
        <v>22</v>
      </c>
      <c r="D543" s="120" t="s">
        <v>757</v>
      </c>
      <c r="E543" s="121">
        <v>10.0</v>
      </c>
      <c r="F543" s="467"/>
      <c r="G543" s="3"/>
      <c r="H543" s="465"/>
      <c r="I543" s="465"/>
    </row>
    <row r="544">
      <c r="A544" s="120" t="s">
        <v>761</v>
      </c>
      <c r="B544" s="123" t="s">
        <v>1675</v>
      </c>
      <c r="C544" s="2"/>
      <c r="D544" s="2"/>
      <c r="E544" s="2"/>
      <c r="F544" s="2"/>
      <c r="G544" s="3"/>
      <c r="H544" s="465"/>
      <c r="I544" s="465"/>
    </row>
    <row r="545">
      <c r="A545" s="124" t="s">
        <v>764</v>
      </c>
      <c r="B545" s="2"/>
      <c r="C545" s="2"/>
      <c r="D545" s="2"/>
      <c r="E545" s="2"/>
      <c r="F545" s="3"/>
      <c r="G545" s="125" t="s">
        <v>766</v>
      </c>
      <c r="H545" s="465"/>
      <c r="I545" s="465"/>
    </row>
    <row r="546">
      <c r="A546" s="126"/>
      <c r="B546" s="127" t="s">
        <v>1751</v>
      </c>
      <c r="C546" s="123" t="s">
        <v>1822</v>
      </c>
      <c r="D546" s="2"/>
      <c r="E546" s="3"/>
      <c r="F546" s="467"/>
      <c r="G546" s="3"/>
      <c r="H546" s="465"/>
      <c r="I546" s="465"/>
    </row>
    <row r="547">
      <c r="A547" s="20"/>
      <c r="B547" s="20"/>
      <c r="C547" s="120" t="s">
        <v>22</v>
      </c>
      <c r="D547" s="121">
        <v>11.5</v>
      </c>
      <c r="E547" s="121">
        <v>65.0</v>
      </c>
      <c r="F547" s="121">
        <f>E547*D547</f>
        <v>747.5</v>
      </c>
      <c r="G547" s="120" t="s">
        <v>772</v>
      </c>
      <c r="H547" s="465"/>
      <c r="I547" s="465"/>
    </row>
    <row r="548">
      <c r="A548" s="129" t="s">
        <v>42</v>
      </c>
      <c r="B548" s="2"/>
      <c r="C548" s="3"/>
      <c r="D548" s="121">
        <v>10.0</v>
      </c>
      <c r="E548" s="130" t="s">
        <v>22</v>
      </c>
      <c r="F548" s="121">
        <f>F547</f>
        <v>747.5</v>
      </c>
      <c r="G548" s="120"/>
      <c r="H548" s="465"/>
      <c r="I548" s="465"/>
    </row>
    <row r="549">
      <c r="A549" s="129" t="s">
        <v>800</v>
      </c>
      <c r="B549" s="2"/>
      <c r="C549" s="3"/>
      <c r="D549" s="121">
        <v>1.0</v>
      </c>
      <c r="E549" s="130" t="s">
        <v>22</v>
      </c>
      <c r="F549" s="121">
        <f>F548/D548</f>
        <v>74.75</v>
      </c>
      <c r="G549" s="120"/>
      <c r="H549" s="465"/>
      <c r="I549" s="465"/>
    </row>
    <row r="550">
      <c r="A550" s="133" t="s">
        <v>802</v>
      </c>
      <c r="B550" s="2"/>
      <c r="C550" s="2"/>
      <c r="D550" s="3"/>
      <c r="E550" s="121"/>
      <c r="F550" s="121">
        <f>F549*1%</f>
        <v>0.7475</v>
      </c>
      <c r="G550" s="120"/>
      <c r="H550" s="465"/>
      <c r="I550" s="465"/>
    </row>
    <row r="551">
      <c r="A551" s="133" t="s">
        <v>42</v>
      </c>
      <c r="B551" s="2"/>
      <c r="C551" s="2"/>
      <c r="D551" s="3"/>
      <c r="E551" s="131"/>
      <c r="F551" s="121">
        <f>F549+F550</f>
        <v>75.4975</v>
      </c>
      <c r="G551" s="120"/>
      <c r="H551" s="465"/>
      <c r="I551" s="465"/>
    </row>
    <row r="552">
      <c r="A552" s="133" t="s">
        <v>806</v>
      </c>
      <c r="B552" s="2"/>
      <c r="C552" s="2"/>
      <c r="D552" s="3"/>
      <c r="E552" s="121"/>
      <c r="F552" s="121">
        <f>F551*15%</f>
        <v>11.324625</v>
      </c>
      <c r="G552" s="120"/>
      <c r="H552" s="465"/>
      <c r="I552" s="465"/>
    </row>
    <row r="553">
      <c r="A553" s="133" t="s">
        <v>42</v>
      </c>
      <c r="B553" s="2"/>
      <c r="C553" s="2"/>
      <c r="D553" s="3"/>
      <c r="E553" s="131"/>
      <c r="F553" s="300">
        <f>round(F551+F552,2)</f>
        <v>86.82</v>
      </c>
      <c r="G553" s="120"/>
      <c r="H553" s="465"/>
      <c r="I553" s="465"/>
    </row>
    <row r="554">
      <c r="A554" s="124" t="s">
        <v>777</v>
      </c>
      <c r="B554" s="2"/>
      <c r="C554" s="2"/>
      <c r="D554" s="2"/>
      <c r="E554" s="2"/>
      <c r="F554" s="3"/>
      <c r="G554" s="125" t="s">
        <v>778</v>
      </c>
      <c r="H554" s="465"/>
      <c r="I554" s="465"/>
    </row>
    <row r="555">
      <c r="A555" s="127">
        <v>116.0</v>
      </c>
      <c r="B555" s="126"/>
      <c r="C555" s="123" t="s">
        <v>535</v>
      </c>
      <c r="D555" s="2"/>
      <c r="E555" s="3"/>
      <c r="F555" s="467"/>
      <c r="G555" s="3"/>
      <c r="H555" s="465"/>
      <c r="I555" s="465"/>
    </row>
    <row r="556">
      <c r="A556" s="20"/>
      <c r="B556" s="20"/>
      <c r="C556" s="120" t="s">
        <v>27</v>
      </c>
      <c r="D556" s="121">
        <v>0.33</v>
      </c>
      <c r="E556" s="121">
        <v>784.0</v>
      </c>
      <c r="F556" s="121">
        <f>E556*D556</f>
        <v>258.72</v>
      </c>
      <c r="G556" s="120" t="s">
        <v>780</v>
      </c>
      <c r="H556" s="465"/>
      <c r="I556" s="465"/>
    </row>
    <row r="557">
      <c r="A557" s="127">
        <v>117.0</v>
      </c>
      <c r="B557" s="126"/>
      <c r="C557" s="123" t="s">
        <v>856</v>
      </c>
      <c r="D557" s="2"/>
      <c r="E557" s="3"/>
      <c r="F557" s="467"/>
      <c r="G557" s="3"/>
      <c r="H557" s="465"/>
      <c r="I557" s="465"/>
    </row>
    <row r="558">
      <c r="A558" s="20"/>
      <c r="B558" s="20"/>
      <c r="C558" s="120" t="s">
        <v>27</v>
      </c>
      <c r="D558" s="121">
        <v>0.98</v>
      </c>
      <c r="E558" s="121">
        <v>714.0</v>
      </c>
      <c r="F558" s="121">
        <f>E558*D558</f>
        <v>699.72</v>
      </c>
      <c r="G558" s="120" t="s">
        <v>782</v>
      </c>
      <c r="H558" s="465"/>
      <c r="I558" s="465"/>
    </row>
    <row r="559">
      <c r="A559" s="127">
        <v>114.0</v>
      </c>
      <c r="B559" s="126"/>
      <c r="C559" s="123" t="s">
        <v>97</v>
      </c>
      <c r="D559" s="2"/>
      <c r="E559" s="3"/>
      <c r="F559" s="467"/>
      <c r="G559" s="3"/>
      <c r="H559" s="465"/>
      <c r="I559" s="465"/>
    </row>
    <row r="560">
      <c r="A560" s="20"/>
      <c r="B560" s="20"/>
      <c r="C560" s="120" t="s">
        <v>27</v>
      </c>
      <c r="D560" s="121">
        <v>0.98</v>
      </c>
      <c r="E560" s="121">
        <v>645.0</v>
      </c>
      <c r="F560" s="121">
        <f>E560*D560</f>
        <v>632.1</v>
      </c>
      <c r="G560" s="120" t="s">
        <v>791</v>
      </c>
      <c r="H560" s="465"/>
      <c r="I560" s="465"/>
    </row>
    <row r="561">
      <c r="A561" s="124" t="s">
        <v>843</v>
      </c>
      <c r="B561" s="2"/>
      <c r="C561" s="2"/>
      <c r="D561" s="2"/>
      <c r="E561" s="2"/>
      <c r="F561" s="3"/>
      <c r="G561" s="125" t="s">
        <v>778</v>
      </c>
      <c r="H561" s="465"/>
      <c r="I561" s="465"/>
    </row>
    <row r="562">
      <c r="A562" s="127">
        <v>9999.0</v>
      </c>
      <c r="B562" s="126"/>
      <c r="C562" s="123" t="s">
        <v>1750</v>
      </c>
      <c r="D562" s="2"/>
      <c r="E562" s="3"/>
      <c r="F562" s="467"/>
      <c r="G562" s="3"/>
      <c r="H562" s="465"/>
      <c r="I562" s="465"/>
    </row>
    <row r="563">
      <c r="A563" s="20"/>
      <c r="B563" s="20"/>
      <c r="C563" s="120" t="s">
        <v>107</v>
      </c>
      <c r="D563" s="121">
        <v>4.16</v>
      </c>
      <c r="E563" s="121">
        <v>2.12</v>
      </c>
      <c r="F563" s="121">
        <f>E563*D563</f>
        <v>8.8192</v>
      </c>
      <c r="G563" s="120" t="s">
        <v>846</v>
      </c>
      <c r="H563" s="465"/>
      <c r="I563" s="465"/>
    </row>
    <row r="564">
      <c r="A564" s="127">
        <v>9999.0</v>
      </c>
      <c r="B564" s="126"/>
      <c r="C564" s="123" t="s">
        <v>1756</v>
      </c>
      <c r="D564" s="2"/>
      <c r="E564" s="3"/>
      <c r="F564" s="467"/>
      <c r="G564" s="3"/>
      <c r="H564" s="465"/>
      <c r="I564" s="465"/>
    </row>
    <row r="565">
      <c r="A565" s="20"/>
      <c r="B565" s="20"/>
      <c r="C565" s="120" t="s">
        <v>107</v>
      </c>
      <c r="D565" s="121">
        <v>30.98</v>
      </c>
      <c r="E565" s="121">
        <v>2.12</v>
      </c>
      <c r="F565" s="121">
        <f>E565*D565</f>
        <v>65.6776</v>
      </c>
      <c r="G565" s="120" t="s">
        <v>850</v>
      </c>
      <c r="H565" s="465"/>
      <c r="I565" s="465"/>
    </row>
    <row r="566">
      <c r="A566" s="129" t="s">
        <v>42</v>
      </c>
      <c r="B566" s="2"/>
      <c r="C566" s="3"/>
      <c r="D566" s="121">
        <v>10.0</v>
      </c>
      <c r="E566" s="130" t="s">
        <v>22</v>
      </c>
      <c r="F566" s="121">
        <f>F556+F558+F560+F563+F565</f>
        <v>1665.0368</v>
      </c>
      <c r="G566" s="131"/>
      <c r="H566" s="465"/>
      <c r="I566" s="465"/>
    </row>
    <row r="567">
      <c r="A567" s="129" t="s">
        <v>800</v>
      </c>
      <c r="B567" s="2"/>
      <c r="C567" s="3"/>
      <c r="D567" s="121">
        <v>1.0</v>
      </c>
      <c r="E567" s="130" t="s">
        <v>22</v>
      </c>
      <c r="F567" s="121">
        <f>F566/D566</f>
        <v>166.50368</v>
      </c>
      <c r="G567" s="131"/>
      <c r="H567" s="465"/>
      <c r="I567" s="465"/>
    </row>
    <row r="568">
      <c r="A568" s="133" t="s">
        <v>802</v>
      </c>
      <c r="B568" s="2"/>
      <c r="C568" s="2"/>
      <c r="D568" s="3"/>
      <c r="E568" s="121"/>
      <c r="F568" s="121">
        <f>F567*1%</f>
        <v>1.6650368</v>
      </c>
      <c r="G568" s="131"/>
      <c r="H568" s="465"/>
      <c r="I568" s="465"/>
    </row>
    <row r="569">
      <c r="A569" s="133" t="s">
        <v>42</v>
      </c>
      <c r="B569" s="2"/>
      <c r="C569" s="2"/>
      <c r="D569" s="3"/>
      <c r="E569" s="131"/>
      <c r="F569" s="121">
        <f>F567+F568</f>
        <v>168.1687168</v>
      </c>
      <c r="G569" s="131"/>
      <c r="H569" s="465"/>
      <c r="I569" s="465"/>
    </row>
    <row r="570">
      <c r="A570" s="133" t="s">
        <v>806</v>
      </c>
      <c r="B570" s="2"/>
      <c r="C570" s="2"/>
      <c r="D570" s="3"/>
      <c r="E570" s="121"/>
      <c r="F570" s="121">
        <f>F569*15%</f>
        <v>25.22530752</v>
      </c>
      <c r="G570" s="131"/>
      <c r="H570" s="465"/>
      <c r="I570" s="465"/>
    </row>
    <row r="571">
      <c r="A571" s="133" t="s">
        <v>42</v>
      </c>
      <c r="B571" s="2"/>
      <c r="C571" s="2"/>
      <c r="D571" s="3"/>
      <c r="E571" s="131"/>
      <c r="F571" s="300">
        <f>round(F569+F570,2)</f>
        <v>193.39</v>
      </c>
      <c r="G571" s="131"/>
      <c r="H571" s="465"/>
      <c r="I571" s="465"/>
    </row>
    <row r="572">
      <c r="A572" s="471" t="str">
        <f>CONCATENATE("Say ₹ ",F553," + ",F571," x Cost Index")</f>
        <v>Say ₹ 86.82 + 193.39 x Cost Index</v>
      </c>
      <c r="B572" s="2"/>
      <c r="C572" s="2"/>
      <c r="D572" s="2"/>
      <c r="E572" s="2"/>
      <c r="F572" s="3"/>
      <c r="G572" s="472" t="s">
        <v>939</v>
      </c>
      <c r="H572" s="473">
        <f>F547*1.01*1.15/10</f>
        <v>86.822125</v>
      </c>
      <c r="I572" s="473">
        <f>(F556+F558+F560+F563+F565)*1.01*1.15/10</f>
        <v>193.3940243</v>
      </c>
    </row>
    <row r="573">
      <c r="A573" s="111" t="s">
        <v>742</v>
      </c>
      <c r="B573" s="111" t="s">
        <v>745</v>
      </c>
      <c r="C573" s="112" t="s">
        <v>6</v>
      </c>
      <c r="D573" s="2"/>
      <c r="E573" s="3"/>
      <c r="F573" s="112" t="s">
        <v>746</v>
      </c>
      <c r="G573" s="3"/>
      <c r="H573" s="465"/>
      <c r="I573" s="465"/>
    </row>
    <row r="574">
      <c r="A574" s="20"/>
      <c r="B574" s="20"/>
      <c r="C574" s="115" t="s">
        <v>8</v>
      </c>
      <c r="D574" s="115" t="s">
        <v>9</v>
      </c>
      <c r="E574" s="115" t="s">
        <v>358</v>
      </c>
      <c r="F574" s="115" t="s">
        <v>11</v>
      </c>
      <c r="G574" s="115" t="s">
        <v>751</v>
      </c>
      <c r="H574" s="465"/>
      <c r="I574" s="465"/>
    </row>
    <row r="575">
      <c r="A575" s="466" t="s">
        <v>2049</v>
      </c>
      <c r="B575" s="2"/>
      <c r="C575" s="2"/>
      <c r="D575" s="2"/>
      <c r="E575" s="2"/>
      <c r="F575" s="2"/>
      <c r="G575" s="3"/>
      <c r="H575" s="465"/>
      <c r="I575" s="465"/>
    </row>
    <row r="576">
      <c r="A576" s="119"/>
      <c r="B576" s="120" t="s">
        <v>754</v>
      </c>
      <c r="C576" s="120" t="s">
        <v>22</v>
      </c>
      <c r="D576" s="120" t="s">
        <v>757</v>
      </c>
      <c r="E576" s="121">
        <v>10.0</v>
      </c>
      <c r="F576" s="467"/>
      <c r="G576" s="3"/>
      <c r="H576" s="465"/>
      <c r="I576" s="465"/>
    </row>
    <row r="577">
      <c r="A577" s="120" t="s">
        <v>761</v>
      </c>
      <c r="B577" s="123" t="s">
        <v>2050</v>
      </c>
      <c r="C577" s="2"/>
      <c r="D577" s="2"/>
      <c r="E577" s="2"/>
      <c r="F577" s="2"/>
      <c r="G577" s="3"/>
      <c r="H577" s="465"/>
      <c r="I577" s="465"/>
    </row>
    <row r="578">
      <c r="A578" s="124" t="s">
        <v>764</v>
      </c>
      <c r="B578" s="2"/>
      <c r="C578" s="2"/>
      <c r="D578" s="2"/>
      <c r="E578" s="2"/>
      <c r="F578" s="3"/>
      <c r="G578" s="125" t="s">
        <v>766</v>
      </c>
      <c r="H578" s="465"/>
      <c r="I578" s="465"/>
    </row>
    <row r="579">
      <c r="A579" s="126"/>
      <c r="B579" s="127" t="s">
        <v>1797</v>
      </c>
      <c r="C579" s="123" t="s">
        <v>2051</v>
      </c>
      <c r="D579" s="2"/>
      <c r="E579" s="3"/>
      <c r="F579" s="467"/>
      <c r="G579" s="3"/>
      <c r="H579" s="465"/>
      <c r="I579" s="465"/>
    </row>
    <row r="580">
      <c r="A580" s="20"/>
      <c r="B580" s="20"/>
      <c r="C580" s="120" t="s">
        <v>22</v>
      </c>
      <c r="D580" s="121">
        <v>11.5</v>
      </c>
      <c r="E580" s="121">
        <v>52.0</v>
      </c>
      <c r="F580" s="121">
        <f>E580*D580</f>
        <v>598</v>
      </c>
      <c r="G580" s="120" t="s">
        <v>772</v>
      </c>
      <c r="H580" s="465"/>
      <c r="I580" s="465"/>
    </row>
    <row r="581">
      <c r="A581" s="129" t="s">
        <v>42</v>
      </c>
      <c r="B581" s="2"/>
      <c r="C581" s="3"/>
      <c r="D581" s="121">
        <v>10.0</v>
      </c>
      <c r="E581" s="130" t="s">
        <v>22</v>
      </c>
      <c r="F581" s="121">
        <f>F580</f>
        <v>598</v>
      </c>
      <c r="G581" s="120"/>
      <c r="H581" s="465"/>
      <c r="I581" s="465"/>
    </row>
    <row r="582">
      <c r="A582" s="129" t="s">
        <v>800</v>
      </c>
      <c r="B582" s="2"/>
      <c r="C582" s="3"/>
      <c r="D582" s="121">
        <v>1.0</v>
      </c>
      <c r="E582" s="130" t="s">
        <v>22</v>
      </c>
      <c r="F582" s="121">
        <f>F581/D581</f>
        <v>59.8</v>
      </c>
      <c r="G582" s="120"/>
      <c r="H582" s="465"/>
      <c r="I582" s="465"/>
    </row>
    <row r="583">
      <c r="A583" s="133" t="s">
        <v>802</v>
      </c>
      <c r="B583" s="2"/>
      <c r="C583" s="2"/>
      <c r="D583" s="3"/>
      <c r="E583" s="121"/>
      <c r="F583" s="121">
        <f>F582*1%</f>
        <v>0.598</v>
      </c>
      <c r="G583" s="120"/>
      <c r="H583" s="465"/>
      <c r="I583" s="465"/>
    </row>
    <row r="584">
      <c r="A584" s="133" t="s">
        <v>42</v>
      </c>
      <c r="B584" s="2"/>
      <c r="C584" s="2"/>
      <c r="D584" s="3"/>
      <c r="E584" s="131"/>
      <c r="F584" s="121">
        <f>F582+F583</f>
        <v>60.398</v>
      </c>
      <c r="G584" s="120"/>
      <c r="H584" s="465"/>
      <c r="I584" s="465"/>
    </row>
    <row r="585">
      <c r="A585" s="133" t="s">
        <v>806</v>
      </c>
      <c r="B585" s="2"/>
      <c r="C585" s="2"/>
      <c r="D585" s="3"/>
      <c r="E585" s="121"/>
      <c r="F585" s="121">
        <f>F584*15%</f>
        <v>9.0597</v>
      </c>
      <c r="G585" s="120"/>
      <c r="H585" s="465"/>
      <c r="I585" s="465"/>
    </row>
    <row r="586">
      <c r="A586" s="133" t="s">
        <v>42</v>
      </c>
      <c r="B586" s="2"/>
      <c r="C586" s="2"/>
      <c r="D586" s="3"/>
      <c r="E586" s="131"/>
      <c r="F586" s="300">
        <f>round(F584+F585,2)</f>
        <v>69.46</v>
      </c>
      <c r="G586" s="120"/>
      <c r="H586" s="465"/>
      <c r="I586" s="465"/>
    </row>
    <row r="587">
      <c r="A587" s="124" t="s">
        <v>777</v>
      </c>
      <c r="B587" s="2"/>
      <c r="C587" s="2"/>
      <c r="D587" s="2"/>
      <c r="E587" s="2"/>
      <c r="F587" s="3"/>
      <c r="G587" s="125" t="s">
        <v>778</v>
      </c>
      <c r="H587" s="465"/>
      <c r="I587" s="465"/>
    </row>
    <row r="588">
      <c r="A588" s="127">
        <v>116.0</v>
      </c>
      <c r="B588" s="126"/>
      <c r="C588" s="123" t="s">
        <v>535</v>
      </c>
      <c r="D588" s="2"/>
      <c r="E588" s="3"/>
      <c r="F588" s="467"/>
      <c r="G588" s="3"/>
      <c r="H588" s="465"/>
      <c r="I588" s="465"/>
    </row>
    <row r="589">
      <c r="A589" s="20"/>
      <c r="B589" s="20"/>
      <c r="C589" s="120" t="s">
        <v>27</v>
      </c>
      <c r="D589" s="121">
        <v>0.33</v>
      </c>
      <c r="E589" s="121">
        <v>784.0</v>
      </c>
      <c r="F589" s="121">
        <f>E589*D589</f>
        <v>258.72</v>
      </c>
      <c r="G589" s="120" t="s">
        <v>780</v>
      </c>
      <c r="H589" s="465"/>
      <c r="I589" s="465"/>
    </row>
    <row r="590">
      <c r="A590" s="127">
        <v>117.0</v>
      </c>
      <c r="B590" s="126"/>
      <c r="C590" s="123" t="s">
        <v>856</v>
      </c>
      <c r="D590" s="2"/>
      <c r="E590" s="3"/>
      <c r="F590" s="467"/>
      <c r="G590" s="3"/>
      <c r="H590" s="465"/>
      <c r="I590" s="465"/>
    </row>
    <row r="591">
      <c r="A591" s="20"/>
      <c r="B591" s="20"/>
      <c r="C591" s="120" t="s">
        <v>27</v>
      </c>
      <c r="D591" s="121">
        <v>0.98</v>
      </c>
      <c r="E591" s="121">
        <v>714.0</v>
      </c>
      <c r="F591" s="121">
        <f>E591*D591</f>
        <v>699.72</v>
      </c>
      <c r="G591" s="120" t="s">
        <v>782</v>
      </c>
      <c r="H591" s="465"/>
      <c r="I591" s="465"/>
    </row>
    <row r="592">
      <c r="A592" s="127">
        <v>114.0</v>
      </c>
      <c r="B592" s="126"/>
      <c r="C592" s="123" t="s">
        <v>97</v>
      </c>
      <c r="D592" s="2"/>
      <c r="E592" s="3"/>
      <c r="F592" s="467"/>
      <c r="G592" s="3"/>
      <c r="H592" s="465"/>
      <c r="I592" s="465"/>
    </row>
    <row r="593">
      <c r="A593" s="20"/>
      <c r="B593" s="20"/>
      <c r="C593" s="120" t="s">
        <v>27</v>
      </c>
      <c r="D593" s="121">
        <v>0.98</v>
      </c>
      <c r="E593" s="121">
        <v>645.0</v>
      </c>
      <c r="F593" s="121">
        <f>E593*D593</f>
        <v>632.1</v>
      </c>
      <c r="G593" s="120" t="s">
        <v>791</v>
      </c>
      <c r="H593" s="465"/>
      <c r="I593" s="465"/>
    </row>
    <row r="594">
      <c r="A594" s="124" t="s">
        <v>843</v>
      </c>
      <c r="B594" s="2"/>
      <c r="C594" s="2"/>
      <c r="D594" s="2"/>
      <c r="E594" s="2"/>
      <c r="F594" s="3"/>
      <c r="G594" s="125" t="s">
        <v>778</v>
      </c>
      <c r="H594" s="465"/>
      <c r="I594" s="465"/>
    </row>
    <row r="595">
      <c r="A595" s="127">
        <v>9999.0</v>
      </c>
      <c r="B595" s="126"/>
      <c r="C595" s="123" t="s">
        <v>1750</v>
      </c>
      <c r="D595" s="2"/>
      <c r="E595" s="3"/>
      <c r="F595" s="467"/>
      <c r="G595" s="3"/>
      <c r="H595" s="465"/>
      <c r="I595" s="465"/>
    </row>
    <row r="596">
      <c r="A596" s="20"/>
      <c r="B596" s="20"/>
      <c r="C596" s="120" t="s">
        <v>107</v>
      </c>
      <c r="D596" s="121">
        <v>4.16</v>
      </c>
      <c r="E596" s="121">
        <v>2.12</v>
      </c>
      <c r="F596" s="121">
        <f>E596*D596</f>
        <v>8.8192</v>
      </c>
      <c r="G596" s="120" t="s">
        <v>846</v>
      </c>
      <c r="H596" s="465"/>
      <c r="I596" s="465"/>
    </row>
    <row r="597">
      <c r="A597" s="127">
        <v>9999.0</v>
      </c>
      <c r="B597" s="126"/>
      <c r="C597" s="123" t="s">
        <v>1737</v>
      </c>
      <c r="D597" s="2"/>
      <c r="E597" s="3"/>
      <c r="F597" s="467"/>
      <c r="G597" s="3"/>
      <c r="H597" s="465"/>
      <c r="I597" s="465"/>
    </row>
    <row r="598">
      <c r="A598" s="20"/>
      <c r="B598" s="20"/>
      <c r="C598" s="120" t="s">
        <v>107</v>
      </c>
      <c r="D598" s="121">
        <v>30.98</v>
      </c>
      <c r="E598" s="121">
        <v>2.12</v>
      </c>
      <c r="F598" s="121">
        <f>E598*D598</f>
        <v>65.6776</v>
      </c>
      <c r="G598" s="120" t="s">
        <v>850</v>
      </c>
      <c r="H598" s="465"/>
      <c r="I598" s="465"/>
    </row>
    <row r="599">
      <c r="A599" s="129" t="s">
        <v>42</v>
      </c>
      <c r="B599" s="2"/>
      <c r="C599" s="3"/>
      <c r="D599" s="121">
        <v>10.0</v>
      </c>
      <c r="E599" s="130" t="s">
        <v>22</v>
      </c>
      <c r="F599" s="121">
        <f>F589+F591+F593+F596+F598</f>
        <v>1665.0368</v>
      </c>
      <c r="G599" s="131"/>
      <c r="H599" s="465"/>
      <c r="I599" s="465"/>
    </row>
    <row r="600">
      <c r="A600" s="129" t="s">
        <v>800</v>
      </c>
      <c r="B600" s="2"/>
      <c r="C600" s="3"/>
      <c r="D600" s="121">
        <v>1.0</v>
      </c>
      <c r="E600" s="130" t="s">
        <v>22</v>
      </c>
      <c r="F600" s="121">
        <f>F599/D599</f>
        <v>166.50368</v>
      </c>
      <c r="G600" s="131"/>
      <c r="H600" s="465"/>
      <c r="I600" s="465"/>
    </row>
    <row r="601">
      <c r="A601" s="133" t="s">
        <v>802</v>
      </c>
      <c r="B601" s="2"/>
      <c r="C601" s="2"/>
      <c r="D601" s="3"/>
      <c r="E601" s="121"/>
      <c r="F601" s="121">
        <f>F600*1%</f>
        <v>1.6650368</v>
      </c>
      <c r="G601" s="131"/>
      <c r="H601" s="465"/>
      <c r="I601" s="465"/>
    </row>
    <row r="602">
      <c r="A602" s="133" t="s">
        <v>42</v>
      </c>
      <c r="B602" s="2"/>
      <c r="C602" s="2"/>
      <c r="D602" s="3"/>
      <c r="E602" s="131"/>
      <c r="F602" s="121">
        <f>F600+F601</f>
        <v>168.1687168</v>
      </c>
      <c r="G602" s="131"/>
      <c r="H602" s="465"/>
      <c r="I602" s="465"/>
    </row>
    <row r="603">
      <c r="A603" s="133" t="s">
        <v>806</v>
      </c>
      <c r="B603" s="2"/>
      <c r="C603" s="2"/>
      <c r="D603" s="3"/>
      <c r="E603" s="121"/>
      <c r="F603" s="121">
        <f>F602*15%</f>
        <v>25.22530752</v>
      </c>
      <c r="G603" s="131"/>
      <c r="H603" s="465"/>
      <c r="I603" s="465"/>
    </row>
    <row r="604">
      <c r="A604" s="133" t="s">
        <v>42</v>
      </c>
      <c r="B604" s="2"/>
      <c r="C604" s="2"/>
      <c r="D604" s="3"/>
      <c r="E604" s="131"/>
      <c r="F604" s="300">
        <f>round(F602+F603,2)</f>
        <v>193.39</v>
      </c>
      <c r="G604" s="131"/>
      <c r="H604" s="465"/>
      <c r="I604" s="465"/>
    </row>
    <row r="605">
      <c r="A605" s="471" t="str">
        <f>CONCATENATE("Say ₹ ",F586," + ",F604," x Cost Index")</f>
        <v>Say ₹ 69.46 + 193.39 x Cost Index</v>
      </c>
      <c r="B605" s="2"/>
      <c r="C605" s="2"/>
      <c r="D605" s="2"/>
      <c r="E605" s="2"/>
      <c r="F605" s="3"/>
      <c r="G605" s="472" t="s">
        <v>939</v>
      </c>
      <c r="H605" s="473">
        <f>F580*1.01*1.15/10</f>
        <v>69.4577</v>
      </c>
      <c r="I605" s="473">
        <f>(F589+F591+F593+F596+F598)*1.01*1.15/10</f>
        <v>193.3940243</v>
      </c>
    </row>
    <row r="606">
      <c r="A606" s="111" t="s">
        <v>742</v>
      </c>
      <c r="B606" s="111" t="s">
        <v>745</v>
      </c>
      <c r="C606" s="112" t="s">
        <v>6</v>
      </c>
      <c r="D606" s="2"/>
      <c r="E606" s="3"/>
      <c r="F606" s="112" t="s">
        <v>746</v>
      </c>
      <c r="G606" s="3"/>
      <c r="H606" s="465"/>
      <c r="I606" s="465"/>
    </row>
    <row r="607">
      <c r="A607" s="20"/>
      <c r="B607" s="20"/>
      <c r="C607" s="115" t="s">
        <v>8</v>
      </c>
      <c r="D607" s="115" t="s">
        <v>9</v>
      </c>
      <c r="E607" s="115" t="s">
        <v>358</v>
      </c>
      <c r="F607" s="115" t="s">
        <v>11</v>
      </c>
      <c r="G607" s="115" t="s">
        <v>751</v>
      </c>
      <c r="H607" s="465"/>
      <c r="I607" s="465"/>
    </row>
    <row r="608">
      <c r="A608" s="466" t="s">
        <v>2062</v>
      </c>
      <c r="B608" s="2"/>
      <c r="C608" s="2"/>
      <c r="D608" s="2"/>
      <c r="E608" s="2"/>
      <c r="F608" s="2"/>
      <c r="G608" s="3"/>
      <c r="H608" s="465"/>
      <c r="I608" s="465"/>
    </row>
    <row r="609">
      <c r="A609" s="119"/>
      <c r="B609" s="120" t="s">
        <v>754</v>
      </c>
      <c r="C609" s="120" t="s">
        <v>22</v>
      </c>
      <c r="D609" s="120" t="s">
        <v>757</v>
      </c>
      <c r="E609" s="121">
        <v>10.0</v>
      </c>
      <c r="F609" s="467"/>
      <c r="G609" s="3"/>
      <c r="H609" s="465"/>
      <c r="I609" s="465"/>
    </row>
    <row r="610">
      <c r="A610" s="120" t="s">
        <v>761</v>
      </c>
      <c r="B610" s="123" t="s">
        <v>1675</v>
      </c>
      <c r="C610" s="2"/>
      <c r="D610" s="2"/>
      <c r="E610" s="2"/>
      <c r="F610" s="2"/>
      <c r="G610" s="3"/>
      <c r="H610" s="465"/>
      <c r="I610" s="465"/>
    </row>
    <row r="611">
      <c r="A611" s="124" t="s">
        <v>764</v>
      </c>
      <c r="B611" s="2"/>
      <c r="C611" s="2"/>
      <c r="D611" s="2"/>
      <c r="E611" s="2"/>
      <c r="F611" s="3"/>
      <c r="G611" s="125" t="s">
        <v>766</v>
      </c>
      <c r="H611" s="465"/>
      <c r="I611" s="465"/>
    </row>
    <row r="612">
      <c r="A612" s="126"/>
      <c r="B612" s="127" t="s">
        <v>1770</v>
      </c>
      <c r="C612" s="123" t="s">
        <v>1837</v>
      </c>
      <c r="D612" s="2"/>
      <c r="E612" s="3"/>
      <c r="F612" s="467"/>
      <c r="G612" s="3"/>
      <c r="H612" s="465"/>
      <c r="I612" s="465"/>
    </row>
    <row r="613">
      <c r="A613" s="20"/>
      <c r="B613" s="20"/>
      <c r="C613" s="120" t="s">
        <v>22</v>
      </c>
      <c r="D613" s="121">
        <v>11.5</v>
      </c>
      <c r="E613" s="121">
        <v>84.0</v>
      </c>
      <c r="F613" s="121">
        <f>E613*D613</f>
        <v>966</v>
      </c>
      <c r="G613" s="120" t="s">
        <v>772</v>
      </c>
      <c r="H613" s="465"/>
      <c r="I613" s="465"/>
    </row>
    <row r="614">
      <c r="A614" s="129" t="s">
        <v>42</v>
      </c>
      <c r="B614" s="2"/>
      <c r="C614" s="3"/>
      <c r="D614" s="121">
        <v>10.0</v>
      </c>
      <c r="E614" s="130" t="s">
        <v>22</v>
      </c>
      <c r="F614" s="121">
        <f>F613</f>
        <v>966</v>
      </c>
      <c r="G614" s="120"/>
      <c r="H614" s="465"/>
      <c r="I614" s="465"/>
    </row>
    <row r="615">
      <c r="A615" s="129" t="s">
        <v>800</v>
      </c>
      <c r="B615" s="2"/>
      <c r="C615" s="3"/>
      <c r="D615" s="121">
        <v>1.0</v>
      </c>
      <c r="E615" s="130" t="s">
        <v>22</v>
      </c>
      <c r="F615" s="121">
        <f>F614/D614</f>
        <v>96.6</v>
      </c>
      <c r="G615" s="120"/>
      <c r="H615" s="465"/>
      <c r="I615" s="465"/>
    </row>
    <row r="616">
      <c r="A616" s="133" t="s">
        <v>802</v>
      </c>
      <c r="B616" s="2"/>
      <c r="C616" s="2"/>
      <c r="D616" s="3"/>
      <c r="E616" s="121"/>
      <c r="F616" s="121">
        <f>F615*1%</f>
        <v>0.966</v>
      </c>
      <c r="G616" s="120"/>
      <c r="H616" s="465"/>
      <c r="I616" s="465"/>
    </row>
    <row r="617">
      <c r="A617" s="133" t="s">
        <v>42</v>
      </c>
      <c r="B617" s="2"/>
      <c r="C617" s="2"/>
      <c r="D617" s="3"/>
      <c r="E617" s="131"/>
      <c r="F617" s="121">
        <f>F615+F616</f>
        <v>97.566</v>
      </c>
      <c r="G617" s="120"/>
      <c r="H617" s="465"/>
      <c r="I617" s="465"/>
    </row>
    <row r="618">
      <c r="A618" s="133" t="s">
        <v>806</v>
      </c>
      <c r="B618" s="2"/>
      <c r="C618" s="2"/>
      <c r="D618" s="3"/>
      <c r="E618" s="121"/>
      <c r="F618" s="121">
        <f>F617*15%</f>
        <v>14.6349</v>
      </c>
      <c r="G618" s="120"/>
      <c r="H618" s="465"/>
      <c r="I618" s="465"/>
    </row>
    <row r="619">
      <c r="A619" s="133" t="s">
        <v>42</v>
      </c>
      <c r="B619" s="2"/>
      <c r="C619" s="2"/>
      <c r="D619" s="3"/>
      <c r="E619" s="131"/>
      <c r="F619" s="300">
        <f>round(F617+F618,2)</f>
        <v>112.2</v>
      </c>
      <c r="G619" s="120"/>
      <c r="H619" s="465"/>
      <c r="I619" s="465"/>
    </row>
    <row r="620">
      <c r="A620" s="124" t="s">
        <v>777</v>
      </c>
      <c r="B620" s="2"/>
      <c r="C620" s="2"/>
      <c r="D620" s="2"/>
      <c r="E620" s="2"/>
      <c r="F620" s="3"/>
      <c r="G620" s="125" t="s">
        <v>778</v>
      </c>
      <c r="H620" s="465"/>
      <c r="I620" s="465"/>
    </row>
    <row r="621">
      <c r="A621" s="127">
        <v>116.0</v>
      </c>
      <c r="B621" s="126"/>
      <c r="C621" s="123" t="s">
        <v>535</v>
      </c>
      <c r="D621" s="2"/>
      <c r="E621" s="3"/>
      <c r="F621" s="467"/>
      <c r="G621" s="3"/>
      <c r="H621" s="465"/>
      <c r="I621" s="465"/>
    </row>
    <row r="622">
      <c r="A622" s="20"/>
      <c r="B622" s="20"/>
      <c r="C622" s="120" t="s">
        <v>27</v>
      </c>
      <c r="D622" s="121">
        <v>0.33</v>
      </c>
      <c r="E622" s="121">
        <v>784.0</v>
      </c>
      <c r="F622" s="121">
        <f>E622*D622</f>
        <v>258.72</v>
      </c>
      <c r="G622" s="120" t="s">
        <v>780</v>
      </c>
      <c r="H622" s="465"/>
      <c r="I622" s="465"/>
    </row>
    <row r="623">
      <c r="A623" s="127">
        <v>117.0</v>
      </c>
      <c r="B623" s="126"/>
      <c r="C623" s="123" t="s">
        <v>856</v>
      </c>
      <c r="D623" s="2"/>
      <c r="E623" s="3"/>
      <c r="F623" s="467"/>
      <c r="G623" s="3"/>
      <c r="H623" s="465"/>
      <c r="I623" s="465"/>
    </row>
    <row r="624">
      <c r="A624" s="20"/>
      <c r="B624" s="20"/>
      <c r="C624" s="120" t="s">
        <v>27</v>
      </c>
      <c r="D624" s="121">
        <v>1.31</v>
      </c>
      <c r="E624" s="121">
        <v>714.0</v>
      </c>
      <c r="F624" s="121">
        <f>E624*D624</f>
        <v>935.34</v>
      </c>
      <c r="G624" s="120" t="s">
        <v>782</v>
      </c>
      <c r="H624" s="465"/>
      <c r="I624" s="465"/>
    </row>
    <row r="625">
      <c r="A625" s="127">
        <v>114.0</v>
      </c>
      <c r="B625" s="126"/>
      <c r="C625" s="123" t="s">
        <v>97</v>
      </c>
      <c r="D625" s="2"/>
      <c r="E625" s="3"/>
      <c r="F625" s="467"/>
      <c r="G625" s="3"/>
      <c r="H625" s="465"/>
      <c r="I625" s="465"/>
    </row>
    <row r="626">
      <c r="A626" s="20"/>
      <c r="B626" s="20"/>
      <c r="C626" s="120" t="s">
        <v>27</v>
      </c>
      <c r="D626" s="121">
        <v>1.31</v>
      </c>
      <c r="E626" s="121">
        <v>645.0</v>
      </c>
      <c r="F626" s="121">
        <f>E626*D626</f>
        <v>844.95</v>
      </c>
      <c r="G626" s="120" t="s">
        <v>791</v>
      </c>
      <c r="H626" s="465"/>
      <c r="I626" s="465"/>
    </row>
    <row r="627">
      <c r="A627" s="124" t="s">
        <v>843</v>
      </c>
      <c r="B627" s="2"/>
      <c r="C627" s="2"/>
      <c r="D627" s="2"/>
      <c r="E627" s="2"/>
      <c r="F627" s="3"/>
      <c r="G627" s="125" t="s">
        <v>778</v>
      </c>
      <c r="H627" s="465"/>
      <c r="I627" s="465"/>
    </row>
    <row r="628">
      <c r="A628" s="127">
        <v>9999.0</v>
      </c>
      <c r="B628" s="126"/>
      <c r="C628" s="123" t="s">
        <v>1750</v>
      </c>
      <c r="D628" s="2"/>
      <c r="E628" s="3"/>
      <c r="F628" s="467"/>
      <c r="G628" s="3"/>
      <c r="H628" s="465"/>
      <c r="I628" s="465"/>
    </row>
    <row r="629">
      <c r="A629" s="20"/>
      <c r="B629" s="20"/>
      <c r="C629" s="120" t="s">
        <v>107</v>
      </c>
      <c r="D629" s="121">
        <v>5.33</v>
      </c>
      <c r="E629" s="121">
        <v>2.12</v>
      </c>
      <c r="F629" s="121">
        <f>E629*D629</f>
        <v>11.2996</v>
      </c>
      <c r="G629" s="120" t="s">
        <v>846</v>
      </c>
      <c r="H629" s="465"/>
      <c r="I629" s="465"/>
    </row>
    <row r="630">
      <c r="A630" s="127">
        <v>9999.0</v>
      </c>
      <c r="B630" s="126"/>
      <c r="C630" s="123" t="s">
        <v>1756</v>
      </c>
      <c r="D630" s="2"/>
      <c r="E630" s="3"/>
      <c r="F630" s="467"/>
      <c r="G630" s="3"/>
      <c r="H630" s="465"/>
      <c r="I630" s="465"/>
    </row>
    <row r="631">
      <c r="A631" s="20"/>
      <c r="B631" s="20"/>
      <c r="C631" s="120" t="s">
        <v>107</v>
      </c>
      <c r="D631" s="121">
        <v>30.98</v>
      </c>
      <c r="E631" s="121">
        <v>2.12</v>
      </c>
      <c r="F631" s="121">
        <f>E631*D631</f>
        <v>65.6776</v>
      </c>
      <c r="G631" s="120" t="s">
        <v>850</v>
      </c>
      <c r="H631" s="465"/>
      <c r="I631" s="465"/>
    </row>
    <row r="632">
      <c r="A632" s="129" t="s">
        <v>42</v>
      </c>
      <c r="B632" s="2"/>
      <c r="C632" s="3"/>
      <c r="D632" s="121">
        <v>10.0</v>
      </c>
      <c r="E632" s="130" t="s">
        <v>22</v>
      </c>
      <c r="F632" s="121">
        <f>F622+F624+F626+F629+F631</f>
        <v>2115.9872</v>
      </c>
      <c r="G632" s="131"/>
      <c r="H632" s="465"/>
      <c r="I632" s="465"/>
    </row>
    <row r="633">
      <c r="A633" s="129" t="s">
        <v>800</v>
      </c>
      <c r="B633" s="2"/>
      <c r="C633" s="3"/>
      <c r="D633" s="121">
        <v>1.0</v>
      </c>
      <c r="E633" s="130" t="s">
        <v>22</v>
      </c>
      <c r="F633" s="121">
        <f>F632/D632</f>
        <v>211.59872</v>
      </c>
      <c r="G633" s="131"/>
      <c r="H633" s="465"/>
      <c r="I633" s="465"/>
    </row>
    <row r="634">
      <c r="A634" s="133" t="s">
        <v>802</v>
      </c>
      <c r="B634" s="2"/>
      <c r="C634" s="2"/>
      <c r="D634" s="3"/>
      <c r="E634" s="121"/>
      <c r="F634" s="121">
        <f>F633*1%</f>
        <v>2.1159872</v>
      </c>
      <c r="G634" s="131"/>
      <c r="H634" s="465"/>
      <c r="I634" s="465"/>
    </row>
    <row r="635">
      <c r="A635" s="133" t="s">
        <v>42</v>
      </c>
      <c r="B635" s="2"/>
      <c r="C635" s="2"/>
      <c r="D635" s="3"/>
      <c r="E635" s="131"/>
      <c r="F635" s="121">
        <f>F633+F634</f>
        <v>213.7147072</v>
      </c>
      <c r="G635" s="131"/>
      <c r="H635" s="465"/>
      <c r="I635" s="465"/>
    </row>
    <row r="636">
      <c r="A636" s="133" t="s">
        <v>806</v>
      </c>
      <c r="B636" s="2"/>
      <c r="C636" s="2"/>
      <c r="D636" s="3"/>
      <c r="E636" s="121"/>
      <c r="F636" s="121">
        <f>F635*15%</f>
        <v>32.05720608</v>
      </c>
      <c r="G636" s="131"/>
      <c r="H636" s="465"/>
      <c r="I636" s="465"/>
    </row>
    <row r="637">
      <c r="A637" s="133" t="s">
        <v>42</v>
      </c>
      <c r="B637" s="2"/>
      <c r="C637" s="2"/>
      <c r="D637" s="3"/>
      <c r="E637" s="131"/>
      <c r="F637" s="300">
        <f>round(F635+F636,2)</f>
        <v>245.77</v>
      </c>
      <c r="G637" s="131"/>
      <c r="H637" s="465"/>
      <c r="I637" s="465"/>
    </row>
    <row r="638">
      <c r="A638" s="471" t="str">
        <f>CONCATENATE("Say ₹ ",F619," + ",F637," x Cost Index")</f>
        <v>Say ₹ 112.2 + 245.77 x Cost Index</v>
      </c>
      <c r="B638" s="2"/>
      <c r="C638" s="2"/>
      <c r="D638" s="2"/>
      <c r="E638" s="2"/>
      <c r="F638" s="3"/>
      <c r="G638" s="472" t="s">
        <v>939</v>
      </c>
      <c r="H638" s="473">
        <f>F613*1.01*1.15/10</f>
        <v>112.2009</v>
      </c>
      <c r="I638" s="473">
        <f>(F622+F624+F626+F629+F631)*1.01*1.15/10</f>
        <v>245.7719133</v>
      </c>
    </row>
    <row r="639">
      <c r="A639" s="111" t="s">
        <v>742</v>
      </c>
      <c r="B639" s="111" t="s">
        <v>745</v>
      </c>
      <c r="C639" s="112" t="s">
        <v>6</v>
      </c>
      <c r="D639" s="2"/>
      <c r="E639" s="3"/>
      <c r="F639" s="112" t="s">
        <v>746</v>
      </c>
      <c r="G639" s="3"/>
      <c r="H639" s="465"/>
      <c r="I639" s="465"/>
    </row>
    <row r="640">
      <c r="A640" s="20"/>
      <c r="B640" s="20"/>
      <c r="C640" s="115" t="s">
        <v>8</v>
      </c>
      <c r="D640" s="115" t="s">
        <v>9</v>
      </c>
      <c r="E640" s="115" t="s">
        <v>358</v>
      </c>
      <c r="F640" s="115" t="s">
        <v>11</v>
      </c>
      <c r="G640" s="115" t="s">
        <v>751</v>
      </c>
      <c r="H640" s="465"/>
      <c r="I640" s="465"/>
    </row>
    <row r="641">
      <c r="A641" s="466" t="s">
        <v>2099</v>
      </c>
      <c r="B641" s="2"/>
      <c r="C641" s="2"/>
      <c r="D641" s="2"/>
      <c r="E641" s="2"/>
      <c r="F641" s="2"/>
      <c r="G641" s="3"/>
      <c r="H641" s="465"/>
      <c r="I641" s="465"/>
    </row>
    <row r="642">
      <c r="A642" s="119"/>
      <c r="B642" s="120" t="s">
        <v>754</v>
      </c>
      <c r="C642" s="120" t="s">
        <v>22</v>
      </c>
      <c r="D642" s="120" t="s">
        <v>757</v>
      </c>
      <c r="E642" s="121">
        <v>10.0</v>
      </c>
      <c r="F642" s="467"/>
      <c r="G642" s="3"/>
      <c r="H642" s="465"/>
      <c r="I642" s="465"/>
    </row>
    <row r="643">
      <c r="A643" s="120" t="s">
        <v>761</v>
      </c>
      <c r="B643" s="123" t="s">
        <v>1994</v>
      </c>
      <c r="C643" s="2"/>
      <c r="D643" s="2"/>
      <c r="E643" s="2"/>
      <c r="F643" s="2"/>
      <c r="G643" s="3"/>
      <c r="H643" s="465"/>
      <c r="I643" s="465"/>
    </row>
    <row r="644">
      <c r="A644" s="124" t="s">
        <v>764</v>
      </c>
      <c r="B644" s="2"/>
      <c r="C644" s="2"/>
      <c r="D644" s="2"/>
      <c r="E644" s="2"/>
      <c r="F644" s="3"/>
      <c r="G644" s="125" t="s">
        <v>766</v>
      </c>
      <c r="H644" s="465"/>
      <c r="I644" s="465"/>
    </row>
    <row r="645">
      <c r="A645" s="126"/>
      <c r="B645" s="127" t="s">
        <v>1781</v>
      </c>
      <c r="C645" s="123" t="s">
        <v>1855</v>
      </c>
      <c r="D645" s="2"/>
      <c r="E645" s="3"/>
      <c r="F645" s="467"/>
      <c r="G645" s="3"/>
      <c r="H645" s="465"/>
      <c r="I645" s="465"/>
    </row>
    <row r="646">
      <c r="A646" s="20"/>
      <c r="B646" s="20"/>
      <c r="C646" s="120" t="s">
        <v>22</v>
      </c>
      <c r="D646" s="121">
        <v>11.5</v>
      </c>
      <c r="E646" s="121">
        <v>53.0</v>
      </c>
      <c r="F646" s="121">
        <f>E646*D646</f>
        <v>609.5</v>
      </c>
      <c r="G646" s="120" t="s">
        <v>772</v>
      </c>
      <c r="H646" s="465"/>
      <c r="I646" s="465"/>
    </row>
    <row r="647">
      <c r="A647" s="129" t="s">
        <v>42</v>
      </c>
      <c r="B647" s="2"/>
      <c r="C647" s="3"/>
      <c r="D647" s="121">
        <v>10.0</v>
      </c>
      <c r="E647" s="130" t="s">
        <v>22</v>
      </c>
      <c r="F647" s="121">
        <f>F646</f>
        <v>609.5</v>
      </c>
      <c r="G647" s="120"/>
      <c r="H647" s="465"/>
      <c r="I647" s="465"/>
    </row>
    <row r="648">
      <c r="A648" s="129" t="s">
        <v>800</v>
      </c>
      <c r="B648" s="2"/>
      <c r="C648" s="3"/>
      <c r="D648" s="121">
        <v>1.0</v>
      </c>
      <c r="E648" s="130" t="s">
        <v>22</v>
      </c>
      <c r="F648" s="121">
        <f>F647/D647</f>
        <v>60.95</v>
      </c>
      <c r="G648" s="120"/>
      <c r="H648" s="465"/>
      <c r="I648" s="465"/>
    </row>
    <row r="649">
      <c r="A649" s="133" t="s">
        <v>802</v>
      </c>
      <c r="B649" s="2"/>
      <c r="C649" s="2"/>
      <c r="D649" s="3"/>
      <c r="E649" s="121"/>
      <c r="F649" s="121">
        <f>F648*1%</f>
        <v>0.6095</v>
      </c>
      <c r="G649" s="120"/>
      <c r="H649" s="465"/>
      <c r="I649" s="465"/>
    </row>
    <row r="650">
      <c r="A650" s="133" t="s">
        <v>42</v>
      </c>
      <c r="B650" s="2"/>
      <c r="C650" s="2"/>
      <c r="D650" s="3"/>
      <c r="E650" s="131"/>
      <c r="F650" s="121">
        <f>F648+F649</f>
        <v>61.5595</v>
      </c>
      <c r="G650" s="120"/>
      <c r="H650" s="465"/>
      <c r="I650" s="465"/>
    </row>
    <row r="651">
      <c r="A651" s="133" t="s">
        <v>806</v>
      </c>
      <c r="B651" s="2"/>
      <c r="C651" s="2"/>
      <c r="D651" s="3"/>
      <c r="E651" s="121"/>
      <c r="F651" s="121">
        <f>F650*15%</f>
        <v>9.233925</v>
      </c>
      <c r="G651" s="120"/>
      <c r="H651" s="465"/>
      <c r="I651" s="465"/>
    </row>
    <row r="652">
      <c r="A652" s="133" t="s">
        <v>42</v>
      </c>
      <c r="B652" s="2"/>
      <c r="C652" s="2"/>
      <c r="D652" s="3"/>
      <c r="E652" s="131"/>
      <c r="F652" s="300">
        <f>round(F650+F651,2)</f>
        <v>70.79</v>
      </c>
      <c r="G652" s="120"/>
      <c r="H652" s="465"/>
      <c r="I652" s="465"/>
    </row>
    <row r="653">
      <c r="A653" s="124" t="s">
        <v>777</v>
      </c>
      <c r="B653" s="2"/>
      <c r="C653" s="2"/>
      <c r="D653" s="2"/>
      <c r="E653" s="2"/>
      <c r="F653" s="3"/>
      <c r="G653" s="125" t="s">
        <v>778</v>
      </c>
      <c r="H653" s="465"/>
      <c r="I653" s="465"/>
    </row>
    <row r="654">
      <c r="A654" s="127">
        <v>116.0</v>
      </c>
      <c r="B654" s="126"/>
      <c r="C654" s="123" t="s">
        <v>535</v>
      </c>
      <c r="D654" s="2"/>
      <c r="E654" s="3"/>
      <c r="F654" s="467"/>
      <c r="G654" s="3"/>
      <c r="H654" s="465"/>
      <c r="I654" s="465"/>
    </row>
    <row r="655">
      <c r="A655" s="20"/>
      <c r="B655" s="20"/>
      <c r="C655" s="120" t="s">
        <v>27</v>
      </c>
      <c r="D655" s="121">
        <v>0.33</v>
      </c>
      <c r="E655" s="121">
        <v>784.0</v>
      </c>
      <c r="F655" s="121">
        <f>E655*D655</f>
        <v>258.72</v>
      </c>
      <c r="G655" s="120" t="s">
        <v>780</v>
      </c>
      <c r="H655" s="465"/>
      <c r="I655" s="465"/>
    </row>
    <row r="656">
      <c r="A656" s="127">
        <v>117.0</v>
      </c>
      <c r="B656" s="126"/>
      <c r="C656" s="123" t="s">
        <v>856</v>
      </c>
      <c r="D656" s="2"/>
      <c r="E656" s="3"/>
      <c r="F656" s="467"/>
      <c r="G656" s="3"/>
      <c r="H656" s="465"/>
      <c r="I656" s="465"/>
    </row>
    <row r="657">
      <c r="A657" s="20"/>
      <c r="B657" s="20"/>
      <c r="C657" s="120" t="s">
        <v>27</v>
      </c>
      <c r="D657" s="121">
        <v>1.31</v>
      </c>
      <c r="E657" s="121">
        <v>714.0</v>
      </c>
      <c r="F657" s="121">
        <f>E657*D657</f>
        <v>935.34</v>
      </c>
      <c r="G657" s="120" t="s">
        <v>782</v>
      </c>
      <c r="H657" s="465"/>
      <c r="I657" s="465"/>
    </row>
    <row r="658">
      <c r="A658" s="127">
        <v>114.0</v>
      </c>
      <c r="B658" s="126"/>
      <c r="C658" s="123" t="s">
        <v>97</v>
      </c>
      <c r="D658" s="2"/>
      <c r="E658" s="3"/>
      <c r="F658" s="467"/>
      <c r="G658" s="3"/>
      <c r="H658" s="465"/>
      <c r="I658" s="465"/>
    </row>
    <row r="659">
      <c r="A659" s="20"/>
      <c r="B659" s="20"/>
      <c r="C659" s="120" t="s">
        <v>27</v>
      </c>
      <c r="D659" s="121">
        <v>1.31</v>
      </c>
      <c r="E659" s="121">
        <v>645.0</v>
      </c>
      <c r="F659" s="121">
        <f>E659*D659</f>
        <v>844.95</v>
      </c>
      <c r="G659" s="120" t="s">
        <v>791</v>
      </c>
      <c r="H659" s="465"/>
      <c r="I659" s="465"/>
    </row>
    <row r="660">
      <c r="A660" s="124" t="s">
        <v>843</v>
      </c>
      <c r="B660" s="2"/>
      <c r="C660" s="2"/>
      <c r="D660" s="2"/>
      <c r="E660" s="2"/>
      <c r="F660" s="3"/>
      <c r="G660" s="125" t="s">
        <v>778</v>
      </c>
      <c r="H660" s="465"/>
      <c r="I660" s="465"/>
    </row>
    <row r="661">
      <c r="A661" s="127">
        <v>9999.0</v>
      </c>
      <c r="B661" s="126"/>
      <c r="C661" s="123" t="s">
        <v>1750</v>
      </c>
      <c r="D661" s="2"/>
      <c r="E661" s="3"/>
      <c r="F661" s="467"/>
      <c r="G661" s="3"/>
      <c r="H661" s="465"/>
      <c r="I661" s="465"/>
    </row>
    <row r="662">
      <c r="A662" s="20"/>
      <c r="B662" s="20"/>
      <c r="C662" s="120" t="s">
        <v>107</v>
      </c>
      <c r="D662" s="121">
        <v>5.33</v>
      </c>
      <c r="E662" s="121">
        <v>2.12</v>
      </c>
      <c r="F662" s="121">
        <f>E662*D662</f>
        <v>11.2996</v>
      </c>
      <c r="G662" s="120" t="s">
        <v>846</v>
      </c>
      <c r="H662" s="465"/>
      <c r="I662" s="465"/>
    </row>
    <row r="663">
      <c r="A663" s="127">
        <v>9999.0</v>
      </c>
      <c r="B663" s="126"/>
      <c r="C663" s="123" t="s">
        <v>1756</v>
      </c>
      <c r="D663" s="2"/>
      <c r="E663" s="3"/>
      <c r="F663" s="467"/>
      <c r="G663" s="3"/>
      <c r="H663" s="465"/>
      <c r="I663" s="465"/>
    </row>
    <row r="664">
      <c r="A664" s="20"/>
      <c r="B664" s="20"/>
      <c r="C664" s="120" t="s">
        <v>107</v>
      </c>
      <c r="D664" s="121">
        <v>30.98</v>
      </c>
      <c r="E664" s="121">
        <v>2.12</v>
      </c>
      <c r="F664" s="121">
        <f>E664*D664</f>
        <v>65.6776</v>
      </c>
      <c r="G664" s="120" t="s">
        <v>850</v>
      </c>
      <c r="H664" s="465"/>
      <c r="I664" s="465"/>
    </row>
    <row r="665">
      <c r="A665" s="129" t="s">
        <v>42</v>
      </c>
      <c r="B665" s="2"/>
      <c r="C665" s="3"/>
      <c r="D665" s="121">
        <v>10.0</v>
      </c>
      <c r="E665" s="130" t="s">
        <v>22</v>
      </c>
      <c r="F665" s="121">
        <f>F655+F657+F659+F662+F664</f>
        <v>2115.9872</v>
      </c>
      <c r="G665" s="131"/>
      <c r="H665" s="465"/>
      <c r="I665" s="465"/>
    </row>
    <row r="666">
      <c r="A666" s="129" t="s">
        <v>800</v>
      </c>
      <c r="B666" s="2"/>
      <c r="C666" s="3"/>
      <c r="D666" s="121">
        <v>1.0</v>
      </c>
      <c r="E666" s="130" t="s">
        <v>22</v>
      </c>
      <c r="F666" s="121">
        <f>F665/D665</f>
        <v>211.59872</v>
      </c>
      <c r="G666" s="131"/>
      <c r="H666" s="465"/>
      <c r="I666" s="465"/>
    </row>
    <row r="667">
      <c r="A667" s="133" t="s">
        <v>802</v>
      </c>
      <c r="B667" s="2"/>
      <c r="C667" s="2"/>
      <c r="D667" s="3"/>
      <c r="E667" s="121"/>
      <c r="F667" s="121">
        <f>F666*1%</f>
        <v>2.1159872</v>
      </c>
      <c r="G667" s="131"/>
      <c r="H667" s="465"/>
      <c r="I667" s="465"/>
    </row>
    <row r="668">
      <c r="A668" s="133" t="s">
        <v>42</v>
      </c>
      <c r="B668" s="2"/>
      <c r="C668" s="2"/>
      <c r="D668" s="3"/>
      <c r="E668" s="131"/>
      <c r="F668" s="121">
        <f>F666+F667</f>
        <v>213.7147072</v>
      </c>
      <c r="G668" s="131"/>
      <c r="H668" s="465"/>
      <c r="I668" s="465"/>
    </row>
    <row r="669">
      <c r="A669" s="133" t="s">
        <v>806</v>
      </c>
      <c r="B669" s="2"/>
      <c r="C669" s="2"/>
      <c r="D669" s="3"/>
      <c r="E669" s="121"/>
      <c r="F669" s="121">
        <f>F668*15%</f>
        <v>32.05720608</v>
      </c>
      <c r="G669" s="131"/>
      <c r="H669" s="465"/>
      <c r="I669" s="465"/>
    </row>
    <row r="670">
      <c r="A670" s="133" t="s">
        <v>42</v>
      </c>
      <c r="B670" s="2"/>
      <c r="C670" s="2"/>
      <c r="D670" s="3"/>
      <c r="E670" s="131"/>
      <c r="F670" s="300">
        <f>round(F668+F669,2)</f>
        <v>245.77</v>
      </c>
      <c r="G670" s="131"/>
      <c r="H670" s="465"/>
      <c r="I670" s="465"/>
    </row>
    <row r="671">
      <c r="A671" s="471" t="str">
        <f>CONCATENATE("Say ₹ ",F652," + ",F670," x Cost Index")</f>
        <v>Say ₹ 70.79 + 245.77 x Cost Index</v>
      </c>
      <c r="B671" s="2"/>
      <c r="C671" s="2"/>
      <c r="D671" s="2"/>
      <c r="E671" s="2"/>
      <c r="F671" s="3"/>
      <c r="G671" s="472" t="s">
        <v>939</v>
      </c>
      <c r="H671" s="473">
        <f>F646*1.01*1.15/10</f>
        <v>70.793425</v>
      </c>
      <c r="I671" s="473">
        <f>(F655+F657+F659+F662+F664)*1.01*1.15/10</f>
        <v>245.7719133</v>
      </c>
    </row>
    <row r="672">
      <c r="A672" s="111" t="s">
        <v>742</v>
      </c>
      <c r="B672" s="111" t="s">
        <v>745</v>
      </c>
      <c r="C672" s="112" t="s">
        <v>6</v>
      </c>
      <c r="D672" s="2"/>
      <c r="E672" s="3"/>
      <c r="F672" s="112" t="s">
        <v>746</v>
      </c>
      <c r="G672" s="3"/>
      <c r="H672" s="465"/>
      <c r="I672" s="465"/>
    </row>
    <row r="673">
      <c r="A673" s="20"/>
      <c r="B673" s="20"/>
      <c r="C673" s="115" t="s">
        <v>8</v>
      </c>
      <c r="D673" s="115" t="s">
        <v>9</v>
      </c>
      <c r="E673" s="115" t="s">
        <v>358</v>
      </c>
      <c r="F673" s="115" t="s">
        <v>11</v>
      </c>
      <c r="G673" s="115" t="s">
        <v>751</v>
      </c>
      <c r="H673" s="465"/>
      <c r="I673" s="465"/>
    </row>
    <row r="674">
      <c r="A674" s="466" t="s">
        <v>2111</v>
      </c>
      <c r="B674" s="2"/>
      <c r="C674" s="2"/>
      <c r="D674" s="2"/>
      <c r="E674" s="2"/>
      <c r="F674" s="2"/>
      <c r="G674" s="3"/>
      <c r="H674" s="465"/>
      <c r="I674" s="465"/>
    </row>
    <row r="675">
      <c r="A675" s="119"/>
      <c r="B675" s="120" t="s">
        <v>754</v>
      </c>
      <c r="C675" s="120" t="s">
        <v>22</v>
      </c>
      <c r="D675" s="120" t="s">
        <v>757</v>
      </c>
      <c r="E675" s="121">
        <v>10.0</v>
      </c>
      <c r="F675" s="467"/>
      <c r="G675" s="3"/>
      <c r="H675" s="465"/>
      <c r="I675" s="465"/>
    </row>
    <row r="676">
      <c r="A676" s="120" t="s">
        <v>761</v>
      </c>
      <c r="B676" s="123" t="s">
        <v>1994</v>
      </c>
      <c r="C676" s="2"/>
      <c r="D676" s="2"/>
      <c r="E676" s="2"/>
      <c r="F676" s="2"/>
      <c r="G676" s="3"/>
      <c r="H676" s="465"/>
      <c r="I676" s="465"/>
    </row>
    <row r="677">
      <c r="A677" s="124" t="s">
        <v>764</v>
      </c>
      <c r="B677" s="2"/>
      <c r="C677" s="2"/>
      <c r="D677" s="2"/>
      <c r="E677" s="2"/>
      <c r="F677" s="3"/>
      <c r="G677" s="125" t="s">
        <v>766</v>
      </c>
      <c r="H677" s="465"/>
      <c r="I677" s="465"/>
    </row>
    <row r="678">
      <c r="A678" s="126"/>
      <c r="B678" s="127" t="s">
        <v>1789</v>
      </c>
      <c r="C678" s="123" t="s">
        <v>1863</v>
      </c>
      <c r="D678" s="2"/>
      <c r="E678" s="3"/>
      <c r="F678" s="467"/>
      <c r="G678" s="3"/>
      <c r="H678" s="465"/>
      <c r="I678" s="465"/>
    </row>
    <row r="679">
      <c r="A679" s="20"/>
      <c r="B679" s="20"/>
      <c r="C679" s="120" t="s">
        <v>22</v>
      </c>
      <c r="D679" s="121">
        <v>11.5</v>
      </c>
      <c r="E679" s="121">
        <v>90.0</v>
      </c>
      <c r="F679" s="121">
        <f>E679*D679</f>
        <v>1035</v>
      </c>
      <c r="G679" s="120" t="s">
        <v>772</v>
      </c>
      <c r="H679" s="465"/>
      <c r="I679" s="465"/>
    </row>
    <row r="680">
      <c r="A680" s="129" t="s">
        <v>42</v>
      </c>
      <c r="B680" s="2"/>
      <c r="C680" s="3"/>
      <c r="D680" s="121">
        <v>10.0</v>
      </c>
      <c r="E680" s="130" t="s">
        <v>22</v>
      </c>
      <c r="F680" s="121">
        <f>F679</f>
        <v>1035</v>
      </c>
      <c r="G680" s="120"/>
      <c r="H680" s="465"/>
      <c r="I680" s="465"/>
    </row>
    <row r="681">
      <c r="A681" s="129" t="s">
        <v>800</v>
      </c>
      <c r="B681" s="2"/>
      <c r="C681" s="3"/>
      <c r="D681" s="121">
        <v>1.0</v>
      </c>
      <c r="E681" s="130" t="s">
        <v>22</v>
      </c>
      <c r="F681" s="121">
        <f>F680/D680</f>
        <v>103.5</v>
      </c>
      <c r="G681" s="120"/>
      <c r="H681" s="465"/>
      <c r="I681" s="465"/>
    </row>
    <row r="682">
      <c r="A682" s="133" t="s">
        <v>802</v>
      </c>
      <c r="B682" s="2"/>
      <c r="C682" s="2"/>
      <c r="D682" s="3"/>
      <c r="E682" s="121"/>
      <c r="F682" s="121">
        <f>F681*1%</f>
        <v>1.035</v>
      </c>
      <c r="G682" s="120"/>
      <c r="H682" s="465"/>
      <c r="I682" s="465"/>
    </row>
    <row r="683">
      <c r="A683" s="133" t="s">
        <v>42</v>
      </c>
      <c r="B683" s="2"/>
      <c r="C683" s="2"/>
      <c r="D683" s="3"/>
      <c r="E683" s="131"/>
      <c r="F683" s="121">
        <f>F681+F682</f>
        <v>104.535</v>
      </c>
      <c r="G683" s="120"/>
      <c r="H683" s="465"/>
      <c r="I683" s="465"/>
    </row>
    <row r="684">
      <c r="A684" s="133" t="s">
        <v>806</v>
      </c>
      <c r="B684" s="2"/>
      <c r="C684" s="2"/>
      <c r="D684" s="3"/>
      <c r="E684" s="121"/>
      <c r="F684" s="121">
        <f>F683*15%</f>
        <v>15.68025</v>
      </c>
      <c r="G684" s="120"/>
      <c r="H684" s="465"/>
      <c r="I684" s="465"/>
    </row>
    <row r="685">
      <c r="A685" s="133" t="s">
        <v>42</v>
      </c>
      <c r="B685" s="2"/>
      <c r="C685" s="2"/>
      <c r="D685" s="3"/>
      <c r="E685" s="131"/>
      <c r="F685" s="300">
        <f>round(F683+F684,2)</f>
        <v>120.22</v>
      </c>
      <c r="G685" s="120"/>
      <c r="H685" s="465"/>
      <c r="I685" s="465"/>
    </row>
    <row r="686">
      <c r="A686" s="124" t="s">
        <v>777</v>
      </c>
      <c r="B686" s="2"/>
      <c r="C686" s="2"/>
      <c r="D686" s="2"/>
      <c r="E686" s="2"/>
      <c r="F686" s="3"/>
      <c r="G686" s="125" t="s">
        <v>778</v>
      </c>
      <c r="H686" s="465"/>
      <c r="I686" s="465"/>
    </row>
    <row r="687">
      <c r="A687" s="127">
        <v>116.0</v>
      </c>
      <c r="B687" s="126"/>
      <c r="C687" s="123" t="s">
        <v>535</v>
      </c>
      <c r="D687" s="2"/>
      <c r="E687" s="3"/>
      <c r="F687" s="467"/>
      <c r="G687" s="3"/>
      <c r="H687" s="465"/>
      <c r="I687" s="465"/>
    </row>
    <row r="688">
      <c r="A688" s="20"/>
      <c r="B688" s="20"/>
      <c r="C688" s="120" t="s">
        <v>27</v>
      </c>
      <c r="D688" s="121">
        <v>0.33</v>
      </c>
      <c r="E688" s="121">
        <v>784.0</v>
      </c>
      <c r="F688" s="121">
        <f>E688*D688</f>
        <v>258.72</v>
      </c>
      <c r="G688" s="120" t="s">
        <v>780</v>
      </c>
      <c r="H688" s="465"/>
      <c r="I688" s="465"/>
    </row>
    <row r="689">
      <c r="A689" s="127">
        <v>117.0</v>
      </c>
      <c r="B689" s="126"/>
      <c r="C689" s="123" t="s">
        <v>856</v>
      </c>
      <c r="D689" s="2"/>
      <c r="E689" s="3"/>
      <c r="F689" s="467"/>
      <c r="G689" s="3"/>
      <c r="H689" s="465"/>
      <c r="I689" s="465"/>
    </row>
    <row r="690">
      <c r="A690" s="20"/>
      <c r="B690" s="20"/>
      <c r="C690" s="120" t="s">
        <v>27</v>
      </c>
      <c r="D690" s="121">
        <v>1.31</v>
      </c>
      <c r="E690" s="121">
        <v>714.0</v>
      </c>
      <c r="F690" s="121">
        <f>E690*D690</f>
        <v>935.34</v>
      </c>
      <c r="G690" s="120" t="s">
        <v>782</v>
      </c>
      <c r="H690" s="465"/>
      <c r="I690" s="465"/>
    </row>
    <row r="691">
      <c r="A691" s="127">
        <v>114.0</v>
      </c>
      <c r="B691" s="126"/>
      <c r="C691" s="123" t="s">
        <v>97</v>
      </c>
      <c r="D691" s="2"/>
      <c r="E691" s="3"/>
      <c r="F691" s="467"/>
      <c r="G691" s="3"/>
      <c r="H691" s="465"/>
      <c r="I691" s="465"/>
    </row>
    <row r="692">
      <c r="A692" s="20"/>
      <c r="B692" s="20"/>
      <c r="C692" s="120" t="s">
        <v>27</v>
      </c>
      <c r="D692" s="121">
        <v>1.31</v>
      </c>
      <c r="E692" s="121">
        <v>645.0</v>
      </c>
      <c r="F692" s="121">
        <f>E692*D692</f>
        <v>844.95</v>
      </c>
      <c r="G692" s="120" t="s">
        <v>791</v>
      </c>
      <c r="H692" s="465"/>
      <c r="I692" s="465"/>
    </row>
    <row r="693">
      <c r="A693" s="124" t="s">
        <v>843</v>
      </c>
      <c r="B693" s="2"/>
      <c r="C693" s="2"/>
      <c r="D693" s="2"/>
      <c r="E693" s="2"/>
      <c r="F693" s="3"/>
      <c r="G693" s="125" t="s">
        <v>778</v>
      </c>
      <c r="H693" s="465"/>
      <c r="I693" s="465"/>
    </row>
    <row r="694">
      <c r="A694" s="127">
        <v>9999.0</v>
      </c>
      <c r="B694" s="126"/>
      <c r="C694" s="123" t="s">
        <v>1750</v>
      </c>
      <c r="D694" s="2"/>
      <c r="E694" s="3"/>
      <c r="F694" s="467"/>
      <c r="G694" s="3"/>
      <c r="H694" s="465"/>
      <c r="I694" s="465"/>
    </row>
    <row r="695">
      <c r="A695" s="20"/>
      <c r="B695" s="20"/>
      <c r="C695" s="120" t="s">
        <v>107</v>
      </c>
      <c r="D695" s="121">
        <v>5.33</v>
      </c>
      <c r="E695" s="121">
        <v>2.12</v>
      </c>
      <c r="F695" s="121">
        <f>E695*D695</f>
        <v>11.2996</v>
      </c>
      <c r="G695" s="120" t="s">
        <v>846</v>
      </c>
      <c r="H695" s="465"/>
      <c r="I695" s="465"/>
    </row>
    <row r="696">
      <c r="A696" s="127">
        <v>9999.0</v>
      </c>
      <c r="B696" s="126"/>
      <c r="C696" s="123" t="s">
        <v>1756</v>
      </c>
      <c r="D696" s="2"/>
      <c r="E696" s="3"/>
      <c r="F696" s="467"/>
      <c r="G696" s="3"/>
      <c r="H696" s="465"/>
      <c r="I696" s="465"/>
    </row>
    <row r="697">
      <c r="A697" s="20"/>
      <c r="B697" s="20"/>
      <c r="C697" s="120" t="s">
        <v>107</v>
      </c>
      <c r="D697" s="121">
        <v>30.98</v>
      </c>
      <c r="E697" s="121">
        <v>2.12</v>
      </c>
      <c r="F697" s="121">
        <f>E697*D697</f>
        <v>65.6776</v>
      </c>
      <c r="G697" s="120" t="s">
        <v>850</v>
      </c>
      <c r="H697" s="465"/>
      <c r="I697" s="465"/>
    </row>
    <row r="698">
      <c r="A698" s="129" t="s">
        <v>42</v>
      </c>
      <c r="B698" s="2"/>
      <c r="C698" s="3"/>
      <c r="D698" s="121">
        <v>10.0</v>
      </c>
      <c r="E698" s="130" t="s">
        <v>22</v>
      </c>
      <c r="F698" s="121">
        <f>F688+F690+F692+F695+F697</f>
        <v>2115.9872</v>
      </c>
      <c r="G698" s="131"/>
      <c r="H698" s="465"/>
      <c r="I698" s="465"/>
    </row>
    <row r="699">
      <c r="A699" s="129" t="s">
        <v>800</v>
      </c>
      <c r="B699" s="2"/>
      <c r="C699" s="3"/>
      <c r="D699" s="121">
        <v>1.0</v>
      </c>
      <c r="E699" s="130" t="s">
        <v>22</v>
      </c>
      <c r="F699" s="121">
        <f>F698/D698</f>
        <v>211.59872</v>
      </c>
      <c r="G699" s="131"/>
      <c r="H699" s="465"/>
      <c r="I699" s="465"/>
    </row>
    <row r="700">
      <c r="A700" s="133" t="s">
        <v>802</v>
      </c>
      <c r="B700" s="2"/>
      <c r="C700" s="2"/>
      <c r="D700" s="3"/>
      <c r="E700" s="121"/>
      <c r="F700" s="121">
        <f>F699*1%</f>
        <v>2.1159872</v>
      </c>
      <c r="G700" s="131"/>
      <c r="H700" s="465"/>
      <c r="I700" s="465"/>
    </row>
    <row r="701">
      <c r="A701" s="133" t="s">
        <v>42</v>
      </c>
      <c r="B701" s="2"/>
      <c r="C701" s="2"/>
      <c r="D701" s="3"/>
      <c r="E701" s="131"/>
      <c r="F701" s="121">
        <f>F699+F700</f>
        <v>213.7147072</v>
      </c>
      <c r="G701" s="131"/>
      <c r="H701" s="465"/>
      <c r="I701" s="465"/>
    </row>
    <row r="702">
      <c r="A702" s="133" t="s">
        <v>806</v>
      </c>
      <c r="B702" s="2"/>
      <c r="C702" s="2"/>
      <c r="D702" s="3"/>
      <c r="E702" s="121"/>
      <c r="F702" s="121">
        <f>F701*15%</f>
        <v>32.05720608</v>
      </c>
      <c r="G702" s="131"/>
      <c r="H702" s="465"/>
      <c r="I702" s="465"/>
    </row>
    <row r="703">
      <c r="A703" s="133" t="s">
        <v>42</v>
      </c>
      <c r="B703" s="2"/>
      <c r="C703" s="2"/>
      <c r="D703" s="3"/>
      <c r="E703" s="131"/>
      <c r="F703" s="300">
        <f>round(F701+F702,2)</f>
        <v>245.77</v>
      </c>
      <c r="G703" s="131"/>
      <c r="H703" s="465"/>
      <c r="I703" s="465"/>
    </row>
    <row r="704">
      <c r="A704" s="471" t="str">
        <f>CONCATENATE("Say ₹ ",F685," + ",F703," x Cost Index")</f>
        <v>Say ₹ 120.22 + 245.77 x Cost Index</v>
      </c>
      <c r="B704" s="2"/>
      <c r="C704" s="2"/>
      <c r="D704" s="2"/>
      <c r="E704" s="2"/>
      <c r="F704" s="3"/>
      <c r="G704" s="472" t="s">
        <v>939</v>
      </c>
      <c r="H704" s="473">
        <f>F679*1.01*1.15/10</f>
        <v>120.21525</v>
      </c>
      <c r="I704" s="473">
        <f>(F688+F690+F692+F695+F697)*1.01*1.15/10</f>
        <v>245.7719133</v>
      </c>
    </row>
    <row r="705">
      <c r="A705" s="111" t="s">
        <v>742</v>
      </c>
      <c r="B705" s="111" t="s">
        <v>745</v>
      </c>
      <c r="C705" s="112" t="s">
        <v>6</v>
      </c>
      <c r="D705" s="2"/>
      <c r="E705" s="3"/>
      <c r="F705" s="112" t="s">
        <v>746</v>
      </c>
      <c r="G705" s="3"/>
      <c r="H705" s="465"/>
      <c r="I705" s="465"/>
    </row>
    <row r="706">
      <c r="A706" s="20"/>
      <c r="B706" s="20"/>
      <c r="C706" s="115" t="s">
        <v>8</v>
      </c>
      <c r="D706" s="115" t="s">
        <v>9</v>
      </c>
      <c r="E706" s="115" t="s">
        <v>358</v>
      </c>
      <c r="F706" s="115" t="s">
        <v>11</v>
      </c>
      <c r="G706" s="115" t="s">
        <v>751</v>
      </c>
      <c r="H706" s="465"/>
      <c r="I706" s="465"/>
    </row>
    <row r="707">
      <c r="A707" s="466" t="s">
        <v>2126</v>
      </c>
      <c r="B707" s="2"/>
      <c r="C707" s="2"/>
      <c r="D707" s="2"/>
      <c r="E707" s="2"/>
      <c r="F707" s="2"/>
      <c r="G707" s="3"/>
      <c r="H707" s="465"/>
      <c r="I707" s="465"/>
    </row>
    <row r="708">
      <c r="A708" s="119"/>
      <c r="B708" s="120" t="s">
        <v>754</v>
      </c>
      <c r="C708" s="120" t="s">
        <v>22</v>
      </c>
      <c r="D708" s="120" t="s">
        <v>757</v>
      </c>
      <c r="E708" s="121">
        <v>10.0</v>
      </c>
      <c r="F708" s="467"/>
      <c r="G708" s="3"/>
      <c r="H708" s="465"/>
      <c r="I708" s="465"/>
    </row>
    <row r="709">
      <c r="A709" s="120" t="s">
        <v>761</v>
      </c>
      <c r="B709" s="123" t="s">
        <v>1675</v>
      </c>
      <c r="C709" s="2"/>
      <c r="D709" s="2"/>
      <c r="E709" s="2"/>
      <c r="F709" s="2"/>
      <c r="G709" s="3"/>
      <c r="H709" s="465"/>
      <c r="I709" s="465"/>
    </row>
    <row r="710">
      <c r="A710" s="124" t="s">
        <v>764</v>
      </c>
      <c r="B710" s="2"/>
      <c r="C710" s="2"/>
      <c r="D710" s="2"/>
      <c r="E710" s="2"/>
      <c r="F710" s="3"/>
      <c r="G710" s="125" t="s">
        <v>766</v>
      </c>
      <c r="H710" s="465"/>
      <c r="I710" s="465"/>
    </row>
    <row r="711">
      <c r="A711" s="126"/>
      <c r="B711" s="127" t="s">
        <v>1799</v>
      </c>
      <c r="C711" s="123" t="s">
        <v>1878</v>
      </c>
      <c r="D711" s="2"/>
      <c r="E711" s="3"/>
      <c r="F711" s="467"/>
      <c r="G711" s="3"/>
      <c r="H711" s="465"/>
      <c r="I711" s="465"/>
    </row>
    <row r="712">
      <c r="A712" s="20"/>
      <c r="B712" s="20"/>
      <c r="C712" s="120" t="s">
        <v>22</v>
      </c>
      <c r="D712" s="121">
        <v>11.5</v>
      </c>
      <c r="E712" s="121">
        <v>60.0</v>
      </c>
      <c r="F712" s="121">
        <f>E712*D712</f>
        <v>690</v>
      </c>
      <c r="G712" s="120" t="s">
        <v>772</v>
      </c>
      <c r="H712" s="465"/>
      <c r="I712" s="465"/>
    </row>
    <row r="713">
      <c r="A713" s="129" t="s">
        <v>42</v>
      </c>
      <c r="B713" s="2"/>
      <c r="C713" s="3"/>
      <c r="D713" s="121">
        <v>10.0</v>
      </c>
      <c r="E713" s="130" t="s">
        <v>22</v>
      </c>
      <c r="F713" s="121">
        <f>F712</f>
        <v>690</v>
      </c>
      <c r="G713" s="120"/>
      <c r="H713" s="465"/>
      <c r="I713" s="465"/>
    </row>
    <row r="714">
      <c r="A714" s="129" t="s">
        <v>800</v>
      </c>
      <c r="B714" s="2"/>
      <c r="C714" s="3"/>
      <c r="D714" s="121">
        <v>1.0</v>
      </c>
      <c r="E714" s="130" t="s">
        <v>22</v>
      </c>
      <c r="F714" s="121">
        <f>F713/D713</f>
        <v>69</v>
      </c>
      <c r="G714" s="120"/>
      <c r="H714" s="465"/>
      <c r="I714" s="465"/>
    </row>
    <row r="715">
      <c r="A715" s="133" t="s">
        <v>802</v>
      </c>
      <c r="B715" s="2"/>
      <c r="C715" s="2"/>
      <c r="D715" s="3"/>
      <c r="E715" s="121"/>
      <c r="F715" s="121">
        <f>F714*1%</f>
        <v>0.69</v>
      </c>
      <c r="G715" s="120"/>
      <c r="H715" s="465"/>
      <c r="I715" s="465"/>
    </row>
    <row r="716">
      <c r="A716" s="133" t="s">
        <v>42</v>
      </c>
      <c r="B716" s="2"/>
      <c r="C716" s="2"/>
      <c r="D716" s="3"/>
      <c r="E716" s="131"/>
      <c r="F716" s="121">
        <f>F714+F715</f>
        <v>69.69</v>
      </c>
      <c r="G716" s="120"/>
      <c r="H716" s="465"/>
      <c r="I716" s="465"/>
    </row>
    <row r="717">
      <c r="A717" s="133" t="s">
        <v>806</v>
      </c>
      <c r="B717" s="2"/>
      <c r="C717" s="2"/>
      <c r="D717" s="3"/>
      <c r="E717" s="121"/>
      <c r="F717" s="121">
        <f>F716*15%</f>
        <v>10.4535</v>
      </c>
      <c r="G717" s="120"/>
      <c r="H717" s="465"/>
      <c r="I717" s="465"/>
    </row>
    <row r="718">
      <c r="A718" s="133" t="s">
        <v>42</v>
      </c>
      <c r="B718" s="2"/>
      <c r="C718" s="2"/>
      <c r="D718" s="3"/>
      <c r="E718" s="131"/>
      <c r="F718" s="300">
        <f>round(F716+F717,2)</f>
        <v>80.14</v>
      </c>
      <c r="G718" s="120"/>
      <c r="H718" s="465"/>
      <c r="I718" s="465"/>
    </row>
    <row r="719">
      <c r="A719" s="124" t="s">
        <v>777</v>
      </c>
      <c r="B719" s="2"/>
      <c r="C719" s="2"/>
      <c r="D719" s="2"/>
      <c r="E719" s="2"/>
      <c r="F719" s="3"/>
      <c r="G719" s="125" t="s">
        <v>778</v>
      </c>
      <c r="H719" s="465"/>
      <c r="I719" s="465"/>
    </row>
    <row r="720">
      <c r="A720" s="127">
        <v>116.0</v>
      </c>
      <c r="B720" s="126"/>
      <c r="C720" s="123" t="s">
        <v>535</v>
      </c>
      <c r="D720" s="2"/>
      <c r="E720" s="3"/>
      <c r="F720" s="467"/>
      <c r="G720" s="3"/>
      <c r="H720" s="465"/>
      <c r="I720" s="465"/>
    </row>
    <row r="721">
      <c r="A721" s="20"/>
      <c r="B721" s="20"/>
      <c r="C721" s="120" t="s">
        <v>27</v>
      </c>
      <c r="D721" s="121">
        <v>0.33</v>
      </c>
      <c r="E721" s="121">
        <v>784.0</v>
      </c>
      <c r="F721" s="121">
        <f>E721*D721</f>
        <v>258.72</v>
      </c>
      <c r="G721" s="120" t="s">
        <v>780</v>
      </c>
      <c r="H721" s="465"/>
      <c r="I721" s="465"/>
    </row>
    <row r="722">
      <c r="A722" s="127">
        <v>117.0</v>
      </c>
      <c r="B722" s="126"/>
      <c r="C722" s="123" t="s">
        <v>856</v>
      </c>
      <c r="D722" s="2"/>
      <c r="E722" s="3"/>
      <c r="F722" s="467"/>
      <c r="G722" s="3"/>
      <c r="H722" s="465"/>
      <c r="I722" s="465"/>
    </row>
    <row r="723">
      <c r="A723" s="20"/>
      <c r="B723" s="20"/>
      <c r="C723" s="120" t="s">
        <v>27</v>
      </c>
      <c r="D723" s="121">
        <v>1.31</v>
      </c>
      <c r="E723" s="121">
        <v>714.0</v>
      </c>
      <c r="F723" s="121">
        <f>E723*D723</f>
        <v>935.34</v>
      </c>
      <c r="G723" s="120" t="s">
        <v>782</v>
      </c>
      <c r="H723" s="465"/>
      <c r="I723" s="465"/>
    </row>
    <row r="724">
      <c r="A724" s="127">
        <v>114.0</v>
      </c>
      <c r="B724" s="126"/>
      <c r="C724" s="123" t="s">
        <v>97</v>
      </c>
      <c r="D724" s="2"/>
      <c r="E724" s="3"/>
      <c r="F724" s="467"/>
      <c r="G724" s="3"/>
      <c r="H724" s="465"/>
      <c r="I724" s="465"/>
    </row>
    <row r="725">
      <c r="A725" s="20"/>
      <c r="B725" s="20"/>
      <c r="C725" s="120" t="s">
        <v>27</v>
      </c>
      <c r="D725" s="121">
        <v>1.31</v>
      </c>
      <c r="E725" s="121">
        <v>645.0</v>
      </c>
      <c r="F725" s="121">
        <f>E725*D725</f>
        <v>844.95</v>
      </c>
      <c r="G725" s="120" t="s">
        <v>791</v>
      </c>
      <c r="H725" s="465"/>
      <c r="I725" s="465"/>
    </row>
    <row r="726">
      <c r="A726" s="124" t="s">
        <v>843</v>
      </c>
      <c r="B726" s="2"/>
      <c r="C726" s="2"/>
      <c r="D726" s="2"/>
      <c r="E726" s="2"/>
      <c r="F726" s="3"/>
      <c r="G726" s="125" t="s">
        <v>778</v>
      </c>
      <c r="H726" s="465"/>
      <c r="I726" s="465"/>
    </row>
    <row r="727">
      <c r="A727" s="127">
        <v>9999.0</v>
      </c>
      <c r="B727" s="126"/>
      <c r="C727" s="123" t="s">
        <v>1750</v>
      </c>
      <c r="D727" s="2"/>
      <c r="E727" s="3"/>
      <c r="F727" s="467"/>
      <c r="G727" s="3"/>
      <c r="H727" s="465"/>
      <c r="I727" s="465"/>
    </row>
    <row r="728">
      <c r="A728" s="20"/>
      <c r="B728" s="20"/>
      <c r="C728" s="120" t="s">
        <v>107</v>
      </c>
      <c r="D728" s="121">
        <v>5.33</v>
      </c>
      <c r="E728" s="121">
        <v>2.12</v>
      </c>
      <c r="F728" s="121">
        <f>E728*D728</f>
        <v>11.2996</v>
      </c>
      <c r="G728" s="120" t="s">
        <v>846</v>
      </c>
      <c r="H728" s="465"/>
      <c r="I728" s="465"/>
    </row>
    <row r="729">
      <c r="A729" s="127">
        <v>9999.0</v>
      </c>
      <c r="B729" s="126"/>
      <c r="C729" s="123" t="s">
        <v>1756</v>
      </c>
      <c r="D729" s="2"/>
      <c r="E729" s="3"/>
      <c r="F729" s="467"/>
      <c r="G729" s="3"/>
      <c r="H729" s="465"/>
      <c r="I729" s="465"/>
    </row>
    <row r="730">
      <c r="A730" s="20"/>
      <c r="B730" s="20"/>
      <c r="C730" s="120" t="s">
        <v>107</v>
      </c>
      <c r="D730" s="121">
        <v>30.98</v>
      </c>
      <c r="E730" s="121">
        <v>2.12</v>
      </c>
      <c r="F730" s="121">
        <f>E730*D730</f>
        <v>65.6776</v>
      </c>
      <c r="G730" s="120" t="s">
        <v>850</v>
      </c>
      <c r="H730" s="465"/>
      <c r="I730" s="465"/>
    </row>
    <row r="731">
      <c r="A731" s="129" t="s">
        <v>42</v>
      </c>
      <c r="B731" s="2"/>
      <c r="C731" s="3"/>
      <c r="D731" s="121">
        <v>10.0</v>
      </c>
      <c r="E731" s="130" t="s">
        <v>22</v>
      </c>
      <c r="F731" s="121">
        <f>F721+F723+F725+F728+F730</f>
        <v>2115.9872</v>
      </c>
      <c r="G731" s="131"/>
      <c r="H731" s="465"/>
      <c r="I731" s="465"/>
    </row>
    <row r="732">
      <c r="A732" s="129" t="s">
        <v>800</v>
      </c>
      <c r="B732" s="2"/>
      <c r="C732" s="3"/>
      <c r="D732" s="121">
        <v>1.0</v>
      </c>
      <c r="E732" s="130" t="s">
        <v>22</v>
      </c>
      <c r="F732" s="121">
        <f>F731/D731</f>
        <v>211.59872</v>
      </c>
      <c r="G732" s="131"/>
      <c r="H732" s="465"/>
      <c r="I732" s="465"/>
    </row>
    <row r="733">
      <c r="A733" s="133" t="s">
        <v>802</v>
      </c>
      <c r="B733" s="2"/>
      <c r="C733" s="2"/>
      <c r="D733" s="3"/>
      <c r="E733" s="121"/>
      <c r="F733" s="121">
        <f>F732*1%</f>
        <v>2.1159872</v>
      </c>
      <c r="G733" s="131"/>
      <c r="H733" s="465"/>
      <c r="I733" s="465"/>
    </row>
    <row r="734">
      <c r="A734" s="133" t="s">
        <v>42</v>
      </c>
      <c r="B734" s="2"/>
      <c r="C734" s="2"/>
      <c r="D734" s="3"/>
      <c r="E734" s="131"/>
      <c r="F734" s="121">
        <f>F732+F733</f>
        <v>213.7147072</v>
      </c>
      <c r="G734" s="131"/>
      <c r="H734" s="465"/>
      <c r="I734" s="465"/>
    </row>
    <row r="735">
      <c r="A735" s="133" t="s">
        <v>806</v>
      </c>
      <c r="B735" s="2"/>
      <c r="C735" s="2"/>
      <c r="D735" s="3"/>
      <c r="E735" s="121"/>
      <c r="F735" s="121">
        <f>F734*15%</f>
        <v>32.05720608</v>
      </c>
      <c r="G735" s="131"/>
      <c r="H735" s="465"/>
      <c r="I735" s="465"/>
    </row>
    <row r="736">
      <c r="A736" s="133" t="s">
        <v>42</v>
      </c>
      <c r="B736" s="2"/>
      <c r="C736" s="2"/>
      <c r="D736" s="3"/>
      <c r="E736" s="131"/>
      <c r="F736" s="300">
        <f>round(F734+F735,2)</f>
        <v>245.77</v>
      </c>
      <c r="G736" s="131"/>
      <c r="H736" s="465"/>
      <c r="I736" s="465"/>
    </row>
    <row r="737">
      <c r="A737" s="471" t="str">
        <f>CONCATENATE("Say ₹ ",F718," + ",F736," x Cost Index")</f>
        <v>Say ₹ 80.14 + 245.77 x Cost Index</v>
      </c>
      <c r="B737" s="2"/>
      <c r="C737" s="2"/>
      <c r="D737" s="2"/>
      <c r="E737" s="2"/>
      <c r="F737" s="3"/>
      <c r="G737" s="472" t="s">
        <v>939</v>
      </c>
      <c r="H737" s="473">
        <f>F712*1.01*1.15/10</f>
        <v>80.1435</v>
      </c>
      <c r="I737" s="473">
        <f>(F721+F723+F725+F728+F730)*1.01*1.15/10</f>
        <v>245.7719133</v>
      </c>
    </row>
    <row r="738">
      <c r="A738" s="111" t="s">
        <v>742</v>
      </c>
      <c r="B738" s="111" t="s">
        <v>745</v>
      </c>
      <c r="C738" s="112" t="s">
        <v>6</v>
      </c>
      <c r="D738" s="2"/>
      <c r="E738" s="3"/>
      <c r="F738" s="112" t="s">
        <v>746</v>
      </c>
      <c r="G738" s="3"/>
      <c r="H738" s="465"/>
      <c r="I738" s="465"/>
    </row>
    <row r="739">
      <c r="A739" s="20"/>
      <c r="B739" s="20"/>
      <c r="C739" s="115" t="s">
        <v>8</v>
      </c>
      <c r="D739" s="115" t="s">
        <v>9</v>
      </c>
      <c r="E739" s="115" t="s">
        <v>358</v>
      </c>
      <c r="F739" s="115" t="s">
        <v>11</v>
      </c>
      <c r="G739" s="115" t="s">
        <v>751</v>
      </c>
      <c r="H739" s="465"/>
      <c r="I739" s="465"/>
    </row>
    <row r="740">
      <c r="A740" s="466" t="s">
        <v>2160</v>
      </c>
      <c r="B740" s="2"/>
      <c r="C740" s="2"/>
      <c r="D740" s="2"/>
      <c r="E740" s="2"/>
      <c r="F740" s="2"/>
      <c r="G740" s="3"/>
      <c r="H740" s="465"/>
      <c r="I740" s="465"/>
    </row>
    <row r="741">
      <c r="A741" s="119"/>
      <c r="B741" s="120" t="s">
        <v>754</v>
      </c>
      <c r="C741" s="120" t="s">
        <v>22</v>
      </c>
      <c r="D741" s="120" t="s">
        <v>757</v>
      </c>
      <c r="E741" s="121">
        <v>10.0</v>
      </c>
      <c r="F741" s="467"/>
      <c r="G741" s="3"/>
      <c r="H741" s="465"/>
      <c r="I741" s="465"/>
    </row>
    <row r="742">
      <c r="A742" s="120" t="s">
        <v>761</v>
      </c>
      <c r="B742" s="123" t="s">
        <v>519</v>
      </c>
      <c r="C742" s="2"/>
      <c r="D742" s="2"/>
      <c r="E742" s="2"/>
      <c r="F742" s="2"/>
      <c r="G742" s="3"/>
      <c r="H742" s="465"/>
      <c r="I742" s="465"/>
    </row>
    <row r="743">
      <c r="A743" s="124" t="s">
        <v>764</v>
      </c>
      <c r="B743" s="2"/>
      <c r="C743" s="2"/>
      <c r="D743" s="2"/>
      <c r="E743" s="2"/>
      <c r="F743" s="3"/>
      <c r="G743" s="125" t="s">
        <v>766</v>
      </c>
      <c r="H743" s="465"/>
      <c r="I743" s="465"/>
    </row>
    <row r="744">
      <c r="A744" s="126"/>
      <c r="B744" s="127" t="s">
        <v>1810</v>
      </c>
      <c r="C744" s="123" t="s">
        <v>2164</v>
      </c>
      <c r="D744" s="2"/>
      <c r="E744" s="3"/>
      <c r="F744" s="467"/>
      <c r="G744" s="3"/>
      <c r="H744" s="465"/>
      <c r="I744" s="465"/>
    </row>
    <row r="745">
      <c r="A745" s="20"/>
      <c r="B745" s="20"/>
      <c r="C745" s="120" t="s">
        <v>22</v>
      </c>
      <c r="D745" s="121">
        <v>10.5</v>
      </c>
      <c r="E745" s="121">
        <v>118.0</v>
      </c>
      <c r="F745" s="121">
        <f>E745*D745</f>
        <v>1239</v>
      </c>
      <c r="G745" s="120" t="s">
        <v>772</v>
      </c>
      <c r="H745" s="465"/>
      <c r="I745" s="465"/>
    </row>
    <row r="746">
      <c r="A746" s="129" t="s">
        <v>42</v>
      </c>
      <c r="B746" s="2"/>
      <c r="C746" s="3"/>
      <c r="D746" s="121">
        <v>10.0</v>
      </c>
      <c r="E746" s="130" t="s">
        <v>22</v>
      </c>
      <c r="F746" s="121">
        <f>F745</f>
        <v>1239</v>
      </c>
      <c r="G746" s="120"/>
      <c r="H746" s="465"/>
      <c r="I746" s="465"/>
    </row>
    <row r="747">
      <c r="A747" s="129" t="s">
        <v>800</v>
      </c>
      <c r="B747" s="2"/>
      <c r="C747" s="3"/>
      <c r="D747" s="121">
        <v>1.0</v>
      </c>
      <c r="E747" s="130" t="s">
        <v>22</v>
      </c>
      <c r="F747" s="121">
        <f>F746/D746</f>
        <v>123.9</v>
      </c>
      <c r="G747" s="120"/>
      <c r="H747" s="465"/>
      <c r="I747" s="465"/>
    </row>
    <row r="748">
      <c r="A748" s="133" t="s">
        <v>802</v>
      </c>
      <c r="B748" s="2"/>
      <c r="C748" s="2"/>
      <c r="D748" s="3"/>
      <c r="E748" s="121"/>
      <c r="F748" s="121">
        <f>F747*1%</f>
        <v>1.239</v>
      </c>
      <c r="G748" s="120"/>
      <c r="H748" s="465"/>
      <c r="I748" s="465"/>
    </row>
    <row r="749">
      <c r="A749" s="133" t="s">
        <v>42</v>
      </c>
      <c r="B749" s="2"/>
      <c r="C749" s="2"/>
      <c r="D749" s="3"/>
      <c r="E749" s="131"/>
      <c r="F749" s="121">
        <f>F747+F748</f>
        <v>125.139</v>
      </c>
      <c r="G749" s="120"/>
      <c r="H749" s="465"/>
      <c r="I749" s="465"/>
    </row>
    <row r="750">
      <c r="A750" s="133" t="s">
        <v>806</v>
      </c>
      <c r="B750" s="2"/>
      <c r="C750" s="2"/>
      <c r="D750" s="3"/>
      <c r="E750" s="121"/>
      <c r="F750" s="121">
        <f>F749*15%</f>
        <v>18.77085</v>
      </c>
      <c r="G750" s="120"/>
      <c r="H750" s="465"/>
      <c r="I750" s="465"/>
    </row>
    <row r="751">
      <c r="A751" s="133" t="s">
        <v>42</v>
      </c>
      <c r="B751" s="2"/>
      <c r="C751" s="2"/>
      <c r="D751" s="3"/>
      <c r="E751" s="131"/>
      <c r="F751" s="300">
        <f>round(F749+F750,2)</f>
        <v>143.91</v>
      </c>
      <c r="G751" s="120"/>
      <c r="H751" s="465"/>
      <c r="I751" s="465"/>
    </row>
    <row r="752">
      <c r="A752" s="124" t="s">
        <v>777</v>
      </c>
      <c r="B752" s="2"/>
      <c r="C752" s="2"/>
      <c r="D752" s="2"/>
      <c r="E752" s="2"/>
      <c r="F752" s="3"/>
      <c r="G752" s="125" t="s">
        <v>778</v>
      </c>
      <c r="H752" s="465"/>
      <c r="I752" s="465"/>
    </row>
    <row r="753">
      <c r="A753" s="127">
        <v>116.0</v>
      </c>
      <c r="B753" s="126"/>
      <c r="C753" s="123" t="s">
        <v>535</v>
      </c>
      <c r="D753" s="2"/>
      <c r="E753" s="3"/>
      <c r="F753" s="467"/>
      <c r="G753" s="3"/>
      <c r="H753" s="465"/>
      <c r="I753" s="465"/>
    </row>
    <row r="754">
      <c r="A754" s="20"/>
      <c r="B754" s="20"/>
      <c r="C754" s="120" t="s">
        <v>27</v>
      </c>
      <c r="D754" s="121">
        <v>0.32</v>
      </c>
      <c r="E754" s="121">
        <v>784.0</v>
      </c>
      <c r="F754" s="121">
        <f>E754*D754</f>
        <v>250.88</v>
      </c>
      <c r="G754" s="120" t="s">
        <v>780</v>
      </c>
      <c r="H754" s="465"/>
      <c r="I754" s="465"/>
    </row>
    <row r="755">
      <c r="A755" s="127">
        <v>114.0</v>
      </c>
      <c r="B755" s="126"/>
      <c r="C755" s="123" t="s">
        <v>97</v>
      </c>
      <c r="D755" s="2"/>
      <c r="E755" s="3"/>
      <c r="F755" s="467"/>
      <c r="G755" s="3"/>
      <c r="H755" s="465"/>
      <c r="I755" s="465"/>
    </row>
    <row r="756">
      <c r="A756" s="20"/>
      <c r="B756" s="20"/>
      <c r="C756" s="120" t="s">
        <v>27</v>
      </c>
      <c r="D756" s="121">
        <v>0.62</v>
      </c>
      <c r="E756" s="121">
        <v>645.0</v>
      </c>
      <c r="F756" s="121">
        <f>E756*D756</f>
        <v>399.9</v>
      </c>
      <c r="G756" s="120" t="s">
        <v>782</v>
      </c>
      <c r="H756" s="465"/>
      <c r="I756" s="465"/>
    </row>
    <row r="757">
      <c r="A757" s="127">
        <v>100.0</v>
      </c>
      <c r="B757" s="126"/>
      <c r="C757" s="123" t="s">
        <v>1753</v>
      </c>
      <c r="D757" s="2"/>
      <c r="E757" s="3"/>
      <c r="F757" s="467"/>
      <c r="G757" s="3"/>
      <c r="H757" s="465"/>
      <c r="I757" s="465"/>
    </row>
    <row r="758">
      <c r="A758" s="20"/>
      <c r="B758" s="20"/>
      <c r="C758" s="120" t="s">
        <v>27</v>
      </c>
      <c r="D758" s="121">
        <v>0.13</v>
      </c>
      <c r="E758" s="121">
        <v>714.0</v>
      </c>
      <c r="F758" s="121">
        <f>E758*D758</f>
        <v>92.82</v>
      </c>
      <c r="G758" s="120" t="s">
        <v>791</v>
      </c>
      <c r="H758" s="465"/>
      <c r="I758" s="465"/>
    </row>
    <row r="759">
      <c r="A759" s="124" t="s">
        <v>843</v>
      </c>
      <c r="B759" s="2"/>
      <c r="C759" s="2"/>
      <c r="D759" s="2"/>
      <c r="E759" s="2"/>
      <c r="F759" s="3"/>
      <c r="G759" s="125" t="s">
        <v>778</v>
      </c>
      <c r="H759" s="465"/>
      <c r="I759" s="465"/>
    </row>
    <row r="760">
      <c r="A760" s="127">
        <v>9999.0</v>
      </c>
      <c r="B760" s="126"/>
      <c r="C760" s="123" t="s">
        <v>1754</v>
      </c>
      <c r="D760" s="2"/>
      <c r="E760" s="3"/>
      <c r="F760" s="467"/>
      <c r="G760" s="3"/>
      <c r="H760" s="465"/>
      <c r="I760" s="465"/>
    </row>
    <row r="761">
      <c r="A761" s="20"/>
      <c r="B761" s="20"/>
      <c r="C761" s="120" t="s">
        <v>107</v>
      </c>
      <c r="D761" s="121">
        <v>22.53</v>
      </c>
      <c r="E761" s="121">
        <v>2.12</v>
      </c>
      <c r="F761" s="121">
        <f>E761*D761</f>
        <v>47.7636</v>
      </c>
      <c r="G761" s="120" t="s">
        <v>846</v>
      </c>
      <c r="H761" s="465"/>
      <c r="I761" s="465"/>
    </row>
    <row r="762">
      <c r="A762" s="127">
        <v>9999.0</v>
      </c>
      <c r="B762" s="126"/>
      <c r="C762" s="123" t="s">
        <v>1626</v>
      </c>
      <c r="D762" s="2"/>
      <c r="E762" s="3"/>
      <c r="F762" s="467"/>
      <c r="G762" s="3"/>
      <c r="H762" s="465"/>
      <c r="I762" s="465"/>
    </row>
    <row r="763">
      <c r="A763" s="20"/>
      <c r="B763" s="20"/>
      <c r="C763" s="120" t="s">
        <v>107</v>
      </c>
      <c r="D763" s="121">
        <v>10.27</v>
      </c>
      <c r="E763" s="121">
        <v>2.12</v>
      </c>
      <c r="F763" s="121">
        <f>E763*D763</f>
        <v>21.7724</v>
      </c>
      <c r="G763" s="120" t="s">
        <v>850</v>
      </c>
      <c r="H763" s="465"/>
      <c r="I763" s="465"/>
    </row>
    <row r="764">
      <c r="A764" s="127">
        <v>9999.0</v>
      </c>
      <c r="B764" s="126"/>
      <c r="C764" s="123" t="s">
        <v>1756</v>
      </c>
      <c r="D764" s="2"/>
      <c r="E764" s="3"/>
      <c r="F764" s="467"/>
      <c r="G764" s="3"/>
      <c r="H764" s="465"/>
      <c r="I764" s="465"/>
    </row>
    <row r="765">
      <c r="A765" s="20"/>
      <c r="B765" s="20"/>
      <c r="C765" s="120" t="s">
        <v>107</v>
      </c>
      <c r="D765" s="121">
        <v>30.98</v>
      </c>
      <c r="E765" s="121">
        <v>2.12</v>
      </c>
      <c r="F765" s="121">
        <f>E765*D765</f>
        <v>65.6776</v>
      </c>
      <c r="G765" s="120" t="s">
        <v>1757</v>
      </c>
      <c r="H765" s="465"/>
      <c r="I765" s="465"/>
    </row>
    <row r="766">
      <c r="A766" s="129" t="s">
        <v>42</v>
      </c>
      <c r="B766" s="2"/>
      <c r="C766" s="3"/>
      <c r="D766" s="121">
        <v>10.0</v>
      </c>
      <c r="E766" s="130" t="s">
        <v>22</v>
      </c>
      <c r="F766" s="121">
        <f>F754+F756+F758+F761+F763+F765</f>
        <v>878.8136</v>
      </c>
      <c r="G766" s="131"/>
      <c r="H766" s="465"/>
      <c r="I766" s="465"/>
    </row>
    <row r="767">
      <c r="A767" s="129" t="s">
        <v>800</v>
      </c>
      <c r="B767" s="2"/>
      <c r="C767" s="3"/>
      <c r="D767" s="121">
        <v>1.0</v>
      </c>
      <c r="E767" s="130" t="s">
        <v>22</v>
      </c>
      <c r="F767" s="121">
        <f>F766/D766</f>
        <v>87.88136</v>
      </c>
      <c r="G767" s="131"/>
      <c r="H767" s="465"/>
      <c r="I767" s="465"/>
    </row>
    <row r="768">
      <c r="A768" s="133" t="s">
        <v>802</v>
      </c>
      <c r="B768" s="2"/>
      <c r="C768" s="2"/>
      <c r="D768" s="3"/>
      <c r="E768" s="121"/>
      <c r="F768" s="121">
        <f>F767*1%</f>
        <v>0.8788136</v>
      </c>
      <c r="G768" s="131"/>
      <c r="H768" s="465"/>
      <c r="I768" s="465"/>
    </row>
    <row r="769">
      <c r="A769" s="133" t="s">
        <v>42</v>
      </c>
      <c r="B769" s="2"/>
      <c r="C769" s="2"/>
      <c r="D769" s="3"/>
      <c r="E769" s="131"/>
      <c r="F769" s="121">
        <f>F767+F768</f>
        <v>88.7601736</v>
      </c>
      <c r="G769" s="131"/>
      <c r="H769" s="465"/>
      <c r="I769" s="465"/>
    </row>
    <row r="770">
      <c r="A770" s="133" t="s">
        <v>806</v>
      </c>
      <c r="B770" s="2"/>
      <c r="C770" s="2"/>
      <c r="D770" s="3"/>
      <c r="E770" s="121"/>
      <c r="F770" s="121">
        <f>F769*15%</f>
        <v>13.31402604</v>
      </c>
      <c r="G770" s="131"/>
      <c r="H770" s="465"/>
      <c r="I770" s="465"/>
    </row>
    <row r="771">
      <c r="A771" s="133" t="s">
        <v>42</v>
      </c>
      <c r="B771" s="2"/>
      <c r="C771" s="2"/>
      <c r="D771" s="3"/>
      <c r="E771" s="131"/>
      <c r="F771" s="300">
        <f>round(F769+F770,2)</f>
        <v>102.07</v>
      </c>
      <c r="G771" s="131"/>
      <c r="H771" s="465"/>
      <c r="I771" s="465"/>
    </row>
    <row r="772">
      <c r="A772" s="471" t="str">
        <f>CONCATENATE("Say ₹ ",F751," + ",F771," x Cost Index")</f>
        <v>Say ₹ 143.91 + 102.07 x Cost Index</v>
      </c>
      <c r="B772" s="2"/>
      <c r="C772" s="2"/>
      <c r="D772" s="2"/>
      <c r="E772" s="2"/>
      <c r="F772" s="3"/>
      <c r="G772" s="472" t="s">
        <v>939</v>
      </c>
      <c r="H772" s="473">
        <f>F745*1.01*1.15/10</f>
        <v>143.90985</v>
      </c>
      <c r="I772" s="473">
        <f>(F754+F756+F758+F761+F763+F765)*1.01*1.15/10</f>
        <v>102.0741996</v>
      </c>
    </row>
    <row r="773">
      <c r="A773" s="111" t="s">
        <v>742</v>
      </c>
      <c r="B773" s="111" t="s">
        <v>745</v>
      </c>
      <c r="C773" s="112" t="s">
        <v>6</v>
      </c>
      <c r="D773" s="2"/>
      <c r="E773" s="3"/>
      <c r="F773" s="112" t="s">
        <v>746</v>
      </c>
      <c r="G773" s="3"/>
      <c r="H773" s="465"/>
      <c r="I773" s="465"/>
    </row>
    <row r="774">
      <c r="A774" s="20"/>
      <c r="B774" s="20"/>
      <c r="C774" s="115" t="s">
        <v>8</v>
      </c>
      <c r="D774" s="115" t="s">
        <v>9</v>
      </c>
      <c r="E774" s="115" t="s">
        <v>358</v>
      </c>
      <c r="F774" s="115" t="s">
        <v>11</v>
      </c>
      <c r="G774" s="115" t="s">
        <v>751</v>
      </c>
      <c r="H774" s="465"/>
      <c r="I774" s="465"/>
    </row>
    <row r="775">
      <c r="A775" s="466" t="s">
        <v>2201</v>
      </c>
      <c r="B775" s="2"/>
      <c r="C775" s="2"/>
      <c r="D775" s="2"/>
      <c r="E775" s="2"/>
      <c r="F775" s="2"/>
      <c r="G775" s="3"/>
      <c r="H775" s="465"/>
      <c r="I775" s="465"/>
    </row>
    <row r="776">
      <c r="A776" s="119"/>
      <c r="B776" s="120" t="s">
        <v>754</v>
      </c>
      <c r="C776" s="120" t="s">
        <v>22</v>
      </c>
      <c r="D776" s="120" t="s">
        <v>757</v>
      </c>
      <c r="E776" s="121">
        <v>10.0</v>
      </c>
      <c r="F776" s="467"/>
      <c r="G776" s="3"/>
      <c r="H776" s="465"/>
      <c r="I776" s="465"/>
    </row>
    <row r="777">
      <c r="A777" s="120" t="s">
        <v>761</v>
      </c>
      <c r="B777" s="123" t="s">
        <v>1675</v>
      </c>
      <c r="C777" s="2"/>
      <c r="D777" s="2"/>
      <c r="E777" s="2"/>
      <c r="F777" s="2"/>
      <c r="G777" s="3"/>
      <c r="H777" s="465"/>
      <c r="I777" s="465"/>
    </row>
    <row r="778">
      <c r="A778" s="124" t="s">
        <v>764</v>
      </c>
      <c r="B778" s="2"/>
      <c r="C778" s="2"/>
      <c r="D778" s="2"/>
      <c r="E778" s="2"/>
      <c r="F778" s="3"/>
      <c r="G778" s="125" t="s">
        <v>766</v>
      </c>
      <c r="H778" s="465"/>
      <c r="I778" s="465"/>
    </row>
    <row r="779">
      <c r="A779" s="126"/>
      <c r="B779" s="127" t="s">
        <v>1824</v>
      </c>
      <c r="C779" s="123" t="s">
        <v>2206</v>
      </c>
      <c r="D779" s="2"/>
      <c r="E779" s="3"/>
      <c r="F779" s="467"/>
      <c r="G779" s="3"/>
      <c r="H779" s="465"/>
      <c r="I779" s="465"/>
    </row>
    <row r="780">
      <c r="A780" s="20"/>
      <c r="B780" s="20"/>
      <c r="C780" s="120" t="s">
        <v>22</v>
      </c>
      <c r="D780" s="121">
        <v>10.5</v>
      </c>
      <c r="E780" s="121">
        <v>83.0</v>
      </c>
      <c r="F780" s="121">
        <f>E780*D780</f>
        <v>871.5</v>
      </c>
      <c r="G780" s="120" t="s">
        <v>772</v>
      </c>
      <c r="H780" s="465"/>
      <c r="I780" s="465"/>
    </row>
    <row r="781">
      <c r="A781" s="129" t="s">
        <v>42</v>
      </c>
      <c r="B781" s="2"/>
      <c r="C781" s="3"/>
      <c r="D781" s="121">
        <v>10.0</v>
      </c>
      <c r="E781" s="130" t="s">
        <v>22</v>
      </c>
      <c r="F781" s="121">
        <f>F780</f>
        <v>871.5</v>
      </c>
      <c r="G781" s="120"/>
      <c r="H781" s="465"/>
      <c r="I781" s="465"/>
    </row>
    <row r="782">
      <c r="A782" s="129" t="s">
        <v>800</v>
      </c>
      <c r="B782" s="2"/>
      <c r="C782" s="3"/>
      <c r="D782" s="121">
        <v>1.0</v>
      </c>
      <c r="E782" s="130" t="s">
        <v>22</v>
      </c>
      <c r="F782" s="121">
        <f>F781/D781</f>
        <v>87.15</v>
      </c>
      <c r="G782" s="120"/>
      <c r="H782" s="465"/>
      <c r="I782" s="465"/>
    </row>
    <row r="783">
      <c r="A783" s="133" t="s">
        <v>802</v>
      </c>
      <c r="B783" s="2"/>
      <c r="C783" s="2"/>
      <c r="D783" s="3"/>
      <c r="E783" s="121"/>
      <c r="F783" s="121">
        <f>F782*1%</f>
        <v>0.8715</v>
      </c>
      <c r="G783" s="120"/>
      <c r="H783" s="465"/>
      <c r="I783" s="465"/>
    </row>
    <row r="784">
      <c r="A784" s="133" t="s">
        <v>42</v>
      </c>
      <c r="B784" s="2"/>
      <c r="C784" s="2"/>
      <c r="D784" s="3"/>
      <c r="E784" s="131"/>
      <c r="F784" s="121">
        <f>F782+F783</f>
        <v>88.0215</v>
      </c>
      <c r="G784" s="120"/>
      <c r="H784" s="465"/>
      <c r="I784" s="465"/>
    </row>
    <row r="785">
      <c r="A785" s="133" t="s">
        <v>806</v>
      </c>
      <c r="B785" s="2"/>
      <c r="C785" s="2"/>
      <c r="D785" s="3"/>
      <c r="E785" s="121"/>
      <c r="F785" s="121">
        <f>F784*15%</f>
        <v>13.203225</v>
      </c>
      <c r="G785" s="120"/>
      <c r="H785" s="465"/>
      <c r="I785" s="465"/>
    </row>
    <row r="786">
      <c r="A786" s="133" t="s">
        <v>42</v>
      </c>
      <c r="B786" s="2"/>
      <c r="C786" s="2"/>
      <c r="D786" s="3"/>
      <c r="E786" s="131"/>
      <c r="F786" s="300">
        <f>round(F784+F785,2)</f>
        <v>101.22</v>
      </c>
      <c r="G786" s="120"/>
      <c r="H786" s="465"/>
      <c r="I786" s="465"/>
    </row>
    <row r="787">
      <c r="A787" s="124" t="s">
        <v>777</v>
      </c>
      <c r="B787" s="2"/>
      <c r="C787" s="2"/>
      <c r="D787" s="2"/>
      <c r="E787" s="2"/>
      <c r="F787" s="3"/>
      <c r="G787" s="125" t="s">
        <v>778</v>
      </c>
      <c r="H787" s="465"/>
      <c r="I787" s="465"/>
    </row>
    <row r="788">
      <c r="A788" s="127">
        <v>116.0</v>
      </c>
      <c r="B788" s="126"/>
      <c r="C788" s="123" t="s">
        <v>535</v>
      </c>
      <c r="D788" s="2"/>
      <c r="E788" s="3"/>
      <c r="F788" s="467"/>
      <c r="G788" s="3"/>
      <c r="H788" s="465"/>
      <c r="I788" s="465"/>
    </row>
    <row r="789">
      <c r="A789" s="20"/>
      <c r="B789" s="20"/>
      <c r="C789" s="120" t="s">
        <v>27</v>
      </c>
      <c r="D789" s="121">
        <v>0.32</v>
      </c>
      <c r="E789" s="121">
        <v>784.0</v>
      </c>
      <c r="F789" s="121">
        <f>E789*D789</f>
        <v>250.88</v>
      </c>
      <c r="G789" s="120" t="s">
        <v>780</v>
      </c>
      <c r="H789" s="465"/>
      <c r="I789" s="465"/>
    </row>
    <row r="790">
      <c r="A790" s="127">
        <v>114.0</v>
      </c>
      <c r="B790" s="126"/>
      <c r="C790" s="123" t="s">
        <v>97</v>
      </c>
      <c r="D790" s="2"/>
      <c r="E790" s="3"/>
      <c r="F790" s="467"/>
      <c r="G790" s="3"/>
      <c r="H790" s="465"/>
      <c r="I790" s="465"/>
    </row>
    <row r="791">
      <c r="A791" s="20"/>
      <c r="B791" s="20"/>
      <c r="C791" s="120" t="s">
        <v>27</v>
      </c>
      <c r="D791" s="121">
        <v>0.62</v>
      </c>
      <c r="E791" s="121">
        <v>645.0</v>
      </c>
      <c r="F791" s="121">
        <f>E791*D791</f>
        <v>399.9</v>
      </c>
      <c r="G791" s="120" t="s">
        <v>782</v>
      </c>
      <c r="H791" s="465"/>
      <c r="I791" s="465"/>
    </row>
    <row r="792">
      <c r="A792" s="127">
        <v>100.0</v>
      </c>
      <c r="B792" s="126"/>
      <c r="C792" s="123" t="s">
        <v>1753</v>
      </c>
      <c r="D792" s="2"/>
      <c r="E792" s="3"/>
      <c r="F792" s="467"/>
      <c r="G792" s="3"/>
      <c r="H792" s="465"/>
      <c r="I792" s="465"/>
    </row>
    <row r="793">
      <c r="A793" s="20"/>
      <c r="B793" s="20"/>
      <c r="C793" s="120" t="s">
        <v>27</v>
      </c>
      <c r="D793" s="121">
        <v>0.13</v>
      </c>
      <c r="E793" s="121">
        <v>714.0</v>
      </c>
      <c r="F793" s="121">
        <f>E793*D793</f>
        <v>92.82</v>
      </c>
      <c r="G793" s="120" t="s">
        <v>791</v>
      </c>
      <c r="H793" s="465"/>
      <c r="I793" s="465"/>
    </row>
    <row r="794">
      <c r="A794" s="124" t="s">
        <v>843</v>
      </c>
      <c r="B794" s="2"/>
      <c r="C794" s="2"/>
      <c r="D794" s="2"/>
      <c r="E794" s="2"/>
      <c r="F794" s="3"/>
      <c r="G794" s="125" t="s">
        <v>778</v>
      </c>
      <c r="H794" s="465"/>
      <c r="I794" s="465"/>
    </row>
    <row r="795">
      <c r="A795" s="127">
        <v>9999.0</v>
      </c>
      <c r="B795" s="126"/>
      <c r="C795" s="123" t="s">
        <v>1754</v>
      </c>
      <c r="D795" s="2"/>
      <c r="E795" s="3"/>
      <c r="F795" s="467"/>
      <c r="G795" s="3"/>
      <c r="H795" s="465"/>
      <c r="I795" s="465"/>
    </row>
    <row r="796">
      <c r="A796" s="20"/>
      <c r="B796" s="20"/>
      <c r="C796" s="120" t="s">
        <v>107</v>
      </c>
      <c r="D796" s="121">
        <v>22.53</v>
      </c>
      <c r="E796" s="121">
        <v>2.12</v>
      </c>
      <c r="F796" s="121">
        <f>E796*D796</f>
        <v>47.7636</v>
      </c>
      <c r="G796" s="120" t="s">
        <v>846</v>
      </c>
      <c r="H796" s="465"/>
      <c r="I796" s="465"/>
    </row>
    <row r="797">
      <c r="A797" s="127">
        <v>9999.0</v>
      </c>
      <c r="B797" s="126"/>
      <c r="C797" s="123" t="s">
        <v>1626</v>
      </c>
      <c r="D797" s="2"/>
      <c r="E797" s="3"/>
      <c r="F797" s="467"/>
      <c r="G797" s="3"/>
      <c r="H797" s="465"/>
      <c r="I797" s="465"/>
    </row>
    <row r="798">
      <c r="A798" s="20"/>
      <c r="B798" s="20"/>
      <c r="C798" s="120" t="s">
        <v>107</v>
      </c>
      <c r="D798" s="121">
        <v>10.27</v>
      </c>
      <c r="E798" s="121">
        <v>2.12</v>
      </c>
      <c r="F798" s="121">
        <f>E798*D798</f>
        <v>21.7724</v>
      </c>
      <c r="G798" s="120" t="s">
        <v>850</v>
      </c>
      <c r="H798" s="465"/>
      <c r="I798" s="465"/>
    </row>
    <row r="799">
      <c r="A799" s="127">
        <v>9999.0</v>
      </c>
      <c r="B799" s="126"/>
      <c r="C799" s="123" t="s">
        <v>1756</v>
      </c>
      <c r="D799" s="2"/>
      <c r="E799" s="3"/>
      <c r="F799" s="467"/>
      <c r="G799" s="3"/>
      <c r="H799" s="465"/>
      <c r="I799" s="465"/>
    </row>
    <row r="800">
      <c r="A800" s="20"/>
      <c r="B800" s="20"/>
      <c r="C800" s="120" t="s">
        <v>107</v>
      </c>
      <c r="D800" s="121">
        <v>30.98</v>
      </c>
      <c r="E800" s="121">
        <v>2.12</v>
      </c>
      <c r="F800" s="121">
        <f>E800*D800</f>
        <v>65.6776</v>
      </c>
      <c r="G800" s="120" t="s">
        <v>1757</v>
      </c>
      <c r="H800" s="465"/>
      <c r="I800" s="465"/>
    </row>
    <row r="801">
      <c r="A801" s="129" t="s">
        <v>42</v>
      </c>
      <c r="B801" s="2"/>
      <c r="C801" s="3"/>
      <c r="D801" s="121">
        <v>10.0</v>
      </c>
      <c r="E801" s="130" t="s">
        <v>22</v>
      </c>
      <c r="F801" s="121">
        <f>F789+F791+F793+F796+F798+F800</f>
        <v>878.8136</v>
      </c>
      <c r="G801" s="131"/>
      <c r="H801" s="465"/>
      <c r="I801" s="465"/>
    </row>
    <row r="802">
      <c r="A802" s="129" t="s">
        <v>800</v>
      </c>
      <c r="B802" s="2"/>
      <c r="C802" s="3"/>
      <c r="D802" s="121">
        <v>1.0</v>
      </c>
      <c r="E802" s="130" t="s">
        <v>22</v>
      </c>
      <c r="F802" s="121">
        <f>F801/D801</f>
        <v>87.88136</v>
      </c>
      <c r="G802" s="131"/>
      <c r="H802" s="465"/>
      <c r="I802" s="465"/>
    </row>
    <row r="803">
      <c r="A803" s="133" t="s">
        <v>802</v>
      </c>
      <c r="B803" s="2"/>
      <c r="C803" s="2"/>
      <c r="D803" s="3"/>
      <c r="E803" s="121"/>
      <c r="F803" s="121">
        <f>F802*1%</f>
        <v>0.8788136</v>
      </c>
      <c r="G803" s="131"/>
      <c r="H803" s="465"/>
      <c r="I803" s="465"/>
    </row>
    <row r="804">
      <c r="A804" s="133" t="s">
        <v>42</v>
      </c>
      <c r="B804" s="2"/>
      <c r="C804" s="2"/>
      <c r="D804" s="3"/>
      <c r="E804" s="131"/>
      <c r="F804" s="121">
        <f>F802+F803</f>
        <v>88.7601736</v>
      </c>
      <c r="G804" s="131"/>
      <c r="H804" s="465"/>
      <c r="I804" s="465"/>
    </row>
    <row r="805">
      <c r="A805" s="133" t="s">
        <v>806</v>
      </c>
      <c r="B805" s="2"/>
      <c r="C805" s="2"/>
      <c r="D805" s="3"/>
      <c r="E805" s="121"/>
      <c r="F805" s="121">
        <f>F804*15%</f>
        <v>13.31402604</v>
      </c>
      <c r="G805" s="131"/>
      <c r="H805" s="465"/>
      <c r="I805" s="465"/>
    </row>
    <row r="806">
      <c r="A806" s="133" t="s">
        <v>42</v>
      </c>
      <c r="B806" s="2"/>
      <c r="C806" s="2"/>
      <c r="D806" s="3"/>
      <c r="E806" s="131"/>
      <c r="F806" s="300">
        <f>round(F804+F805,2)</f>
        <v>102.07</v>
      </c>
      <c r="G806" s="131"/>
      <c r="H806" s="465"/>
      <c r="I806" s="465"/>
    </row>
    <row r="807">
      <c r="A807" s="471" t="str">
        <f>CONCATENATE("Say ₹ ",F786," + ",F806," x Cost Index")</f>
        <v>Say ₹ 101.22 + 102.07 x Cost Index</v>
      </c>
      <c r="B807" s="2"/>
      <c r="C807" s="2"/>
      <c r="D807" s="2"/>
      <c r="E807" s="2"/>
      <c r="F807" s="3"/>
      <c r="G807" s="472" t="s">
        <v>939</v>
      </c>
      <c r="H807" s="473">
        <f>F780*1.01*1.15/10</f>
        <v>101.224725</v>
      </c>
      <c r="I807" s="473">
        <f>(F789+F791+F793+F796+F798+F800)*1.01*1.15/10</f>
        <v>102.0741996</v>
      </c>
    </row>
    <row r="808">
      <c r="A808" s="111" t="s">
        <v>742</v>
      </c>
      <c r="B808" s="111" t="s">
        <v>745</v>
      </c>
      <c r="C808" s="112" t="s">
        <v>6</v>
      </c>
      <c r="D808" s="2"/>
      <c r="E808" s="3"/>
      <c r="F808" s="112" t="s">
        <v>746</v>
      </c>
      <c r="G808" s="3"/>
      <c r="H808" s="465"/>
      <c r="I808" s="465"/>
    </row>
    <row r="809">
      <c r="A809" s="20"/>
      <c r="B809" s="20"/>
      <c r="C809" s="115" t="s">
        <v>8</v>
      </c>
      <c r="D809" s="115" t="s">
        <v>9</v>
      </c>
      <c r="E809" s="115" t="s">
        <v>358</v>
      </c>
      <c r="F809" s="115" t="s">
        <v>11</v>
      </c>
      <c r="G809" s="115" t="s">
        <v>751</v>
      </c>
      <c r="H809" s="465"/>
      <c r="I809" s="465"/>
    </row>
    <row r="810">
      <c r="A810" s="466" t="s">
        <v>2226</v>
      </c>
      <c r="B810" s="2"/>
      <c r="C810" s="2"/>
      <c r="D810" s="2"/>
      <c r="E810" s="2"/>
      <c r="F810" s="2"/>
      <c r="G810" s="3"/>
      <c r="H810" s="465"/>
      <c r="I810" s="465"/>
    </row>
    <row r="811">
      <c r="A811" s="119"/>
      <c r="B811" s="120" t="s">
        <v>754</v>
      </c>
      <c r="C811" s="120" t="s">
        <v>22</v>
      </c>
      <c r="D811" s="120" t="s">
        <v>757</v>
      </c>
      <c r="E811" s="121">
        <v>10.0</v>
      </c>
      <c r="F811" s="467"/>
      <c r="G811" s="3"/>
      <c r="H811" s="465"/>
      <c r="I811" s="465"/>
    </row>
    <row r="812">
      <c r="A812" s="120" t="s">
        <v>761</v>
      </c>
      <c r="B812" s="123" t="s">
        <v>1875</v>
      </c>
      <c r="C812" s="2"/>
      <c r="D812" s="2"/>
      <c r="E812" s="2"/>
      <c r="F812" s="2"/>
      <c r="G812" s="3"/>
      <c r="H812" s="465"/>
      <c r="I812" s="465"/>
    </row>
    <row r="813">
      <c r="A813" s="124" t="s">
        <v>764</v>
      </c>
      <c r="B813" s="2"/>
      <c r="C813" s="2"/>
      <c r="D813" s="2"/>
      <c r="E813" s="2"/>
      <c r="F813" s="3"/>
      <c r="G813" s="125" t="s">
        <v>766</v>
      </c>
      <c r="H813" s="465"/>
      <c r="I813" s="465"/>
    </row>
    <row r="814">
      <c r="A814" s="126"/>
      <c r="B814" s="127" t="s">
        <v>1830</v>
      </c>
      <c r="C814" s="123" t="s">
        <v>2230</v>
      </c>
      <c r="D814" s="2"/>
      <c r="E814" s="3"/>
      <c r="F814" s="467"/>
      <c r="G814" s="3"/>
      <c r="H814" s="465"/>
      <c r="I814" s="465"/>
    </row>
    <row r="815">
      <c r="A815" s="20"/>
      <c r="B815" s="20"/>
      <c r="C815" s="120" t="s">
        <v>22</v>
      </c>
      <c r="D815" s="121">
        <v>10.5</v>
      </c>
      <c r="E815" s="121">
        <v>129.0</v>
      </c>
      <c r="F815" s="121">
        <f>E815*D815</f>
        <v>1354.5</v>
      </c>
      <c r="G815" s="120" t="s">
        <v>772</v>
      </c>
      <c r="H815" s="465"/>
      <c r="I815" s="465"/>
    </row>
    <row r="816">
      <c r="A816" s="129" t="s">
        <v>42</v>
      </c>
      <c r="B816" s="2"/>
      <c r="C816" s="3"/>
      <c r="D816" s="121">
        <v>10.0</v>
      </c>
      <c r="E816" s="130" t="s">
        <v>22</v>
      </c>
      <c r="F816" s="121">
        <f>F815</f>
        <v>1354.5</v>
      </c>
      <c r="G816" s="120"/>
      <c r="H816" s="465"/>
      <c r="I816" s="465"/>
    </row>
    <row r="817">
      <c r="A817" s="129" t="s">
        <v>800</v>
      </c>
      <c r="B817" s="2"/>
      <c r="C817" s="3"/>
      <c r="D817" s="121">
        <v>1.0</v>
      </c>
      <c r="E817" s="130" t="s">
        <v>22</v>
      </c>
      <c r="F817" s="121">
        <f>F816/D816</f>
        <v>135.45</v>
      </c>
      <c r="G817" s="120"/>
      <c r="H817" s="465"/>
      <c r="I817" s="465"/>
    </row>
    <row r="818">
      <c r="A818" s="133" t="s">
        <v>802</v>
      </c>
      <c r="B818" s="2"/>
      <c r="C818" s="2"/>
      <c r="D818" s="3"/>
      <c r="E818" s="121"/>
      <c r="F818" s="121">
        <f>F817*1%</f>
        <v>1.3545</v>
      </c>
      <c r="G818" s="120"/>
      <c r="H818" s="465"/>
      <c r="I818" s="465"/>
    </row>
    <row r="819">
      <c r="A819" s="133" t="s">
        <v>42</v>
      </c>
      <c r="B819" s="2"/>
      <c r="C819" s="2"/>
      <c r="D819" s="3"/>
      <c r="E819" s="131"/>
      <c r="F819" s="121">
        <f>F817+F818</f>
        <v>136.8045</v>
      </c>
      <c r="G819" s="120"/>
      <c r="H819" s="465"/>
      <c r="I819" s="465"/>
    </row>
    <row r="820">
      <c r="A820" s="133" t="s">
        <v>806</v>
      </c>
      <c r="B820" s="2"/>
      <c r="C820" s="2"/>
      <c r="D820" s="3"/>
      <c r="E820" s="121"/>
      <c r="F820" s="121">
        <f>F819*15%</f>
        <v>20.520675</v>
      </c>
      <c r="G820" s="120"/>
      <c r="H820" s="465"/>
      <c r="I820" s="465"/>
    </row>
    <row r="821">
      <c r="A821" s="133" t="s">
        <v>42</v>
      </c>
      <c r="B821" s="2"/>
      <c r="C821" s="2"/>
      <c r="D821" s="3"/>
      <c r="E821" s="131"/>
      <c r="F821" s="300">
        <f>round(F819+F820,2)</f>
        <v>157.33</v>
      </c>
      <c r="G821" s="120"/>
      <c r="H821" s="465"/>
      <c r="I821" s="465"/>
    </row>
    <row r="822">
      <c r="A822" s="124" t="s">
        <v>777</v>
      </c>
      <c r="B822" s="2"/>
      <c r="C822" s="2"/>
      <c r="D822" s="2"/>
      <c r="E822" s="2"/>
      <c r="F822" s="3"/>
      <c r="G822" s="125" t="s">
        <v>778</v>
      </c>
      <c r="H822" s="465"/>
      <c r="I822" s="465"/>
    </row>
    <row r="823">
      <c r="A823" s="127">
        <v>116.0</v>
      </c>
      <c r="B823" s="126"/>
      <c r="C823" s="123" t="s">
        <v>535</v>
      </c>
      <c r="D823" s="2"/>
      <c r="E823" s="3"/>
      <c r="F823" s="467"/>
      <c r="G823" s="3"/>
      <c r="H823" s="465"/>
      <c r="I823" s="465"/>
    </row>
    <row r="824">
      <c r="A824" s="20"/>
      <c r="B824" s="20"/>
      <c r="C824" s="120" t="s">
        <v>27</v>
      </c>
      <c r="D824" s="121">
        <v>0.32</v>
      </c>
      <c r="E824" s="121">
        <v>784.0</v>
      </c>
      <c r="F824" s="121">
        <f>E824*D824</f>
        <v>250.88</v>
      </c>
      <c r="G824" s="120" t="s">
        <v>780</v>
      </c>
      <c r="H824" s="465"/>
      <c r="I824" s="465"/>
    </row>
    <row r="825">
      <c r="A825" s="127">
        <v>114.0</v>
      </c>
      <c r="B825" s="126"/>
      <c r="C825" s="123" t="s">
        <v>97</v>
      </c>
      <c r="D825" s="2"/>
      <c r="E825" s="3"/>
      <c r="F825" s="467"/>
      <c r="G825" s="3"/>
      <c r="H825" s="465"/>
      <c r="I825" s="465"/>
    </row>
    <row r="826">
      <c r="A826" s="20"/>
      <c r="B826" s="20"/>
      <c r="C826" s="120" t="s">
        <v>27</v>
      </c>
      <c r="D826" s="121">
        <v>0.62</v>
      </c>
      <c r="E826" s="121">
        <v>645.0</v>
      </c>
      <c r="F826" s="121">
        <f>E826*D826</f>
        <v>399.9</v>
      </c>
      <c r="G826" s="120" t="s">
        <v>782</v>
      </c>
      <c r="H826" s="465"/>
      <c r="I826" s="465"/>
    </row>
    <row r="827">
      <c r="A827" s="127">
        <v>100.0</v>
      </c>
      <c r="B827" s="126"/>
      <c r="C827" s="123" t="s">
        <v>1753</v>
      </c>
      <c r="D827" s="2"/>
      <c r="E827" s="3"/>
      <c r="F827" s="467"/>
      <c r="G827" s="3"/>
      <c r="H827" s="465"/>
      <c r="I827" s="465"/>
    </row>
    <row r="828">
      <c r="A828" s="20"/>
      <c r="B828" s="20"/>
      <c r="C828" s="120" t="s">
        <v>27</v>
      </c>
      <c r="D828" s="121">
        <v>0.13</v>
      </c>
      <c r="E828" s="121">
        <v>714.0</v>
      </c>
      <c r="F828" s="121">
        <f>E828*D828</f>
        <v>92.82</v>
      </c>
      <c r="G828" s="120" t="s">
        <v>791</v>
      </c>
      <c r="H828" s="465"/>
      <c r="I828" s="465"/>
    </row>
    <row r="829">
      <c r="A829" s="124" t="s">
        <v>843</v>
      </c>
      <c r="B829" s="2"/>
      <c r="C829" s="2"/>
      <c r="D829" s="2"/>
      <c r="E829" s="2"/>
      <c r="F829" s="3"/>
      <c r="G829" s="125" t="s">
        <v>778</v>
      </c>
      <c r="H829" s="465"/>
      <c r="I829" s="465"/>
    </row>
    <row r="830">
      <c r="A830" s="127">
        <v>9999.0</v>
      </c>
      <c r="B830" s="126"/>
      <c r="C830" s="123" t="s">
        <v>1754</v>
      </c>
      <c r="D830" s="2"/>
      <c r="E830" s="3"/>
      <c r="F830" s="467"/>
      <c r="G830" s="3"/>
      <c r="H830" s="465"/>
      <c r="I830" s="465"/>
    </row>
    <row r="831">
      <c r="A831" s="20"/>
      <c r="B831" s="20"/>
      <c r="C831" s="120" t="s">
        <v>107</v>
      </c>
      <c r="D831" s="121">
        <v>22.53</v>
      </c>
      <c r="E831" s="121">
        <v>2.12</v>
      </c>
      <c r="F831" s="121">
        <f>E831*D831</f>
        <v>47.7636</v>
      </c>
      <c r="G831" s="120" t="s">
        <v>846</v>
      </c>
      <c r="H831" s="465"/>
      <c r="I831" s="465"/>
    </row>
    <row r="832">
      <c r="A832" s="127">
        <v>9999.0</v>
      </c>
      <c r="B832" s="126"/>
      <c r="C832" s="123" t="s">
        <v>1755</v>
      </c>
      <c r="D832" s="2"/>
      <c r="E832" s="3"/>
      <c r="F832" s="467"/>
      <c r="G832" s="3"/>
      <c r="H832" s="465"/>
      <c r="I832" s="465"/>
    </row>
    <row r="833">
      <c r="A833" s="20"/>
      <c r="B833" s="20"/>
      <c r="C833" s="120" t="s">
        <v>107</v>
      </c>
      <c r="D833" s="121">
        <v>10.27</v>
      </c>
      <c r="E833" s="121">
        <v>2.12</v>
      </c>
      <c r="F833" s="121">
        <f>E833*D833</f>
        <v>21.7724</v>
      </c>
      <c r="G833" s="120" t="s">
        <v>850</v>
      </c>
      <c r="H833" s="465"/>
      <c r="I833" s="465"/>
    </row>
    <row r="834">
      <c r="A834" s="127">
        <v>9999.0</v>
      </c>
      <c r="B834" s="126"/>
      <c r="C834" s="123" t="s">
        <v>2031</v>
      </c>
      <c r="D834" s="2"/>
      <c r="E834" s="3"/>
      <c r="F834" s="467"/>
      <c r="G834" s="3"/>
      <c r="H834" s="465"/>
      <c r="I834" s="465"/>
    </row>
    <row r="835">
      <c r="A835" s="20"/>
      <c r="B835" s="20"/>
      <c r="C835" s="120" t="s">
        <v>107</v>
      </c>
      <c r="D835" s="121">
        <v>30.98</v>
      </c>
      <c r="E835" s="121">
        <v>2.12</v>
      </c>
      <c r="F835" s="121">
        <f>E835*D835</f>
        <v>65.6776</v>
      </c>
      <c r="G835" s="120" t="s">
        <v>1757</v>
      </c>
      <c r="H835" s="465"/>
      <c r="I835" s="465"/>
    </row>
    <row r="836">
      <c r="A836" s="129" t="s">
        <v>42</v>
      </c>
      <c r="B836" s="2"/>
      <c r="C836" s="3"/>
      <c r="D836" s="121">
        <v>10.0</v>
      </c>
      <c r="E836" s="130" t="s">
        <v>22</v>
      </c>
      <c r="F836" s="121">
        <f>F824+F826+F828+F831+F833+F835</f>
        <v>878.8136</v>
      </c>
      <c r="G836" s="131"/>
      <c r="H836" s="465"/>
      <c r="I836" s="465"/>
    </row>
    <row r="837">
      <c r="A837" s="129" t="s">
        <v>800</v>
      </c>
      <c r="B837" s="2"/>
      <c r="C837" s="3"/>
      <c r="D837" s="121">
        <v>1.0</v>
      </c>
      <c r="E837" s="130" t="s">
        <v>22</v>
      </c>
      <c r="F837" s="121">
        <f>F836/D836</f>
        <v>87.88136</v>
      </c>
      <c r="G837" s="131"/>
      <c r="H837" s="465"/>
      <c r="I837" s="465"/>
    </row>
    <row r="838">
      <c r="A838" s="133" t="s">
        <v>802</v>
      </c>
      <c r="B838" s="2"/>
      <c r="C838" s="2"/>
      <c r="D838" s="3"/>
      <c r="E838" s="121"/>
      <c r="F838" s="121">
        <f>F837*1%</f>
        <v>0.8788136</v>
      </c>
      <c r="G838" s="131"/>
      <c r="H838" s="465"/>
      <c r="I838" s="465"/>
    </row>
    <row r="839">
      <c r="A839" s="133" t="s">
        <v>42</v>
      </c>
      <c r="B839" s="2"/>
      <c r="C839" s="2"/>
      <c r="D839" s="3"/>
      <c r="E839" s="131"/>
      <c r="F839" s="121">
        <f>F837+F838</f>
        <v>88.7601736</v>
      </c>
      <c r="G839" s="131"/>
      <c r="H839" s="465"/>
      <c r="I839" s="465"/>
    </row>
    <row r="840">
      <c r="A840" s="133" t="s">
        <v>806</v>
      </c>
      <c r="B840" s="2"/>
      <c r="C840" s="2"/>
      <c r="D840" s="3"/>
      <c r="E840" s="121"/>
      <c r="F840" s="121">
        <f>F839*15%</f>
        <v>13.31402604</v>
      </c>
      <c r="G840" s="131"/>
      <c r="H840" s="465"/>
      <c r="I840" s="465"/>
    </row>
    <row r="841">
      <c r="A841" s="133" t="s">
        <v>42</v>
      </c>
      <c r="B841" s="2"/>
      <c r="C841" s="2"/>
      <c r="D841" s="3"/>
      <c r="E841" s="131"/>
      <c r="F841" s="300">
        <f>round(F839+F840,2)</f>
        <v>102.07</v>
      </c>
      <c r="G841" s="131"/>
      <c r="H841" s="465"/>
      <c r="I841" s="465"/>
    </row>
    <row r="842">
      <c r="A842" s="471" t="str">
        <f>CONCATENATE("Say ₹ ",F821," + ",F841," x Cost Index")</f>
        <v>Say ₹ 157.33 + 102.07 x Cost Index</v>
      </c>
      <c r="B842" s="2"/>
      <c r="C842" s="2"/>
      <c r="D842" s="2"/>
      <c r="E842" s="2"/>
      <c r="F842" s="3"/>
      <c r="G842" s="472" t="s">
        <v>939</v>
      </c>
      <c r="H842" s="473">
        <f>F815*1.01*1.15/10</f>
        <v>157.325175</v>
      </c>
      <c r="I842" s="473">
        <f>(F824+F826+F828+F831+F833+F835)*1.01*1.15/10</f>
        <v>102.0741996</v>
      </c>
    </row>
    <row r="843">
      <c r="A843" s="111" t="s">
        <v>742</v>
      </c>
      <c r="B843" s="111" t="s">
        <v>745</v>
      </c>
      <c r="C843" s="112" t="s">
        <v>6</v>
      </c>
      <c r="D843" s="2"/>
      <c r="E843" s="3"/>
      <c r="F843" s="112" t="s">
        <v>746</v>
      </c>
      <c r="G843" s="3"/>
      <c r="H843" s="465"/>
      <c r="I843" s="465"/>
    </row>
    <row r="844">
      <c r="A844" s="20"/>
      <c r="B844" s="20"/>
      <c r="C844" s="115" t="s">
        <v>8</v>
      </c>
      <c r="D844" s="115" t="s">
        <v>9</v>
      </c>
      <c r="E844" s="115" t="s">
        <v>358</v>
      </c>
      <c r="F844" s="115" t="s">
        <v>11</v>
      </c>
      <c r="G844" s="115" t="s">
        <v>751</v>
      </c>
      <c r="H844" s="465"/>
      <c r="I844" s="465"/>
    </row>
    <row r="845">
      <c r="A845" s="466" t="s">
        <v>2244</v>
      </c>
      <c r="B845" s="2"/>
      <c r="C845" s="2"/>
      <c r="D845" s="2"/>
      <c r="E845" s="2"/>
      <c r="F845" s="2"/>
      <c r="G845" s="3"/>
      <c r="H845" s="465"/>
      <c r="I845" s="465"/>
    </row>
    <row r="846">
      <c r="A846" s="119"/>
      <c r="B846" s="120" t="s">
        <v>754</v>
      </c>
      <c r="C846" s="120" t="s">
        <v>22</v>
      </c>
      <c r="D846" s="120" t="s">
        <v>757</v>
      </c>
      <c r="E846" s="121">
        <v>10.0</v>
      </c>
      <c r="F846" s="467"/>
      <c r="G846" s="3"/>
      <c r="H846" s="465"/>
      <c r="I846" s="465"/>
    </row>
    <row r="847">
      <c r="A847" s="120" t="s">
        <v>761</v>
      </c>
      <c r="B847" s="123" t="s">
        <v>1994</v>
      </c>
      <c r="C847" s="2"/>
      <c r="D847" s="2"/>
      <c r="E847" s="2"/>
      <c r="F847" s="2"/>
      <c r="G847" s="3"/>
      <c r="H847" s="465"/>
      <c r="I847" s="465"/>
    </row>
    <row r="848">
      <c r="A848" s="124" t="s">
        <v>764</v>
      </c>
      <c r="B848" s="2"/>
      <c r="C848" s="2"/>
      <c r="D848" s="2"/>
      <c r="E848" s="2"/>
      <c r="F848" s="3"/>
      <c r="G848" s="125" t="s">
        <v>766</v>
      </c>
      <c r="H848" s="465"/>
      <c r="I848" s="465"/>
    </row>
    <row r="849">
      <c r="A849" s="126"/>
      <c r="B849" s="127" t="s">
        <v>1841</v>
      </c>
      <c r="C849" s="123" t="s">
        <v>2245</v>
      </c>
      <c r="D849" s="2"/>
      <c r="E849" s="3"/>
      <c r="F849" s="467"/>
      <c r="G849" s="3"/>
      <c r="H849" s="465"/>
      <c r="I849" s="465"/>
    </row>
    <row r="850">
      <c r="A850" s="20"/>
      <c r="B850" s="20"/>
      <c r="C850" s="120" t="s">
        <v>22</v>
      </c>
      <c r="D850" s="121">
        <v>10.5</v>
      </c>
      <c r="E850" s="121">
        <v>95.0</v>
      </c>
      <c r="F850" s="121">
        <f>E850*D850</f>
        <v>997.5</v>
      </c>
      <c r="G850" s="120" t="s">
        <v>772</v>
      </c>
      <c r="H850" s="465"/>
      <c r="I850" s="465"/>
    </row>
    <row r="851">
      <c r="A851" s="129" t="s">
        <v>42</v>
      </c>
      <c r="B851" s="2"/>
      <c r="C851" s="3"/>
      <c r="D851" s="121">
        <v>10.0</v>
      </c>
      <c r="E851" s="130" t="s">
        <v>22</v>
      </c>
      <c r="F851" s="121">
        <f>F850</f>
        <v>997.5</v>
      </c>
      <c r="G851" s="120"/>
      <c r="H851" s="465"/>
      <c r="I851" s="465"/>
    </row>
    <row r="852">
      <c r="A852" s="129" t="s">
        <v>800</v>
      </c>
      <c r="B852" s="2"/>
      <c r="C852" s="3"/>
      <c r="D852" s="121">
        <v>1.0</v>
      </c>
      <c r="E852" s="130" t="s">
        <v>22</v>
      </c>
      <c r="F852" s="121">
        <f>F851/D851</f>
        <v>99.75</v>
      </c>
      <c r="G852" s="120"/>
      <c r="H852" s="465"/>
      <c r="I852" s="465"/>
    </row>
    <row r="853">
      <c r="A853" s="133" t="s">
        <v>802</v>
      </c>
      <c r="B853" s="2"/>
      <c r="C853" s="2"/>
      <c r="D853" s="3"/>
      <c r="E853" s="121"/>
      <c r="F853" s="121">
        <f>F852*1%</f>
        <v>0.9975</v>
      </c>
      <c r="G853" s="120"/>
      <c r="H853" s="465"/>
      <c r="I853" s="465"/>
    </row>
    <row r="854">
      <c r="A854" s="133" t="s">
        <v>42</v>
      </c>
      <c r="B854" s="2"/>
      <c r="C854" s="2"/>
      <c r="D854" s="3"/>
      <c r="E854" s="131"/>
      <c r="F854" s="121">
        <f>F852+F853</f>
        <v>100.7475</v>
      </c>
      <c r="G854" s="120"/>
      <c r="H854" s="465"/>
      <c r="I854" s="465"/>
    </row>
    <row r="855">
      <c r="A855" s="133" t="s">
        <v>806</v>
      </c>
      <c r="B855" s="2"/>
      <c r="C855" s="2"/>
      <c r="D855" s="3"/>
      <c r="E855" s="121"/>
      <c r="F855" s="121">
        <f>F854*15%</f>
        <v>15.112125</v>
      </c>
      <c r="G855" s="120"/>
      <c r="H855" s="465"/>
      <c r="I855" s="465"/>
    </row>
    <row r="856">
      <c r="A856" s="133" t="s">
        <v>42</v>
      </c>
      <c r="B856" s="2"/>
      <c r="C856" s="2"/>
      <c r="D856" s="3"/>
      <c r="E856" s="131"/>
      <c r="F856" s="300">
        <f>round(F854+F855,2)</f>
        <v>115.86</v>
      </c>
      <c r="G856" s="120"/>
      <c r="H856" s="465"/>
      <c r="I856" s="465"/>
    </row>
    <row r="857">
      <c r="A857" s="124" t="s">
        <v>777</v>
      </c>
      <c r="B857" s="2"/>
      <c r="C857" s="2"/>
      <c r="D857" s="2"/>
      <c r="E857" s="2"/>
      <c r="F857" s="3"/>
      <c r="G857" s="125" t="s">
        <v>778</v>
      </c>
      <c r="H857" s="465"/>
      <c r="I857" s="465"/>
    </row>
    <row r="858">
      <c r="A858" s="127">
        <v>116.0</v>
      </c>
      <c r="B858" s="126"/>
      <c r="C858" s="123" t="s">
        <v>535</v>
      </c>
      <c r="D858" s="2"/>
      <c r="E858" s="3"/>
      <c r="F858" s="467"/>
      <c r="G858" s="3"/>
      <c r="H858" s="465"/>
      <c r="I858" s="465"/>
    </row>
    <row r="859">
      <c r="A859" s="20"/>
      <c r="B859" s="20"/>
      <c r="C859" s="120" t="s">
        <v>27</v>
      </c>
      <c r="D859" s="121">
        <v>0.32</v>
      </c>
      <c r="E859" s="121">
        <v>784.0</v>
      </c>
      <c r="F859" s="121">
        <f>E859*D859</f>
        <v>250.88</v>
      </c>
      <c r="G859" s="120" t="s">
        <v>780</v>
      </c>
      <c r="H859" s="465"/>
      <c r="I859" s="465"/>
    </row>
    <row r="860">
      <c r="A860" s="127">
        <v>114.0</v>
      </c>
      <c r="B860" s="126"/>
      <c r="C860" s="123" t="s">
        <v>97</v>
      </c>
      <c r="D860" s="2"/>
      <c r="E860" s="3"/>
      <c r="F860" s="467"/>
      <c r="G860" s="3"/>
      <c r="H860" s="465"/>
      <c r="I860" s="465"/>
    </row>
    <row r="861">
      <c r="A861" s="20"/>
      <c r="B861" s="20"/>
      <c r="C861" s="120" t="s">
        <v>27</v>
      </c>
      <c r="D861" s="121">
        <v>0.62</v>
      </c>
      <c r="E861" s="121">
        <v>645.0</v>
      </c>
      <c r="F861" s="121">
        <f>E861*D861</f>
        <v>399.9</v>
      </c>
      <c r="G861" s="120" t="s">
        <v>782</v>
      </c>
      <c r="H861" s="465"/>
      <c r="I861" s="465"/>
    </row>
    <row r="862">
      <c r="A862" s="127">
        <v>100.0</v>
      </c>
      <c r="B862" s="126"/>
      <c r="C862" s="123" t="s">
        <v>1753</v>
      </c>
      <c r="D862" s="2"/>
      <c r="E862" s="3"/>
      <c r="F862" s="467"/>
      <c r="G862" s="3"/>
      <c r="H862" s="465"/>
      <c r="I862" s="465"/>
    </row>
    <row r="863">
      <c r="A863" s="20"/>
      <c r="B863" s="20"/>
      <c r="C863" s="120" t="s">
        <v>27</v>
      </c>
      <c r="D863" s="121">
        <v>0.13</v>
      </c>
      <c r="E863" s="121">
        <v>714.0</v>
      </c>
      <c r="F863" s="121">
        <f>E863*D863</f>
        <v>92.82</v>
      </c>
      <c r="G863" s="120" t="s">
        <v>791</v>
      </c>
      <c r="H863" s="465"/>
      <c r="I863" s="465"/>
    </row>
    <row r="864">
      <c r="A864" s="124" t="s">
        <v>843</v>
      </c>
      <c r="B864" s="2"/>
      <c r="C864" s="2"/>
      <c r="D864" s="2"/>
      <c r="E864" s="2"/>
      <c r="F864" s="3"/>
      <c r="G864" s="125" t="s">
        <v>778</v>
      </c>
      <c r="H864" s="465"/>
      <c r="I864" s="465"/>
    </row>
    <row r="865">
      <c r="A865" s="127">
        <v>9999.0</v>
      </c>
      <c r="B865" s="126"/>
      <c r="C865" s="123" t="s">
        <v>2248</v>
      </c>
      <c r="D865" s="2"/>
      <c r="E865" s="3"/>
      <c r="F865" s="467"/>
      <c r="G865" s="3"/>
      <c r="H865" s="465"/>
      <c r="I865" s="465"/>
    </row>
    <row r="866">
      <c r="A866" s="20"/>
      <c r="B866" s="20"/>
      <c r="C866" s="120" t="s">
        <v>107</v>
      </c>
      <c r="D866" s="121">
        <v>22.53</v>
      </c>
      <c r="E866" s="121">
        <v>2.12</v>
      </c>
      <c r="F866" s="121">
        <f>E866*D866</f>
        <v>47.7636</v>
      </c>
      <c r="G866" s="120" t="s">
        <v>846</v>
      </c>
      <c r="H866" s="465"/>
      <c r="I866" s="465"/>
    </row>
    <row r="867">
      <c r="A867" s="127">
        <v>9999.0</v>
      </c>
      <c r="B867" s="126"/>
      <c r="C867" s="123" t="s">
        <v>2249</v>
      </c>
      <c r="D867" s="2"/>
      <c r="E867" s="3"/>
      <c r="F867" s="467"/>
      <c r="G867" s="3"/>
      <c r="H867" s="465"/>
      <c r="I867" s="465"/>
    </row>
    <row r="868">
      <c r="A868" s="20"/>
      <c r="B868" s="20"/>
      <c r="C868" s="120" t="s">
        <v>107</v>
      </c>
      <c r="D868" s="121">
        <v>10.27</v>
      </c>
      <c r="E868" s="121">
        <v>2.12</v>
      </c>
      <c r="F868" s="121">
        <f>E868*D868</f>
        <v>21.7724</v>
      </c>
      <c r="G868" s="120" t="s">
        <v>850</v>
      </c>
      <c r="H868" s="465"/>
      <c r="I868" s="465"/>
    </row>
    <row r="869">
      <c r="A869" s="127">
        <v>9999.0</v>
      </c>
      <c r="B869" s="126"/>
      <c r="C869" s="123" t="s">
        <v>1756</v>
      </c>
      <c r="D869" s="2"/>
      <c r="E869" s="3"/>
      <c r="F869" s="467"/>
      <c r="G869" s="3"/>
      <c r="H869" s="465"/>
      <c r="I869" s="465"/>
    </row>
    <row r="870">
      <c r="A870" s="20"/>
      <c r="B870" s="20"/>
      <c r="C870" s="120" t="s">
        <v>107</v>
      </c>
      <c r="D870" s="121">
        <v>30.98</v>
      </c>
      <c r="E870" s="121">
        <v>2.12</v>
      </c>
      <c r="F870" s="121">
        <f>E870*D870</f>
        <v>65.6776</v>
      </c>
      <c r="G870" s="120" t="s">
        <v>1757</v>
      </c>
      <c r="H870" s="465"/>
      <c r="I870" s="465"/>
    </row>
    <row r="871">
      <c r="A871" s="129" t="s">
        <v>42</v>
      </c>
      <c r="B871" s="2"/>
      <c r="C871" s="3"/>
      <c r="D871" s="121">
        <v>10.0</v>
      </c>
      <c r="E871" s="130" t="s">
        <v>22</v>
      </c>
      <c r="F871" s="121">
        <f>F859+F861+F863+F866+F868+F870</f>
        <v>878.8136</v>
      </c>
      <c r="G871" s="131"/>
      <c r="H871" s="465"/>
      <c r="I871" s="465"/>
    </row>
    <row r="872">
      <c r="A872" s="129" t="s">
        <v>800</v>
      </c>
      <c r="B872" s="2"/>
      <c r="C872" s="3"/>
      <c r="D872" s="121">
        <v>1.0</v>
      </c>
      <c r="E872" s="130" t="s">
        <v>22</v>
      </c>
      <c r="F872" s="121">
        <f>F871/D871</f>
        <v>87.88136</v>
      </c>
      <c r="G872" s="131"/>
      <c r="H872" s="465"/>
      <c r="I872" s="465"/>
    </row>
    <row r="873">
      <c r="A873" s="133" t="s">
        <v>802</v>
      </c>
      <c r="B873" s="2"/>
      <c r="C873" s="2"/>
      <c r="D873" s="3"/>
      <c r="E873" s="121"/>
      <c r="F873" s="121">
        <f>F872*1%</f>
        <v>0.8788136</v>
      </c>
      <c r="G873" s="131"/>
      <c r="H873" s="465"/>
      <c r="I873" s="465"/>
    </row>
    <row r="874">
      <c r="A874" s="133" t="s">
        <v>42</v>
      </c>
      <c r="B874" s="2"/>
      <c r="C874" s="2"/>
      <c r="D874" s="3"/>
      <c r="E874" s="131"/>
      <c r="F874" s="121">
        <f>F872+F873</f>
        <v>88.7601736</v>
      </c>
      <c r="G874" s="131"/>
      <c r="H874" s="465"/>
      <c r="I874" s="465"/>
    </row>
    <row r="875">
      <c r="A875" s="133" t="s">
        <v>806</v>
      </c>
      <c r="B875" s="2"/>
      <c r="C875" s="2"/>
      <c r="D875" s="3"/>
      <c r="E875" s="121"/>
      <c r="F875" s="121">
        <f>F874*15%</f>
        <v>13.31402604</v>
      </c>
      <c r="G875" s="131"/>
      <c r="H875" s="465"/>
      <c r="I875" s="465"/>
    </row>
    <row r="876">
      <c r="A876" s="133" t="s">
        <v>42</v>
      </c>
      <c r="B876" s="2"/>
      <c r="C876" s="2"/>
      <c r="D876" s="3"/>
      <c r="E876" s="131"/>
      <c r="F876" s="300">
        <f>round(F874+F875,2)</f>
        <v>102.07</v>
      </c>
      <c r="G876" s="131"/>
      <c r="H876" s="465"/>
      <c r="I876" s="465"/>
    </row>
    <row r="877">
      <c r="A877" s="471" t="str">
        <f>CONCATENATE("Say ₹ ",F856," + ",F876," x Cost Index")</f>
        <v>Say ₹ 115.86 + 102.07 x Cost Index</v>
      </c>
      <c r="B877" s="2"/>
      <c r="C877" s="2"/>
      <c r="D877" s="2"/>
      <c r="E877" s="2"/>
      <c r="F877" s="3"/>
      <c r="G877" s="472" t="s">
        <v>939</v>
      </c>
      <c r="H877" s="473">
        <f>F850*1.01*1.15/10</f>
        <v>115.859625</v>
      </c>
      <c r="I877" s="473">
        <f>(F859+F861+F863+F866+F868+F870)*1.01*1.15/10</f>
        <v>102.0741996</v>
      </c>
    </row>
    <row r="878">
      <c r="A878" s="111" t="s">
        <v>742</v>
      </c>
      <c r="B878" s="111" t="s">
        <v>745</v>
      </c>
      <c r="C878" s="112" t="s">
        <v>6</v>
      </c>
      <c r="D878" s="2"/>
      <c r="E878" s="3"/>
      <c r="F878" s="112" t="s">
        <v>746</v>
      </c>
      <c r="G878" s="3"/>
      <c r="H878" s="465"/>
      <c r="I878" s="465"/>
    </row>
    <row r="879">
      <c r="A879" s="20"/>
      <c r="B879" s="20"/>
      <c r="C879" s="115" t="s">
        <v>8</v>
      </c>
      <c r="D879" s="115" t="s">
        <v>9</v>
      </c>
      <c r="E879" s="115" t="s">
        <v>358</v>
      </c>
      <c r="F879" s="115" t="s">
        <v>11</v>
      </c>
      <c r="G879" s="115" t="s">
        <v>751</v>
      </c>
      <c r="H879" s="465"/>
      <c r="I879" s="465"/>
    </row>
    <row r="880">
      <c r="A880" s="466" t="s">
        <v>2273</v>
      </c>
      <c r="B880" s="2"/>
      <c r="C880" s="2"/>
      <c r="D880" s="2"/>
      <c r="E880" s="2"/>
      <c r="F880" s="2"/>
      <c r="G880" s="3"/>
      <c r="H880" s="465"/>
      <c r="I880" s="465"/>
    </row>
    <row r="881">
      <c r="A881" s="119"/>
      <c r="B881" s="120" t="s">
        <v>754</v>
      </c>
      <c r="C881" s="120" t="s">
        <v>22</v>
      </c>
      <c r="D881" s="120" t="s">
        <v>757</v>
      </c>
      <c r="E881" s="121">
        <v>10.0</v>
      </c>
      <c r="F881" s="467"/>
      <c r="G881" s="3"/>
      <c r="H881" s="465"/>
      <c r="I881" s="465"/>
    </row>
    <row r="882">
      <c r="A882" s="120" t="s">
        <v>761</v>
      </c>
      <c r="B882" s="123" t="s">
        <v>1745</v>
      </c>
      <c r="C882" s="2"/>
      <c r="D882" s="2"/>
      <c r="E882" s="2"/>
      <c r="F882" s="2"/>
      <c r="G882" s="3"/>
      <c r="H882" s="465"/>
      <c r="I882" s="465"/>
    </row>
    <row r="883">
      <c r="A883" s="124" t="s">
        <v>764</v>
      </c>
      <c r="B883" s="2"/>
      <c r="C883" s="2"/>
      <c r="D883" s="2"/>
      <c r="E883" s="2"/>
      <c r="F883" s="3"/>
      <c r="G883" s="125" t="s">
        <v>766</v>
      </c>
      <c r="H883" s="465"/>
      <c r="I883" s="465"/>
    </row>
    <row r="884">
      <c r="A884" s="126"/>
      <c r="B884" s="127" t="s">
        <v>1844</v>
      </c>
      <c r="C884" s="123" t="s">
        <v>2290</v>
      </c>
      <c r="D884" s="2"/>
      <c r="E884" s="3"/>
      <c r="F884" s="467"/>
      <c r="G884" s="3"/>
      <c r="H884" s="465"/>
      <c r="I884" s="465"/>
    </row>
    <row r="885">
      <c r="A885" s="20"/>
      <c r="B885" s="20"/>
      <c r="C885" s="120" t="s">
        <v>22</v>
      </c>
      <c r="D885" s="121">
        <v>10.5</v>
      </c>
      <c r="E885" s="121">
        <v>211.0</v>
      </c>
      <c r="F885" s="121">
        <f>E885*D885</f>
        <v>2215.5</v>
      </c>
      <c r="G885" s="120" t="s">
        <v>772</v>
      </c>
      <c r="H885" s="465"/>
      <c r="I885" s="465"/>
    </row>
    <row r="886">
      <c r="A886" s="129" t="s">
        <v>42</v>
      </c>
      <c r="B886" s="2"/>
      <c r="C886" s="3"/>
      <c r="D886" s="121">
        <v>10.0</v>
      </c>
      <c r="E886" s="130" t="s">
        <v>22</v>
      </c>
      <c r="F886" s="121">
        <f>F885</f>
        <v>2215.5</v>
      </c>
      <c r="G886" s="120"/>
      <c r="H886" s="465"/>
      <c r="I886" s="465"/>
    </row>
    <row r="887">
      <c r="A887" s="129" t="s">
        <v>800</v>
      </c>
      <c r="B887" s="2"/>
      <c r="C887" s="3"/>
      <c r="D887" s="121">
        <v>1.0</v>
      </c>
      <c r="E887" s="130" t="s">
        <v>22</v>
      </c>
      <c r="F887" s="121">
        <f>F886/D886</f>
        <v>221.55</v>
      </c>
      <c r="G887" s="120"/>
      <c r="H887" s="465"/>
      <c r="I887" s="465"/>
    </row>
    <row r="888">
      <c r="A888" s="133" t="s">
        <v>802</v>
      </c>
      <c r="B888" s="2"/>
      <c r="C888" s="2"/>
      <c r="D888" s="3"/>
      <c r="E888" s="121"/>
      <c r="F888" s="121">
        <f>F887*1%</f>
        <v>2.2155</v>
      </c>
      <c r="G888" s="120"/>
      <c r="H888" s="465"/>
      <c r="I888" s="465"/>
    </row>
    <row r="889">
      <c r="A889" s="133" t="s">
        <v>42</v>
      </c>
      <c r="B889" s="2"/>
      <c r="C889" s="2"/>
      <c r="D889" s="3"/>
      <c r="E889" s="131"/>
      <c r="F889" s="121">
        <f>F887+F888</f>
        <v>223.7655</v>
      </c>
      <c r="G889" s="120"/>
      <c r="H889" s="465"/>
      <c r="I889" s="465"/>
    </row>
    <row r="890">
      <c r="A890" s="133" t="s">
        <v>806</v>
      </c>
      <c r="B890" s="2"/>
      <c r="C890" s="2"/>
      <c r="D890" s="3"/>
      <c r="E890" s="121"/>
      <c r="F890" s="121">
        <f>F889*15%</f>
        <v>33.564825</v>
      </c>
      <c r="G890" s="120"/>
      <c r="H890" s="465"/>
      <c r="I890" s="465"/>
    </row>
    <row r="891">
      <c r="A891" s="133" t="s">
        <v>42</v>
      </c>
      <c r="B891" s="2"/>
      <c r="C891" s="2"/>
      <c r="D891" s="3"/>
      <c r="E891" s="131"/>
      <c r="F891" s="300">
        <f>round(F889+F890,2)</f>
        <v>257.33</v>
      </c>
      <c r="G891" s="120"/>
      <c r="H891" s="465"/>
      <c r="I891" s="465"/>
    </row>
    <row r="892">
      <c r="A892" s="124" t="s">
        <v>777</v>
      </c>
      <c r="B892" s="2"/>
      <c r="C892" s="2"/>
      <c r="D892" s="2"/>
      <c r="E892" s="2"/>
      <c r="F892" s="3"/>
      <c r="G892" s="125" t="s">
        <v>778</v>
      </c>
      <c r="H892" s="465"/>
      <c r="I892" s="465"/>
    </row>
    <row r="893">
      <c r="A893" s="127">
        <v>116.0</v>
      </c>
      <c r="B893" s="126"/>
      <c r="C893" s="123" t="s">
        <v>535</v>
      </c>
      <c r="D893" s="2"/>
      <c r="E893" s="3"/>
      <c r="F893" s="467"/>
      <c r="G893" s="3"/>
      <c r="H893" s="465"/>
      <c r="I893" s="465"/>
    </row>
    <row r="894">
      <c r="A894" s="20"/>
      <c r="B894" s="20"/>
      <c r="C894" s="120" t="s">
        <v>27</v>
      </c>
      <c r="D894" s="121">
        <v>0.32</v>
      </c>
      <c r="E894" s="121">
        <v>784.0</v>
      </c>
      <c r="F894" s="121">
        <f>E894*D894</f>
        <v>250.88</v>
      </c>
      <c r="G894" s="120" t="s">
        <v>780</v>
      </c>
      <c r="H894" s="465"/>
      <c r="I894" s="465"/>
    </row>
    <row r="895">
      <c r="A895" s="127">
        <v>114.0</v>
      </c>
      <c r="B895" s="126"/>
      <c r="C895" s="123" t="s">
        <v>97</v>
      </c>
      <c r="D895" s="2"/>
      <c r="E895" s="3"/>
      <c r="F895" s="467"/>
      <c r="G895" s="3"/>
      <c r="H895" s="465"/>
      <c r="I895" s="465"/>
    </row>
    <row r="896">
      <c r="A896" s="20"/>
      <c r="B896" s="20"/>
      <c r="C896" s="120" t="s">
        <v>27</v>
      </c>
      <c r="D896" s="121">
        <v>0.62</v>
      </c>
      <c r="E896" s="121">
        <v>645.0</v>
      </c>
      <c r="F896" s="121">
        <f>E896*D896</f>
        <v>399.9</v>
      </c>
      <c r="G896" s="120" t="s">
        <v>782</v>
      </c>
      <c r="H896" s="465"/>
      <c r="I896" s="465"/>
    </row>
    <row r="897">
      <c r="A897" s="127">
        <v>100.0</v>
      </c>
      <c r="B897" s="126"/>
      <c r="C897" s="123" t="s">
        <v>1753</v>
      </c>
      <c r="D897" s="2"/>
      <c r="E897" s="3"/>
      <c r="F897" s="467"/>
      <c r="G897" s="3"/>
      <c r="H897" s="465"/>
      <c r="I897" s="465"/>
    </row>
    <row r="898">
      <c r="A898" s="20"/>
      <c r="B898" s="20"/>
      <c r="C898" s="120" t="s">
        <v>27</v>
      </c>
      <c r="D898" s="121">
        <v>0.13</v>
      </c>
      <c r="E898" s="121">
        <v>714.0</v>
      </c>
      <c r="F898" s="121">
        <f>E898*D898</f>
        <v>92.82</v>
      </c>
      <c r="G898" s="120" t="s">
        <v>791</v>
      </c>
      <c r="H898" s="465"/>
      <c r="I898" s="465"/>
    </row>
    <row r="899">
      <c r="A899" s="124" t="s">
        <v>843</v>
      </c>
      <c r="B899" s="2"/>
      <c r="C899" s="2"/>
      <c r="D899" s="2"/>
      <c r="E899" s="2"/>
      <c r="F899" s="3"/>
      <c r="G899" s="125" t="s">
        <v>778</v>
      </c>
      <c r="H899" s="465"/>
      <c r="I899" s="465"/>
    </row>
    <row r="900">
      <c r="A900" s="127">
        <v>9999.0</v>
      </c>
      <c r="B900" s="126"/>
      <c r="C900" s="123" t="s">
        <v>1754</v>
      </c>
      <c r="D900" s="2"/>
      <c r="E900" s="3"/>
      <c r="F900" s="467"/>
      <c r="G900" s="3"/>
      <c r="H900" s="465"/>
      <c r="I900" s="465"/>
    </row>
    <row r="901">
      <c r="A901" s="20"/>
      <c r="B901" s="20"/>
      <c r="C901" s="120" t="s">
        <v>107</v>
      </c>
      <c r="D901" s="121">
        <v>22.53</v>
      </c>
      <c r="E901" s="121">
        <v>2.12</v>
      </c>
      <c r="F901" s="121">
        <f>E901*D901</f>
        <v>47.7636</v>
      </c>
      <c r="G901" s="120" t="s">
        <v>846</v>
      </c>
      <c r="H901" s="465"/>
      <c r="I901" s="465"/>
    </row>
    <row r="902">
      <c r="A902" s="127">
        <v>9999.0</v>
      </c>
      <c r="B902" s="126"/>
      <c r="C902" s="123" t="s">
        <v>1755</v>
      </c>
      <c r="D902" s="2"/>
      <c r="E902" s="3"/>
      <c r="F902" s="467"/>
      <c r="G902" s="3"/>
      <c r="H902" s="465"/>
      <c r="I902" s="465"/>
    </row>
    <row r="903">
      <c r="A903" s="20"/>
      <c r="B903" s="20"/>
      <c r="C903" s="120" t="s">
        <v>107</v>
      </c>
      <c r="D903" s="121">
        <v>10.27</v>
      </c>
      <c r="E903" s="121">
        <v>2.12</v>
      </c>
      <c r="F903" s="121">
        <f>E903*D903</f>
        <v>21.7724</v>
      </c>
      <c r="G903" s="120" t="s">
        <v>850</v>
      </c>
      <c r="H903" s="465"/>
      <c r="I903" s="465"/>
    </row>
    <row r="904">
      <c r="A904" s="127">
        <v>9999.0</v>
      </c>
      <c r="B904" s="126"/>
      <c r="C904" s="123" t="s">
        <v>1756</v>
      </c>
      <c r="D904" s="2"/>
      <c r="E904" s="3"/>
      <c r="F904" s="467"/>
      <c r="G904" s="3"/>
      <c r="H904" s="465"/>
      <c r="I904" s="465"/>
    </row>
    <row r="905">
      <c r="A905" s="20"/>
      <c r="B905" s="20"/>
      <c r="C905" s="120" t="s">
        <v>107</v>
      </c>
      <c r="D905" s="121">
        <v>30.98</v>
      </c>
      <c r="E905" s="121">
        <v>2.12</v>
      </c>
      <c r="F905" s="121">
        <f>E905*D905</f>
        <v>65.6776</v>
      </c>
      <c r="G905" s="120" t="s">
        <v>1757</v>
      </c>
      <c r="H905" s="465"/>
      <c r="I905" s="465"/>
    </row>
    <row r="906">
      <c r="A906" s="129" t="s">
        <v>42</v>
      </c>
      <c r="B906" s="2"/>
      <c r="C906" s="3"/>
      <c r="D906" s="121">
        <v>10.0</v>
      </c>
      <c r="E906" s="130" t="s">
        <v>22</v>
      </c>
      <c r="F906" s="121">
        <f>F894+F896+F898+F901+F903+F905</f>
        <v>878.8136</v>
      </c>
      <c r="G906" s="131"/>
      <c r="H906" s="465"/>
      <c r="I906" s="465"/>
    </row>
    <row r="907">
      <c r="A907" s="129" t="s">
        <v>800</v>
      </c>
      <c r="B907" s="2"/>
      <c r="C907" s="3"/>
      <c r="D907" s="121">
        <v>1.0</v>
      </c>
      <c r="E907" s="130" t="s">
        <v>22</v>
      </c>
      <c r="F907" s="121">
        <f>F906/D906</f>
        <v>87.88136</v>
      </c>
      <c r="G907" s="131"/>
      <c r="H907" s="465"/>
      <c r="I907" s="465"/>
    </row>
    <row r="908">
      <c r="A908" s="133" t="s">
        <v>802</v>
      </c>
      <c r="B908" s="2"/>
      <c r="C908" s="2"/>
      <c r="D908" s="3"/>
      <c r="E908" s="121"/>
      <c r="F908" s="121">
        <f>F907*1%</f>
        <v>0.8788136</v>
      </c>
      <c r="G908" s="131"/>
      <c r="H908" s="465"/>
      <c r="I908" s="465"/>
    </row>
    <row r="909">
      <c r="A909" s="133" t="s">
        <v>42</v>
      </c>
      <c r="B909" s="2"/>
      <c r="C909" s="2"/>
      <c r="D909" s="3"/>
      <c r="E909" s="131"/>
      <c r="F909" s="121">
        <f>F907+F908</f>
        <v>88.7601736</v>
      </c>
      <c r="G909" s="131"/>
      <c r="H909" s="465"/>
      <c r="I909" s="465"/>
    </row>
    <row r="910">
      <c r="A910" s="133" t="s">
        <v>806</v>
      </c>
      <c r="B910" s="2"/>
      <c r="C910" s="2"/>
      <c r="D910" s="3"/>
      <c r="E910" s="121"/>
      <c r="F910" s="121">
        <f>F909*15%</f>
        <v>13.31402604</v>
      </c>
      <c r="G910" s="131"/>
      <c r="H910" s="465"/>
      <c r="I910" s="465"/>
    </row>
    <row r="911">
      <c r="A911" s="133" t="s">
        <v>42</v>
      </c>
      <c r="B911" s="2"/>
      <c r="C911" s="2"/>
      <c r="D911" s="3"/>
      <c r="E911" s="131"/>
      <c r="F911" s="300">
        <f>round(F909+F910,2)</f>
        <v>102.07</v>
      </c>
      <c r="G911" s="131"/>
      <c r="H911" s="465"/>
      <c r="I911" s="465"/>
    </row>
    <row r="912">
      <c r="A912" s="471" t="str">
        <f>CONCATENATE("Say ₹ ",F891," + ",F911," x Cost Index")</f>
        <v>Say ₹ 257.33 + 102.07 x Cost Index</v>
      </c>
      <c r="B912" s="2"/>
      <c r="C912" s="2"/>
      <c r="D912" s="2"/>
      <c r="E912" s="2"/>
      <c r="F912" s="3"/>
      <c r="G912" s="472" t="s">
        <v>939</v>
      </c>
      <c r="H912" s="473">
        <f>F885*1.01*1.15/10</f>
        <v>257.330325</v>
      </c>
      <c r="I912" s="473">
        <f>(F894+F896+F898+F901+F903+F905)*1.01*1.15/10</f>
        <v>102.0741996</v>
      </c>
    </row>
    <row r="913">
      <c r="A913" s="111" t="s">
        <v>742</v>
      </c>
      <c r="B913" s="111" t="s">
        <v>745</v>
      </c>
      <c r="C913" s="112" t="s">
        <v>6</v>
      </c>
      <c r="D913" s="2"/>
      <c r="E913" s="3"/>
      <c r="F913" s="112" t="s">
        <v>746</v>
      </c>
      <c r="G913" s="3"/>
      <c r="H913" s="465"/>
      <c r="I913" s="465"/>
    </row>
    <row r="914">
      <c r="A914" s="20"/>
      <c r="B914" s="20"/>
      <c r="C914" s="115" t="s">
        <v>8</v>
      </c>
      <c r="D914" s="115" t="s">
        <v>9</v>
      </c>
      <c r="E914" s="115" t="s">
        <v>358</v>
      </c>
      <c r="F914" s="115" t="s">
        <v>11</v>
      </c>
      <c r="G914" s="115" t="s">
        <v>751</v>
      </c>
      <c r="H914" s="465"/>
      <c r="I914" s="465"/>
    </row>
    <row r="915">
      <c r="A915" s="466" t="s">
        <v>2416</v>
      </c>
      <c r="B915" s="2"/>
      <c r="C915" s="2"/>
      <c r="D915" s="2"/>
      <c r="E915" s="2"/>
      <c r="F915" s="2"/>
      <c r="G915" s="3"/>
      <c r="H915" s="465"/>
      <c r="I915" s="465"/>
    </row>
    <row r="916">
      <c r="A916" s="119"/>
      <c r="B916" s="120" t="s">
        <v>754</v>
      </c>
      <c r="C916" s="120" t="s">
        <v>22</v>
      </c>
      <c r="D916" s="120" t="s">
        <v>757</v>
      </c>
      <c r="E916" s="121">
        <v>10.0</v>
      </c>
      <c r="F916" s="467"/>
      <c r="G916" s="3"/>
      <c r="H916" s="465"/>
      <c r="I916" s="465"/>
    </row>
    <row r="917">
      <c r="A917" s="120" t="s">
        <v>761</v>
      </c>
      <c r="B917" s="123" t="s">
        <v>1994</v>
      </c>
      <c r="C917" s="2"/>
      <c r="D917" s="2"/>
      <c r="E917" s="2"/>
      <c r="F917" s="2"/>
      <c r="G917" s="3"/>
      <c r="H917" s="465"/>
      <c r="I917" s="465"/>
    </row>
    <row r="918">
      <c r="A918" s="124" t="s">
        <v>764</v>
      </c>
      <c r="B918" s="2"/>
      <c r="C918" s="2"/>
      <c r="D918" s="2"/>
      <c r="E918" s="2"/>
      <c r="F918" s="3"/>
      <c r="G918" s="125" t="s">
        <v>766</v>
      </c>
      <c r="H918" s="465"/>
      <c r="I918" s="465"/>
    </row>
    <row r="919">
      <c r="A919" s="126"/>
      <c r="B919" s="127" t="s">
        <v>812</v>
      </c>
      <c r="C919" s="123" t="s">
        <v>2432</v>
      </c>
      <c r="D919" s="2"/>
      <c r="E919" s="3"/>
      <c r="F919" s="467"/>
      <c r="G919" s="3"/>
      <c r="H919" s="465"/>
      <c r="I919" s="465"/>
    </row>
    <row r="920">
      <c r="A920" s="20"/>
      <c r="B920" s="20"/>
      <c r="C920" s="120" t="s">
        <v>22</v>
      </c>
      <c r="D920" s="121">
        <v>10.5</v>
      </c>
      <c r="E920" s="121">
        <v>170.0</v>
      </c>
      <c r="F920" s="121">
        <f>E920*D920</f>
        <v>1785</v>
      </c>
      <c r="G920" s="120" t="s">
        <v>772</v>
      </c>
      <c r="H920" s="465"/>
      <c r="I920" s="465"/>
    </row>
    <row r="921">
      <c r="A921" s="129" t="s">
        <v>42</v>
      </c>
      <c r="B921" s="2"/>
      <c r="C921" s="3"/>
      <c r="D921" s="121">
        <v>10.0</v>
      </c>
      <c r="E921" s="130" t="s">
        <v>22</v>
      </c>
      <c r="F921" s="121">
        <f>F920</f>
        <v>1785</v>
      </c>
      <c r="G921" s="120"/>
      <c r="H921" s="465"/>
      <c r="I921" s="465"/>
    </row>
    <row r="922">
      <c r="A922" s="129" t="s">
        <v>800</v>
      </c>
      <c r="B922" s="2"/>
      <c r="C922" s="3"/>
      <c r="D922" s="121">
        <v>1.0</v>
      </c>
      <c r="E922" s="130" t="s">
        <v>22</v>
      </c>
      <c r="F922" s="121">
        <f>F921/D921</f>
        <v>178.5</v>
      </c>
      <c r="G922" s="120"/>
      <c r="H922" s="465"/>
      <c r="I922" s="465"/>
    </row>
    <row r="923">
      <c r="A923" s="133" t="s">
        <v>802</v>
      </c>
      <c r="B923" s="2"/>
      <c r="C923" s="2"/>
      <c r="D923" s="3"/>
      <c r="E923" s="121"/>
      <c r="F923" s="121">
        <f>F922*1%</f>
        <v>1.785</v>
      </c>
      <c r="G923" s="120"/>
      <c r="H923" s="465"/>
      <c r="I923" s="465"/>
    </row>
    <row r="924">
      <c r="A924" s="133" t="s">
        <v>42</v>
      </c>
      <c r="B924" s="2"/>
      <c r="C924" s="2"/>
      <c r="D924" s="3"/>
      <c r="E924" s="131"/>
      <c r="F924" s="121">
        <f>F922+F923</f>
        <v>180.285</v>
      </c>
      <c r="G924" s="120"/>
      <c r="H924" s="465"/>
      <c r="I924" s="465"/>
    </row>
    <row r="925">
      <c r="A925" s="133" t="s">
        <v>806</v>
      </c>
      <c r="B925" s="2"/>
      <c r="C925" s="2"/>
      <c r="D925" s="3"/>
      <c r="E925" s="121"/>
      <c r="F925" s="121">
        <f>F924*15%</f>
        <v>27.04275</v>
      </c>
      <c r="G925" s="120"/>
      <c r="H925" s="465"/>
      <c r="I925" s="465"/>
    </row>
    <row r="926">
      <c r="A926" s="133" t="s">
        <v>42</v>
      </c>
      <c r="B926" s="2"/>
      <c r="C926" s="2"/>
      <c r="D926" s="3"/>
      <c r="E926" s="131"/>
      <c r="F926" s="300">
        <f>round(F924+F925,2)</f>
        <v>207.33</v>
      </c>
      <c r="G926" s="120"/>
      <c r="H926" s="465"/>
      <c r="I926" s="465"/>
    </row>
    <row r="927">
      <c r="A927" s="124" t="s">
        <v>777</v>
      </c>
      <c r="B927" s="2"/>
      <c r="C927" s="2"/>
      <c r="D927" s="2"/>
      <c r="E927" s="2"/>
      <c r="F927" s="3"/>
      <c r="G927" s="125" t="s">
        <v>778</v>
      </c>
      <c r="H927" s="465"/>
      <c r="I927" s="465"/>
    </row>
    <row r="928">
      <c r="A928" s="127">
        <v>116.0</v>
      </c>
      <c r="B928" s="126"/>
      <c r="C928" s="123" t="s">
        <v>535</v>
      </c>
      <c r="D928" s="2"/>
      <c r="E928" s="3"/>
      <c r="F928" s="467"/>
      <c r="G928" s="3"/>
      <c r="H928" s="465"/>
      <c r="I928" s="465"/>
    </row>
    <row r="929">
      <c r="A929" s="20"/>
      <c r="B929" s="20"/>
      <c r="C929" s="120" t="s">
        <v>27</v>
      </c>
      <c r="D929" s="121">
        <v>0.32</v>
      </c>
      <c r="E929" s="121">
        <v>784.0</v>
      </c>
      <c r="F929" s="121">
        <f>E929*D929</f>
        <v>250.88</v>
      </c>
      <c r="G929" s="120" t="s">
        <v>780</v>
      </c>
      <c r="H929" s="465"/>
      <c r="I929" s="465"/>
    </row>
    <row r="930">
      <c r="A930" s="127">
        <v>114.0</v>
      </c>
      <c r="B930" s="126"/>
      <c r="C930" s="123" t="s">
        <v>97</v>
      </c>
      <c r="D930" s="2"/>
      <c r="E930" s="3"/>
      <c r="F930" s="467"/>
      <c r="G930" s="3"/>
      <c r="H930" s="465"/>
      <c r="I930" s="465"/>
    </row>
    <row r="931">
      <c r="A931" s="20"/>
      <c r="B931" s="20"/>
      <c r="C931" s="120" t="s">
        <v>27</v>
      </c>
      <c r="D931" s="121">
        <v>0.62</v>
      </c>
      <c r="E931" s="121">
        <v>645.0</v>
      </c>
      <c r="F931" s="121">
        <f>E931*D931</f>
        <v>399.9</v>
      </c>
      <c r="G931" s="120" t="s">
        <v>782</v>
      </c>
      <c r="H931" s="465"/>
      <c r="I931" s="465"/>
    </row>
    <row r="932">
      <c r="A932" s="127">
        <v>100.0</v>
      </c>
      <c r="B932" s="126"/>
      <c r="C932" s="123" t="s">
        <v>1753</v>
      </c>
      <c r="D932" s="2"/>
      <c r="E932" s="3"/>
      <c r="F932" s="467"/>
      <c r="G932" s="3"/>
      <c r="H932" s="465"/>
      <c r="I932" s="465"/>
    </row>
    <row r="933">
      <c r="A933" s="20"/>
      <c r="B933" s="20"/>
      <c r="C933" s="120" t="s">
        <v>27</v>
      </c>
      <c r="D933" s="121">
        <v>0.13</v>
      </c>
      <c r="E933" s="121">
        <v>714.0</v>
      </c>
      <c r="F933" s="121">
        <f>E933*D933</f>
        <v>92.82</v>
      </c>
      <c r="G933" s="120" t="s">
        <v>791</v>
      </c>
      <c r="H933" s="465"/>
      <c r="I933" s="465"/>
    </row>
    <row r="934">
      <c r="A934" s="124" t="s">
        <v>843</v>
      </c>
      <c r="B934" s="2"/>
      <c r="C934" s="2"/>
      <c r="D934" s="2"/>
      <c r="E934" s="2"/>
      <c r="F934" s="3"/>
      <c r="G934" s="125" t="s">
        <v>778</v>
      </c>
      <c r="H934" s="465"/>
      <c r="I934" s="465"/>
    </row>
    <row r="935">
      <c r="A935" s="127">
        <v>9999.0</v>
      </c>
      <c r="B935" s="126"/>
      <c r="C935" s="123" t="s">
        <v>1754</v>
      </c>
      <c r="D935" s="2"/>
      <c r="E935" s="3"/>
      <c r="F935" s="467"/>
      <c r="G935" s="3"/>
      <c r="H935" s="465"/>
      <c r="I935" s="465"/>
    </row>
    <row r="936">
      <c r="A936" s="20"/>
      <c r="B936" s="20"/>
      <c r="C936" s="120" t="s">
        <v>107</v>
      </c>
      <c r="D936" s="121">
        <v>22.53</v>
      </c>
      <c r="E936" s="121">
        <v>2.12</v>
      </c>
      <c r="F936" s="121">
        <f>E936*D936</f>
        <v>47.7636</v>
      </c>
      <c r="G936" s="120" t="s">
        <v>846</v>
      </c>
      <c r="H936" s="465"/>
      <c r="I936" s="465"/>
    </row>
    <row r="937">
      <c r="A937" s="127">
        <v>9999.0</v>
      </c>
      <c r="B937" s="126"/>
      <c r="C937" s="123" t="s">
        <v>1626</v>
      </c>
      <c r="D937" s="2"/>
      <c r="E937" s="3"/>
      <c r="F937" s="467"/>
      <c r="G937" s="3"/>
      <c r="H937" s="465"/>
      <c r="I937" s="465"/>
    </row>
    <row r="938">
      <c r="A938" s="20"/>
      <c r="B938" s="20"/>
      <c r="C938" s="120" t="s">
        <v>107</v>
      </c>
      <c r="D938" s="121">
        <v>10.27</v>
      </c>
      <c r="E938" s="121">
        <v>2.12</v>
      </c>
      <c r="F938" s="121">
        <f>E938*D938</f>
        <v>21.7724</v>
      </c>
      <c r="G938" s="120" t="s">
        <v>850</v>
      </c>
      <c r="H938" s="465"/>
      <c r="I938" s="465"/>
    </row>
    <row r="939">
      <c r="A939" s="127">
        <v>9999.0</v>
      </c>
      <c r="B939" s="126"/>
      <c r="C939" s="123" t="s">
        <v>1756</v>
      </c>
      <c r="D939" s="2"/>
      <c r="E939" s="3"/>
      <c r="F939" s="467"/>
      <c r="G939" s="3"/>
      <c r="H939" s="465"/>
      <c r="I939" s="465"/>
    </row>
    <row r="940">
      <c r="A940" s="20"/>
      <c r="B940" s="20"/>
      <c r="C940" s="120" t="s">
        <v>107</v>
      </c>
      <c r="D940" s="121">
        <v>30.98</v>
      </c>
      <c r="E940" s="121">
        <v>2.12</v>
      </c>
      <c r="F940" s="121">
        <f>E940*D940</f>
        <v>65.6776</v>
      </c>
      <c r="G940" s="120" t="s">
        <v>1757</v>
      </c>
      <c r="H940" s="465"/>
      <c r="I940" s="465"/>
    </row>
    <row r="941">
      <c r="A941" s="129" t="s">
        <v>42</v>
      </c>
      <c r="B941" s="2"/>
      <c r="C941" s="3"/>
      <c r="D941" s="121">
        <v>10.0</v>
      </c>
      <c r="E941" s="130" t="s">
        <v>22</v>
      </c>
      <c r="F941" s="121">
        <f>F929+F931+F933+F936+F938+F940</f>
        <v>878.8136</v>
      </c>
      <c r="G941" s="131"/>
      <c r="H941" s="465"/>
      <c r="I941" s="465"/>
    </row>
    <row r="942">
      <c r="A942" s="129" t="s">
        <v>800</v>
      </c>
      <c r="B942" s="2"/>
      <c r="C942" s="3"/>
      <c r="D942" s="121">
        <v>1.0</v>
      </c>
      <c r="E942" s="130" t="s">
        <v>22</v>
      </c>
      <c r="F942" s="121">
        <f>F941/D941</f>
        <v>87.88136</v>
      </c>
      <c r="G942" s="131"/>
      <c r="H942" s="465"/>
      <c r="I942" s="465"/>
    </row>
    <row r="943">
      <c r="A943" s="133" t="s">
        <v>802</v>
      </c>
      <c r="B943" s="2"/>
      <c r="C943" s="2"/>
      <c r="D943" s="3"/>
      <c r="E943" s="121"/>
      <c r="F943" s="121">
        <f>F942*1%</f>
        <v>0.8788136</v>
      </c>
      <c r="G943" s="131"/>
      <c r="H943" s="465"/>
      <c r="I943" s="465"/>
    </row>
    <row r="944">
      <c r="A944" s="133" t="s">
        <v>42</v>
      </c>
      <c r="B944" s="2"/>
      <c r="C944" s="2"/>
      <c r="D944" s="3"/>
      <c r="E944" s="131"/>
      <c r="F944" s="121">
        <f>F942+F943</f>
        <v>88.7601736</v>
      </c>
      <c r="G944" s="131"/>
      <c r="H944" s="465"/>
      <c r="I944" s="465"/>
    </row>
    <row r="945">
      <c r="A945" s="133" t="s">
        <v>806</v>
      </c>
      <c r="B945" s="2"/>
      <c r="C945" s="2"/>
      <c r="D945" s="3"/>
      <c r="E945" s="121"/>
      <c r="F945" s="121">
        <f>F944*15%</f>
        <v>13.31402604</v>
      </c>
      <c r="G945" s="131"/>
      <c r="H945" s="465"/>
      <c r="I945" s="465"/>
    </row>
    <row r="946">
      <c r="A946" s="133" t="s">
        <v>42</v>
      </c>
      <c r="B946" s="2"/>
      <c r="C946" s="2"/>
      <c r="D946" s="3"/>
      <c r="E946" s="131"/>
      <c r="F946" s="300">
        <f>round(F944+F945,2)</f>
        <v>102.07</v>
      </c>
      <c r="G946" s="131"/>
      <c r="H946" s="465"/>
      <c r="I946" s="465"/>
    </row>
    <row r="947">
      <c r="A947" s="471" t="str">
        <f>CONCATENATE("Say ₹ ",F926," + ",F946," x Cost Index")</f>
        <v>Say ₹ 207.33 + 102.07 x Cost Index</v>
      </c>
      <c r="B947" s="2"/>
      <c r="C947" s="2"/>
      <c r="D947" s="2"/>
      <c r="E947" s="2"/>
      <c r="F947" s="3"/>
      <c r="G947" s="472" t="s">
        <v>939</v>
      </c>
      <c r="H947" s="473">
        <f>F920*1.01*1.15/10</f>
        <v>207.32775</v>
      </c>
      <c r="I947" s="473">
        <f>(F929+F931+F933+F936+F938+F940)*1.01*1.15/10</f>
        <v>102.0741996</v>
      </c>
    </row>
  </sheetData>
  <mergeCells count="1343">
    <mergeCell ref="A772:F772"/>
    <mergeCell ref="A773:A774"/>
    <mergeCell ref="B773:B774"/>
    <mergeCell ref="C773:E773"/>
    <mergeCell ref="F773:G773"/>
    <mergeCell ref="A775:G775"/>
    <mergeCell ref="F776:G776"/>
    <mergeCell ref="B777:G777"/>
    <mergeCell ref="A778:F778"/>
    <mergeCell ref="A779:A780"/>
    <mergeCell ref="B779:B780"/>
    <mergeCell ref="C779:E779"/>
    <mergeCell ref="F779:G779"/>
    <mergeCell ref="A781:C781"/>
    <mergeCell ref="C738:E738"/>
    <mergeCell ref="F738:G738"/>
    <mergeCell ref="A740:G740"/>
    <mergeCell ref="F741:G741"/>
    <mergeCell ref="B742:G742"/>
    <mergeCell ref="A743:F743"/>
    <mergeCell ref="F744:G744"/>
    <mergeCell ref="C744:E744"/>
    <mergeCell ref="A746:C746"/>
    <mergeCell ref="A747:C747"/>
    <mergeCell ref="A748:D748"/>
    <mergeCell ref="A749:D749"/>
    <mergeCell ref="A750:D750"/>
    <mergeCell ref="A751:D751"/>
    <mergeCell ref="C755:E755"/>
    <mergeCell ref="F755:G755"/>
    <mergeCell ref="A752:F752"/>
    <mergeCell ref="A753:A754"/>
    <mergeCell ref="B753:B754"/>
    <mergeCell ref="C753:E753"/>
    <mergeCell ref="F753:G753"/>
    <mergeCell ref="A755:A756"/>
    <mergeCell ref="B755:B756"/>
    <mergeCell ref="C760:E760"/>
    <mergeCell ref="F760:G760"/>
    <mergeCell ref="A757:A758"/>
    <mergeCell ref="B757:B758"/>
    <mergeCell ref="C757:E757"/>
    <mergeCell ref="F757:G757"/>
    <mergeCell ref="A759:F759"/>
    <mergeCell ref="A760:A761"/>
    <mergeCell ref="B760:B761"/>
    <mergeCell ref="B797:B798"/>
    <mergeCell ref="C797:E797"/>
    <mergeCell ref="F797:G797"/>
    <mergeCell ref="A687:A688"/>
    <mergeCell ref="B687:B688"/>
    <mergeCell ref="A689:A690"/>
    <mergeCell ref="B689:B690"/>
    <mergeCell ref="A691:A692"/>
    <mergeCell ref="B691:B692"/>
    <mergeCell ref="B694:B695"/>
    <mergeCell ref="B696:B697"/>
    <mergeCell ref="A694:A695"/>
    <mergeCell ref="A696:A697"/>
    <mergeCell ref="A698:C698"/>
    <mergeCell ref="A699:C699"/>
    <mergeCell ref="A700:D700"/>
    <mergeCell ref="A701:D701"/>
    <mergeCell ref="A702:D702"/>
    <mergeCell ref="A703:D703"/>
    <mergeCell ref="A704:F704"/>
    <mergeCell ref="A705:A706"/>
    <mergeCell ref="B705:B706"/>
    <mergeCell ref="C705:E705"/>
    <mergeCell ref="F705:G705"/>
    <mergeCell ref="A707:G707"/>
    <mergeCell ref="F708:G708"/>
    <mergeCell ref="B709:G709"/>
    <mergeCell ref="A710:F710"/>
    <mergeCell ref="A711:A712"/>
    <mergeCell ref="B711:B712"/>
    <mergeCell ref="C711:E711"/>
    <mergeCell ref="F711:G711"/>
    <mergeCell ref="A668:D668"/>
    <mergeCell ref="A669:D669"/>
    <mergeCell ref="A670:D670"/>
    <mergeCell ref="A671:F671"/>
    <mergeCell ref="A672:A673"/>
    <mergeCell ref="B672:B673"/>
    <mergeCell ref="F672:G672"/>
    <mergeCell ref="C678:E678"/>
    <mergeCell ref="F678:G678"/>
    <mergeCell ref="C672:E672"/>
    <mergeCell ref="A674:G674"/>
    <mergeCell ref="F675:G675"/>
    <mergeCell ref="B676:G676"/>
    <mergeCell ref="A677:F677"/>
    <mergeCell ref="A678:A679"/>
    <mergeCell ref="B678:B679"/>
    <mergeCell ref="A680:C680"/>
    <mergeCell ref="A681:C681"/>
    <mergeCell ref="A682:D682"/>
    <mergeCell ref="A683:D683"/>
    <mergeCell ref="A684:D684"/>
    <mergeCell ref="A685:D685"/>
    <mergeCell ref="A686:F686"/>
    <mergeCell ref="C694:E694"/>
    <mergeCell ref="F694:G694"/>
    <mergeCell ref="C696:E696"/>
    <mergeCell ref="F696:G696"/>
    <mergeCell ref="C687:E687"/>
    <mergeCell ref="F687:G687"/>
    <mergeCell ref="C689:E689"/>
    <mergeCell ref="F689:G689"/>
    <mergeCell ref="C691:E691"/>
    <mergeCell ref="F691:G691"/>
    <mergeCell ref="A693:F693"/>
    <mergeCell ref="C720:E720"/>
    <mergeCell ref="F720:G720"/>
    <mergeCell ref="A713:C713"/>
    <mergeCell ref="A714:C714"/>
    <mergeCell ref="A715:D715"/>
    <mergeCell ref="A716:D716"/>
    <mergeCell ref="A717:D717"/>
    <mergeCell ref="A718:D718"/>
    <mergeCell ref="A719:F719"/>
    <mergeCell ref="B724:B725"/>
    <mergeCell ref="C724:E724"/>
    <mergeCell ref="A720:A721"/>
    <mergeCell ref="B720:B721"/>
    <mergeCell ref="A722:A723"/>
    <mergeCell ref="B722:B723"/>
    <mergeCell ref="C722:E722"/>
    <mergeCell ref="F722:G722"/>
    <mergeCell ref="F724:G724"/>
    <mergeCell ref="B729:B730"/>
    <mergeCell ref="C729:E729"/>
    <mergeCell ref="A724:A725"/>
    <mergeCell ref="A726:F726"/>
    <mergeCell ref="A727:A728"/>
    <mergeCell ref="B727:B728"/>
    <mergeCell ref="C727:E727"/>
    <mergeCell ref="F727:G727"/>
    <mergeCell ref="F729:G729"/>
    <mergeCell ref="A729:A730"/>
    <mergeCell ref="A738:A739"/>
    <mergeCell ref="B738:B739"/>
    <mergeCell ref="A744:A745"/>
    <mergeCell ref="B744:B745"/>
    <mergeCell ref="A731:C731"/>
    <mergeCell ref="A732:C732"/>
    <mergeCell ref="A733:D733"/>
    <mergeCell ref="A734:D734"/>
    <mergeCell ref="A735:D735"/>
    <mergeCell ref="A736:D736"/>
    <mergeCell ref="A737:F737"/>
    <mergeCell ref="A762:A763"/>
    <mergeCell ref="B762:B763"/>
    <mergeCell ref="C762:E762"/>
    <mergeCell ref="F762:G762"/>
    <mergeCell ref="A764:A765"/>
    <mergeCell ref="C764:E764"/>
    <mergeCell ref="F764:G764"/>
    <mergeCell ref="B764:B765"/>
    <mergeCell ref="A766:C766"/>
    <mergeCell ref="A767:C767"/>
    <mergeCell ref="A768:D768"/>
    <mergeCell ref="A769:D769"/>
    <mergeCell ref="A770:D770"/>
    <mergeCell ref="A771:D771"/>
    <mergeCell ref="B788:B789"/>
    <mergeCell ref="C788:E788"/>
    <mergeCell ref="F788:G788"/>
    <mergeCell ref="A782:C782"/>
    <mergeCell ref="A783:D783"/>
    <mergeCell ref="A784:D784"/>
    <mergeCell ref="A785:D785"/>
    <mergeCell ref="A786:D786"/>
    <mergeCell ref="A787:F787"/>
    <mergeCell ref="A788:A789"/>
    <mergeCell ref="C823:E823"/>
    <mergeCell ref="F823:G823"/>
    <mergeCell ref="C825:E825"/>
    <mergeCell ref="F825:G825"/>
    <mergeCell ref="C827:E827"/>
    <mergeCell ref="F827:G827"/>
    <mergeCell ref="A829:F829"/>
    <mergeCell ref="A823:A824"/>
    <mergeCell ref="B823:B824"/>
    <mergeCell ref="A825:A826"/>
    <mergeCell ref="B825:B826"/>
    <mergeCell ref="A827:A828"/>
    <mergeCell ref="B827:B828"/>
    <mergeCell ref="B830:B831"/>
    <mergeCell ref="A877:F877"/>
    <mergeCell ref="A878:A879"/>
    <mergeCell ref="B878:B879"/>
    <mergeCell ref="C878:E878"/>
    <mergeCell ref="F878:G878"/>
    <mergeCell ref="A880:G880"/>
    <mergeCell ref="F881:G881"/>
    <mergeCell ref="B882:G882"/>
    <mergeCell ref="A883:F883"/>
    <mergeCell ref="A884:A885"/>
    <mergeCell ref="B884:B885"/>
    <mergeCell ref="C884:E884"/>
    <mergeCell ref="F884:G884"/>
    <mergeCell ref="A886:C886"/>
    <mergeCell ref="C843:E843"/>
    <mergeCell ref="F843:G843"/>
    <mergeCell ref="A838:D838"/>
    <mergeCell ref="A839:D839"/>
    <mergeCell ref="A840:D840"/>
    <mergeCell ref="A841:D841"/>
    <mergeCell ref="A842:F842"/>
    <mergeCell ref="A843:A844"/>
    <mergeCell ref="B843:B844"/>
    <mergeCell ref="A845:G845"/>
    <mergeCell ref="F846:G846"/>
    <mergeCell ref="B847:G847"/>
    <mergeCell ref="A848:F848"/>
    <mergeCell ref="A849:A850"/>
    <mergeCell ref="C849:E849"/>
    <mergeCell ref="F849:G849"/>
    <mergeCell ref="B849:B850"/>
    <mergeCell ref="A851:C851"/>
    <mergeCell ref="A852:C852"/>
    <mergeCell ref="A853:D853"/>
    <mergeCell ref="A854:D854"/>
    <mergeCell ref="A855:D855"/>
    <mergeCell ref="A856:D856"/>
    <mergeCell ref="C860:E860"/>
    <mergeCell ref="F860:G860"/>
    <mergeCell ref="A857:F857"/>
    <mergeCell ref="A858:A859"/>
    <mergeCell ref="B858:B859"/>
    <mergeCell ref="C858:E858"/>
    <mergeCell ref="F858:G858"/>
    <mergeCell ref="A860:A861"/>
    <mergeCell ref="B860:B861"/>
    <mergeCell ref="B902:B903"/>
    <mergeCell ref="C902:E902"/>
    <mergeCell ref="A904:A905"/>
    <mergeCell ref="B904:B905"/>
    <mergeCell ref="C904:E904"/>
    <mergeCell ref="F904:G904"/>
    <mergeCell ref="A906:C906"/>
    <mergeCell ref="C808:E808"/>
    <mergeCell ref="A810:G810"/>
    <mergeCell ref="F811:G811"/>
    <mergeCell ref="B812:G812"/>
    <mergeCell ref="A813:F813"/>
    <mergeCell ref="A814:A815"/>
    <mergeCell ref="B814:B815"/>
    <mergeCell ref="A816:C816"/>
    <mergeCell ref="A817:C817"/>
    <mergeCell ref="A818:D818"/>
    <mergeCell ref="A819:D819"/>
    <mergeCell ref="A820:D820"/>
    <mergeCell ref="A821:D821"/>
    <mergeCell ref="A822:F822"/>
    <mergeCell ref="A790:A791"/>
    <mergeCell ref="B790:B791"/>
    <mergeCell ref="C790:E790"/>
    <mergeCell ref="F790:G790"/>
    <mergeCell ref="A792:A793"/>
    <mergeCell ref="B792:B793"/>
    <mergeCell ref="F792:G792"/>
    <mergeCell ref="C792:E792"/>
    <mergeCell ref="A794:F794"/>
    <mergeCell ref="A795:A796"/>
    <mergeCell ref="B795:B796"/>
    <mergeCell ref="C795:E795"/>
    <mergeCell ref="F795:G795"/>
    <mergeCell ref="A797:A798"/>
    <mergeCell ref="A799:A800"/>
    <mergeCell ref="B799:B800"/>
    <mergeCell ref="C799:E799"/>
    <mergeCell ref="F799:G799"/>
    <mergeCell ref="A801:C801"/>
    <mergeCell ref="A802:C802"/>
    <mergeCell ref="A803:D803"/>
    <mergeCell ref="A804:D804"/>
    <mergeCell ref="A805:D805"/>
    <mergeCell ref="A806:D806"/>
    <mergeCell ref="A807:F807"/>
    <mergeCell ref="A808:A809"/>
    <mergeCell ref="B808:B809"/>
    <mergeCell ref="F808:G808"/>
    <mergeCell ref="C814:E814"/>
    <mergeCell ref="F814:G814"/>
    <mergeCell ref="C830:E830"/>
    <mergeCell ref="F830:G830"/>
    <mergeCell ref="C832:E832"/>
    <mergeCell ref="F832:G832"/>
    <mergeCell ref="C834:E834"/>
    <mergeCell ref="F834:G834"/>
    <mergeCell ref="A830:A831"/>
    <mergeCell ref="A832:A833"/>
    <mergeCell ref="B832:B833"/>
    <mergeCell ref="A834:A835"/>
    <mergeCell ref="B834:B835"/>
    <mergeCell ref="A836:C836"/>
    <mergeCell ref="A837:C837"/>
    <mergeCell ref="C865:E865"/>
    <mergeCell ref="F865:G865"/>
    <mergeCell ref="A862:A863"/>
    <mergeCell ref="B862:B863"/>
    <mergeCell ref="C862:E862"/>
    <mergeCell ref="F862:G862"/>
    <mergeCell ref="A864:F864"/>
    <mergeCell ref="A865:A866"/>
    <mergeCell ref="B865:B866"/>
    <mergeCell ref="A867:A868"/>
    <mergeCell ref="B867:B868"/>
    <mergeCell ref="C867:E867"/>
    <mergeCell ref="F867:G867"/>
    <mergeCell ref="A869:A870"/>
    <mergeCell ref="C869:E869"/>
    <mergeCell ref="F869:G869"/>
    <mergeCell ref="B869:B870"/>
    <mergeCell ref="A871:C871"/>
    <mergeCell ref="A872:C872"/>
    <mergeCell ref="A873:D873"/>
    <mergeCell ref="A874:D874"/>
    <mergeCell ref="A875:D875"/>
    <mergeCell ref="A876:D876"/>
    <mergeCell ref="B893:B894"/>
    <mergeCell ref="C893:E893"/>
    <mergeCell ref="F893:G893"/>
    <mergeCell ref="A887:C887"/>
    <mergeCell ref="A888:D888"/>
    <mergeCell ref="A889:D889"/>
    <mergeCell ref="A890:D890"/>
    <mergeCell ref="A891:D891"/>
    <mergeCell ref="A892:F892"/>
    <mergeCell ref="A893:A894"/>
    <mergeCell ref="A895:A896"/>
    <mergeCell ref="B895:B896"/>
    <mergeCell ref="C895:E895"/>
    <mergeCell ref="F895:G895"/>
    <mergeCell ref="A897:A898"/>
    <mergeCell ref="B897:B898"/>
    <mergeCell ref="F897:G897"/>
    <mergeCell ref="C897:E897"/>
    <mergeCell ref="A899:F899"/>
    <mergeCell ref="A900:A901"/>
    <mergeCell ref="B900:B901"/>
    <mergeCell ref="C900:E900"/>
    <mergeCell ref="F900:G900"/>
    <mergeCell ref="A902:A903"/>
    <mergeCell ref="F902:G902"/>
    <mergeCell ref="A937:A938"/>
    <mergeCell ref="B937:B938"/>
    <mergeCell ref="C937:E937"/>
    <mergeCell ref="F937:G937"/>
    <mergeCell ref="A939:A940"/>
    <mergeCell ref="B939:B940"/>
    <mergeCell ref="C939:E939"/>
    <mergeCell ref="F939:G939"/>
    <mergeCell ref="A941:C941"/>
    <mergeCell ref="A942:C942"/>
    <mergeCell ref="A943:D943"/>
    <mergeCell ref="A907:C907"/>
    <mergeCell ref="A908:D908"/>
    <mergeCell ref="A909:D909"/>
    <mergeCell ref="A910:D910"/>
    <mergeCell ref="A911:D911"/>
    <mergeCell ref="A912:F912"/>
    <mergeCell ref="A913:A914"/>
    <mergeCell ref="B913:B914"/>
    <mergeCell ref="C913:E913"/>
    <mergeCell ref="F913:G913"/>
    <mergeCell ref="A915:G915"/>
    <mergeCell ref="F916:G916"/>
    <mergeCell ref="B917:G917"/>
    <mergeCell ref="A918:F918"/>
    <mergeCell ref="A919:A920"/>
    <mergeCell ref="B919:B920"/>
    <mergeCell ref="C919:E919"/>
    <mergeCell ref="F919:G919"/>
    <mergeCell ref="A921:C921"/>
    <mergeCell ref="A922:C922"/>
    <mergeCell ref="A923:D923"/>
    <mergeCell ref="C930:E930"/>
    <mergeCell ref="F930:G930"/>
    <mergeCell ref="C932:E932"/>
    <mergeCell ref="F932:G932"/>
    <mergeCell ref="A934:F934"/>
    <mergeCell ref="C935:E935"/>
    <mergeCell ref="F935:G935"/>
    <mergeCell ref="A924:D924"/>
    <mergeCell ref="A925:D925"/>
    <mergeCell ref="A926:D926"/>
    <mergeCell ref="A927:F927"/>
    <mergeCell ref="B928:B929"/>
    <mergeCell ref="C928:E928"/>
    <mergeCell ref="F928:G928"/>
    <mergeCell ref="A928:A929"/>
    <mergeCell ref="A930:A931"/>
    <mergeCell ref="B930:B931"/>
    <mergeCell ref="A932:A933"/>
    <mergeCell ref="B932:B933"/>
    <mergeCell ref="A935:A936"/>
    <mergeCell ref="B935:B936"/>
    <mergeCell ref="A944:D944"/>
    <mergeCell ref="A945:D945"/>
    <mergeCell ref="A946:D946"/>
    <mergeCell ref="A947:F947"/>
    <mergeCell ref="A26:C26"/>
    <mergeCell ref="A27:D27"/>
    <mergeCell ref="A28:D28"/>
    <mergeCell ref="A29:D29"/>
    <mergeCell ref="A30:D30"/>
    <mergeCell ref="A31:F31"/>
    <mergeCell ref="A32:A33"/>
    <mergeCell ref="B32:B33"/>
    <mergeCell ref="C32:E32"/>
    <mergeCell ref="F32:G32"/>
    <mergeCell ref="A34:G34"/>
    <mergeCell ref="F35:G35"/>
    <mergeCell ref="B36:G36"/>
    <mergeCell ref="A37:F37"/>
    <mergeCell ref="A38:A39"/>
    <mergeCell ref="B38:B39"/>
    <mergeCell ref="C38:E38"/>
    <mergeCell ref="F38:G38"/>
    <mergeCell ref="A40:C40"/>
    <mergeCell ref="A41:C41"/>
    <mergeCell ref="A42:D42"/>
    <mergeCell ref="A43:D43"/>
    <mergeCell ref="A44:D44"/>
    <mergeCell ref="A45:D45"/>
    <mergeCell ref="A46:F46"/>
    <mergeCell ref="B47:B48"/>
    <mergeCell ref="C47:E47"/>
    <mergeCell ref="F47:G47"/>
    <mergeCell ref="C51:E51"/>
    <mergeCell ref="F51:G51"/>
    <mergeCell ref="A47:A48"/>
    <mergeCell ref="A49:A50"/>
    <mergeCell ref="B49:B50"/>
    <mergeCell ref="C49:E49"/>
    <mergeCell ref="F49:G49"/>
    <mergeCell ref="B51:B52"/>
    <mergeCell ref="A53:F53"/>
    <mergeCell ref="C7:E7"/>
    <mergeCell ref="F7:G7"/>
    <mergeCell ref="B1:B2"/>
    <mergeCell ref="C1:E1"/>
    <mergeCell ref="F1:G1"/>
    <mergeCell ref="A3:G3"/>
    <mergeCell ref="F4:G4"/>
    <mergeCell ref="B5:G5"/>
    <mergeCell ref="A6:F6"/>
    <mergeCell ref="A1:A2"/>
    <mergeCell ref="A7:A8"/>
    <mergeCell ref="B7:B8"/>
    <mergeCell ref="A9:C9"/>
    <mergeCell ref="A10:C10"/>
    <mergeCell ref="A11:D11"/>
    <mergeCell ref="A12:D12"/>
    <mergeCell ref="A13:D13"/>
    <mergeCell ref="A14:D14"/>
    <mergeCell ref="A15:F15"/>
    <mergeCell ref="A16:A17"/>
    <mergeCell ref="B16:B17"/>
    <mergeCell ref="C16:E16"/>
    <mergeCell ref="F16:G16"/>
    <mergeCell ref="A18:A19"/>
    <mergeCell ref="B18:B19"/>
    <mergeCell ref="C18:E18"/>
    <mergeCell ref="F18:G18"/>
    <mergeCell ref="A20:A21"/>
    <mergeCell ref="B20:B21"/>
    <mergeCell ref="F20:G20"/>
    <mergeCell ref="C20:E20"/>
    <mergeCell ref="A22:F22"/>
    <mergeCell ref="A23:A24"/>
    <mergeCell ref="B23:B24"/>
    <mergeCell ref="C23:E23"/>
    <mergeCell ref="F23:G23"/>
    <mergeCell ref="A25:C25"/>
    <mergeCell ref="A51:A52"/>
    <mergeCell ref="A54:A55"/>
    <mergeCell ref="B54:B55"/>
    <mergeCell ref="C54:E54"/>
    <mergeCell ref="F54:G54"/>
    <mergeCell ref="A56:C56"/>
    <mergeCell ref="A57:C57"/>
    <mergeCell ref="C85:E85"/>
    <mergeCell ref="F85:G85"/>
    <mergeCell ref="A82:A83"/>
    <mergeCell ref="B82:B83"/>
    <mergeCell ref="C82:E82"/>
    <mergeCell ref="F82:G82"/>
    <mergeCell ref="A84:F84"/>
    <mergeCell ref="A85:A86"/>
    <mergeCell ref="B85:B86"/>
    <mergeCell ref="A94:A95"/>
    <mergeCell ref="B94:B95"/>
    <mergeCell ref="A87:C87"/>
    <mergeCell ref="A88:C88"/>
    <mergeCell ref="A89:D89"/>
    <mergeCell ref="A90:D90"/>
    <mergeCell ref="A91:D91"/>
    <mergeCell ref="A92:D92"/>
    <mergeCell ref="A93:F93"/>
    <mergeCell ref="B100:B101"/>
    <mergeCell ref="C100:E100"/>
    <mergeCell ref="C94:E94"/>
    <mergeCell ref="F94:G94"/>
    <mergeCell ref="A96:G96"/>
    <mergeCell ref="F97:G97"/>
    <mergeCell ref="B98:G98"/>
    <mergeCell ref="A99:F99"/>
    <mergeCell ref="F100:G100"/>
    <mergeCell ref="C63:E63"/>
    <mergeCell ref="F63:G63"/>
    <mergeCell ref="A58:D58"/>
    <mergeCell ref="A59:D59"/>
    <mergeCell ref="A60:D60"/>
    <mergeCell ref="A61:D61"/>
    <mergeCell ref="A62:F62"/>
    <mergeCell ref="A63:A64"/>
    <mergeCell ref="B63:B64"/>
    <mergeCell ref="A65:G65"/>
    <mergeCell ref="F66:G66"/>
    <mergeCell ref="B67:G67"/>
    <mergeCell ref="A68:F68"/>
    <mergeCell ref="A69:A70"/>
    <mergeCell ref="C69:E69"/>
    <mergeCell ref="F69:G69"/>
    <mergeCell ref="B69:B70"/>
    <mergeCell ref="A71:C71"/>
    <mergeCell ref="A72:C72"/>
    <mergeCell ref="A73:D73"/>
    <mergeCell ref="A74:D74"/>
    <mergeCell ref="A75:D75"/>
    <mergeCell ref="A76:D76"/>
    <mergeCell ref="C80:E80"/>
    <mergeCell ref="F80:G80"/>
    <mergeCell ref="A77:F77"/>
    <mergeCell ref="A78:A79"/>
    <mergeCell ref="B78:B79"/>
    <mergeCell ref="C78:E78"/>
    <mergeCell ref="F78:G78"/>
    <mergeCell ref="A80:A81"/>
    <mergeCell ref="B80:B81"/>
    <mergeCell ref="C109:E109"/>
    <mergeCell ref="F109:G109"/>
    <mergeCell ref="C144:E144"/>
    <mergeCell ref="F144:G144"/>
    <mergeCell ref="A140:A141"/>
    <mergeCell ref="B140:B141"/>
    <mergeCell ref="C140:E140"/>
    <mergeCell ref="F140:G140"/>
    <mergeCell ref="B142:B143"/>
    <mergeCell ref="C142:E142"/>
    <mergeCell ref="F142:G142"/>
    <mergeCell ref="A142:A143"/>
    <mergeCell ref="A144:A145"/>
    <mergeCell ref="B144:B145"/>
    <mergeCell ref="A146:F146"/>
    <mergeCell ref="A147:A148"/>
    <mergeCell ref="C147:E147"/>
    <mergeCell ref="F147:G147"/>
    <mergeCell ref="B147:B148"/>
    <mergeCell ref="A149:C149"/>
    <mergeCell ref="A150:C150"/>
    <mergeCell ref="A151:D151"/>
    <mergeCell ref="A152:D152"/>
    <mergeCell ref="A153:D153"/>
    <mergeCell ref="A154:D154"/>
    <mergeCell ref="A155:F155"/>
    <mergeCell ref="A156:A157"/>
    <mergeCell ref="B156:B157"/>
    <mergeCell ref="C156:E156"/>
    <mergeCell ref="F156:G156"/>
    <mergeCell ref="A158:G158"/>
    <mergeCell ref="F159:G159"/>
    <mergeCell ref="B160:G160"/>
    <mergeCell ref="A161:F161"/>
    <mergeCell ref="A162:A163"/>
    <mergeCell ref="B162:B163"/>
    <mergeCell ref="C162:E162"/>
    <mergeCell ref="F162:G162"/>
    <mergeCell ref="A164:C164"/>
    <mergeCell ref="B171:B172"/>
    <mergeCell ref="C171:E171"/>
    <mergeCell ref="F171:G171"/>
    <mergeCell ref="A165:C165"/>
    <mergeCell ref="A166:D166"/>
    <mergeCell ref="A167:D167"/>
    <mergeCell ref="A168:D168"/>
    <mergeCell ref="A169:D169"/>
    <mergeCell ref="A170:F170"/>
    <mergeCell ref="A171:A172"/>
    <mergeCell ref="A173:A174"/>
    <mergeCell ref="B173:B174"/>
    <mergeCell ref="C173:E173"/>
    <mergeCell ref="F173:G173"/>
    <mergeCell ref="A175:A176"/>
    <mergeCell ref="B175:B176"/>
    <mergeCell ref="F175:G175"/>
    <mergeCell ref="C175:E175"/>
    <mergeCell ref="A177:F177"/>
    <mergeCell ref="A178:A179"/>
    <mergeCell ref="B178:B179"/>
    <mergeCell ref="C178:E178"/>
    <mergeCell ref="F178:G178"/>
    <mergeCell ref="A180:C180"/>
    <mergeCell ref="A181:C181"/>
    <mergeCell ref="A182:D182"/>
    <mergeCell ref="A183:D183"/>
    <mergeCell ref="A184:D184"/>
    <mergeCell ref="A185:D185"/>
    <mergeCell ref="A186:F186"/>
    <mergeCell ref="A187:A188"/>
    <mergeCell ref="B187:B188"/>
    <mergeCell ref="C187:E187"/>
    <mergeCell ref="F187:G187"/>
    <mergeCell ref="A189:G189"/>
    <mergeCell ref="F190:G190"/>
    <mergeCell ref="B191:G191"/>
    <mergeCell ref="A192:F192"/>
    <mergeCell ref="C125:E125"/>
    <mergeCell ref="A127:G127"/>
    <mergeCell ref="F128:G128"/>
    <mergeCell ref="B129:G129"/>
    <mergeCell ref="A130:F130"/>
    <mergeCell ref="A131:A132"/>
    <mergeCell ref="B131:B132"/>
    <mergeCell ref="A133:C133"/>
    <mergeCell ref="A134:C134"/>
    <mergeCell ref="A135:D135"/>
    <mergeCell ref="A136:D136"/>
    <mergeCell ref="A137:D137"/>
    <mergeCell ref="A138:D138"/>
    <mergeCell ref="A139:F139"/>
    <mergeCell ref="A193:A194"/>
    <mergeCell ref="B193:B194"/>
    <mergeCell ref="C193:E193"/>
    <mergeCell ref="F193:G193"/>
    <mergeCell ref="A195:C195"/>
    <mergeCell ref="A196:C196"/>
    <mergeCell ref="A197:D197"/>
    <mergeCell ref="A198:D198"/>
    <mergeCell ref="A199:D199"/>
    <mergeCell ref="A200:D200"/>
    <mergeCell ref="A201:F201"/>
    <mergeCell ref="B202:B203"/>
    <mergeCell ref="C202:E202"/>
    <mergeCell ref="F202:G202"/>
    <mergeCell ref="C206:E206"/>
    <mergeCell ref="F206:G206"/>
    <mergeCell ref="A202:A203"/>
    <mergeCell ref="A204:A205"/>
    <mergeCell ref="B204:B205"/>
    <mergeCell ref="C204:E204"/>
    <mergeCell ref="F204:G204"/>
    <mergeCell ref="B206:B207"/>
    <mergeCell ref="A208:F208"/>
    <mergeCell ref="C111:E111"/>
    <mergeCell ref="F111:G111"/>
    <mergeCell ref="C113:E113"/>
    <mergeCell ref="F113:G113"/>
    <mergeCell ref="A115:F115"/>
    <mergeCell ref="A102:C102"/>
    <mergeCell ref="A103:C103"/>
    <mergeCell ref="A104:D104"/>
    <mergeCell ref="A105:D105"/>
    <mergeCell ref="A106:D106"/>
    <mergeCell ref="A107:D107"/>
    <mergeCell ref="A108:F108"/>
    <mergeCell ref="A100:A101"/>
    <mergeCell ref="A109:A110"/>
    <mergeCell ref="B109:B110"/>
    <mergeCell ref="A111:A112"/>
    <mergeCell ref="B111:B112"/>
    <mergeCell ref="A113:A114"/>
    <mergeCell ref="B113:B114"/>
    <mergeCell ref="A116:A117"/>
    <mergeCell ref="B116:B117"/>
    <mergeCell ref="C116:E116"/>
    <mergeCell ref="F116:G116"/>
    <mergeCell ref="A118:C118"/>
    <mergeCell ref="A119:C119"/>
    <mergeCell ref="A120:D120"/>
    <mergeCell ref="A121:D121"/>
    <mergeCell ref="A122:D122"/>
    <mergeCell ref="A123:D123"/>
    <mergeCell ref="A124:F124"/>
    <mergeCell ref="A125:A126"/>
    <mergeCell ref="B125:B126"/>
    <mergeCell ref="F125:G125"/>
    <mergeCell ref="C131:E131"/>
    <mergeCell ref="F131:G131"/>
    <mergeCell ref="A206:A207"/>
    <mergeCell ref="A209:A210"/>
    <mergeCell ref="B209:B210"/>
    <mergeCell ref="C209:E209"/>
    <mergeCell ref="F209:G209"/>
    <mergeCell ref="A211:C211"/>
    <mergeCell ref="A212:C212"/>
    <mergeCell ref="C240:E240"/>
    <mergeCell ref="F240:G240"/>
    <mergeCell ref="A237:A238"/>
    <mergeCell ref="B237:B238"/>
    <mergeCell ref="C237:E237"/>
    <mergeCell ref="F237:G237"/>
    <mergeCell ref="A239:F239"/>
    <mergeCell ref="A240:A241"/>
    <mergeCell ref="B240:B241"/>
    <mergeCell ref="A249:A250"/>
    <mergeCell ref="B249:B250"/>
    <mergeCell ref="A242:C242"/>
    <mergeCell ref="A243:C243"/>
    <mergeCell ref="A244:D244"/>
    <mergeCell ref="A245:D245"/>
    <mergeCell ref="A246:D246"/>
    <mergeCell ref="A247:D247"/>
    <mergeCell ref="A248:F248"/>
    <mergeCell ref="B255:B256"/>
    <mergeCell ref="C255:E255"/>
    <mergeCell ref="C249:E249"/>
    <mergeCell ref="F249:G249"/>
    <mergeCell ref="A251:G251"/>
    <mergeCell ref="F252:G252"/>
    <mergeCell ref="B253:G253"/>
    <mergeCell ref="A254:F254"/>
    <mergeCell ref="F255:G255"/>
    <mergeCell ref="C218:E218"/>
    <mergeCell ref="F218:G218"/>
    <mergeCell ref="A213:D213"/>
    <mergeCell ref="A214:D214"/>
    <mergeCell ref="A215:D215"/>
    <mergeCell ref="A216:D216"/>
    <mergeCell ref="A217:F217"/>
    <mergeCell ref="A218:A219"/>
    <mergeCell ref="B218:B219"/>
    <mergeCell ref="A220:G220"/>
    <mergeCell ref="F221:G221"/>
    <mergeCell ref="B222:G222"/>
    <mergeCell ref="A223:F223"/>
    <mergeCell ref="A224:A225"/>
    <mergeCell ref="C224:E224"/>
    <mergeCell ref="F224:G224"/>
    <mergeCell ref="B224:B225"/>
    <mergeCell ref="A226:C226"/>
    <mergeCell ref="A227:C227"/>
    <mergeCell ref="A228:D228"/>
    <mergeCell ref="A229:D229"/>
    <mergeCell ref="A230:D230"/>
    <mergeCell ref="A231:D231"/>
    <mergeCell ref="C235:E235"/>
    <mergeCell ref="F235:G235"/>
    <mergeCell ref="A232:F232"/>
    <mergeCell ref="A233:A234"/>
    <mergeCell ref="B233:B234"/>
    <mergeCell ref="C233:E233"/>
    <mergeCell ref="F233:G233"/>
    <mergeCell ref="A235:A236"/>
    <mergeCell ref="B235:B236"/>
    <mergeCell ref="C264:E264"/>
    <mergeCell ref="F264:G264"/>
    <mergeCell ref="C299:E299"/>
    <mergeCell ref="F299:G299"/>
    <mergeCell ref="A295:A296"/>
    <mergeCell ref="B295:B296"/>
    <mergeCell ref="C295:E295"/>
    <mergeCell ref="F295:G295"/>
    <mergeCell ref="B297:B298"/>
    <mergeCell ref="C297:E297"/>
    <mergeCell ref="F297:G297"/>
    <mergeCell ref="A297:A298"/>
    <mergeCell ref="A299:A300"/>
    <mergeCell ref="B299:B300"/>
    <mergeCell ref="A301:F301"/>
    <mergeCell ref="A302:A303"/>
    <mergeCell ref="C302:E302"/>
    <mergeCell ref="F302:G302"/>
    <mergeCell ref="B302:B303"/>
    <mergeCell ref="A304:C304"/>
    <mergeCell ref="A305:C305"/>
    <mergeCell ref="A306:D306"/>
    <mergeCell ref="A307:D307"/>
    <mergeCell ref="A308:D308"/>
    <mergeCell ref="A309:D309"/>
    <mergeCell ref="A310:F310"/>
    <mergeCell ref="A311:A312"/>
    <mergeCell ref="B311:B312"/>
    <mergeCell ref="C311:E311"/>
    <mergeCell ref="F311:G311"/>
    <mergeCell ref="A313:G313"/>
    <mergeCell ref="F314:G314"/>
    <mergeCell ref="B315:G315"/>
    <mergeCell ref="A316:F316"/>
    <mergeCell ref="A317:A318"/>
    <mergeCell ref="B317:B318"/>
    <mergeCell ref="C317:E317"/>
    <mergeCell ref="F317:G317"/>
    <mergeCell ref="A319:C319"/>
    <mergeCell ref="B326:B327"/>
    <mergeCell ref="C326:E326"/>
    <mergeCell ref="F326:G326"/>
    <mergeCell ref="A320:C320"/>
    <mergeCell ref="A321:D321"/>
    <mergeCell ref="A322:D322"/>
    <mergeCell ref="A323:D323"/>
    <mergeCell ref="A324:D324"/>
    <mergeCell ref="A325:F325"/>
    <mergeCell ref="A326:A327"/>
    <mergeCell ref="A328:A329"/>
    <mergeCell ref="B328:B329"/>
    <mergeCell ref="C328:E328"/>
    <mergeCell ref="F328:G328"/>
    <mergeCell ref="A330:A331"/>
    <mergeCell ref="B330:B331"/>
    <mergeCell ref="F330:G330"/>
    <mergeCell ref="C330:E330"/>
    <mergeCell ref="A332:F332"/>
    <mergeCell ref="A333:A334"/>
    <mergeCell ref="B333:B334"/>
    <mergeCell ref="C333:E333"/>
    <mergeCell ref="F333:G333"/>
    <mergeCell ref="A335:C335"/>
    <mergeCell ref="A336:C336"/>
    <mergeCell ref="A337:D337"/>
    <mergeCell ref="A338:D338"/>
    <mergeCell ref="A339:D339"/>
    <mergeCell ref="A340:D340"/>
    <mergeCell ref="A341:F341"/>
    <mergeCell ref="A342:A343"/>
    <mergeCell ref="B342:B343"/>
    <mergeCell ref="C342:E342"/>
    <mergeCell ref="F342:G342"/>
    <mergeCell ref="A344:G344"/>
    <mergeCell ref="F345:G345"/>
    <mergeCell ref="B346:G346"/>
    <mergeCell ref="A347:F347"/>
    <mergeCell ref="C280:E280"/>
    <mergeCell ref="A282:G282"/>
    <mergeCell ref="F283:G283"/>
    <mergeCell ref="B284:G284"/>
    <mergeCell ref="A285:F285"/>
    <mergeCell ref="A286:A287"/>
    <mergeCell ref="B286:B287"/>
    <mergeCell ref="A288:C288"/>
    <mergeCell ref="A289:C289"/>
    <mergeCell ref="A290:D290"/>
    <mergeCell ref="A291:D291"/>
    <mergeCell ref="A292:D292"/>
    <mergeCell ref="A293:D293"/>
    <mergeCell ref="A294:F294"/>
    <mergeCell ref="A348:A349"/>
    <mergeCell ref="B348:B349"/>
    <mergeCell ref="C348:E348"/>
    <mergeCell ref="F348:G348"/>
    <mergeCell ref="A350:C350"/>
    <mergeCell ref="A351:C351"/>
    <mergeCell ref="A352:D352"/>
    <mergeCell ref="A353:D353"/>
    <mergeCell ref="A354:D354"/>
    <mergeCell ref="A355:D355"/>
    <mergeCell ref="A356:F356"/>
    <mergeCell ref="B357:B358"/>
    <mergeCell ref="C357:E357"/>
    <mergeCell ref="F357:G357"/>
    <mergeCell ref="C361:E361"/>
    <mergeCell ref="F361:G361"/>
    <mergeCell ref="A357:A358"/>
    <mergeCell ref="A359:A360"/>
    <mergeCell ref="B359:B360"/>
    <mergeCell ref="C359:E359"/>
    <mergeCell ref="F359:G359"/>
    <mergeCell ref="B361:B362"/>
    <mergeCell ref="A363:F363"/>
    <mergeCell ref="C366:E366"/>
    <mergeCell ref="F366:G366"/>
    <mergeCell ref="A361:A362"/>
    <mergeCell ref="A364:A365"/>
    <mergeCell ref="B364:B365"/>
    <mergeCell ref="C364:E364"/>
    <mergeCell ref="F364:G364"/>
    <mergeCell ref="A366:A367"/>
    <mergeCell ref="B366:B367"/>
    <mergeCell ref="A375:A376"/>
    <mergeCell ref="B375:B376"/>
    <mergeCell ref="A368:C368"/>
    <mergeCell ref="A369:C369"/>
    <mergeCell ref="A370:D370"/>
    <mergeCell ref="A371:D371"/>
    <mergeCell ref="A372:D372"/>
    <mergeCell ref="A373:D373"/>
    <mergeCell ref="A374:F374"/>
    <mergeCell ref="B381:B382"/>
    <mergeCell ref="C381:E381"/>
    <mergeCell ref="C375:E375"/>
    <mergeCell ref="F375:G375"/>
    <mergeCell ref="A377:G377"/>
    <mergeCell ref="F378:G378"/>
    <mergeCell ref="B379:G379"/>
    <mergeCell ref="A380:F380"/>
    <mergeCell ref="F381:G381"/>
    <mergeCell ref="C266:E266"/>
    <mergeCell ref="F266:G266"/>
    <mergeCell ref="C268:E268"/>
    <mergeCell ref="F268:G268"/>
    <mergeCell ref="A270:F270"/>
    <mergeCell ref="A257:C257"/>
    <mergeCell ref="A258:C258"/>
    <mergeCell ref="A259:D259"/>
    <mergeCell ref="A260:D260"/>
    <mergeCell ref="A261:D261"/>
    <mergeCell ref="A262:D262"/>
    <mergeCell ref="A263:F263"/>
    <mergeCell ref="A255:A256"/>
    <mergeCell ref="A264:A265"/>
    <mergeCell ref="B264:B265"/>
    <mergeCell ref="A266:A267"/>
    <mergeCell ref="B266:B267"/>
    <mergeCell ref="A268:A269"/>
    <mergeCell ref="B268:B269"/>
    <mergeCell ref="A271:A272"/>
    <mergeCell ref="B271:B272"/>
    <mergeCell ref="C271:E271"/>
    <mergeCell ref="F271:G271"/>
    <mergeCell ref="A273:C273"/>
    <mergeCell ref="A274:C274"/>
    <mergeCell ref="A275:D275"/>
    <mergeCell ref="A276:D276"/>
    <mergeCell ref="A277:D277"/>
    <mergeCell ref="A278:D278"/>
    <mergeCell ref="A279:F279"/>
    <mergeCell ref="A280:A281"/>
    <mergeCell ref="B280:B281"/>
    <mergeCell ref="F280:G280"/>
    <mergeCell ref="C286:E286"/>
    <mergeCell ref="F286:G286"/>
    <mergeCell ref="C390:E390"/>
    <mergeCell ref="F390:G390"/>
    <mergeCell ref="A404:D404"/>
    <mergeCell ref="A405:D405"/>
    <mergeCell ref="A406:D406"/>
    <mergeCell ref="A407:F407"/>
    <mergeCell ref="A408:A409"/>
    <mergeCell ref="B408:B409"/>
    <mergeCell ref="F408:G408"/>
    <mergeCell ref="C408:E408"/>
    <mergeCell ref="A410:G410"/>
    <mergeCell ref="F411:G411"/>
    <mergeCell ref="B412:G412"/>
    <mergeCell ref="A413:F413"/>
    <mergeCell ref="A414:A415"/>
    <mergeCell ref="B414:B415"/>
    <mergeCell ref="C392:E392"/>
    <mergeCell ref="F392:G392"/>
    <mergeCell ref="C394:E394"/>
    <mergeCell ref="F394:G394"/>
    <mergeCell ref="A396:F396"/>
    <mergeCell ref="A383:C383"/>
    <mergeCell ref="A384:C384"/>
    <mergeCell ref="A385:D385"/>
    <mergeCell ref="A386:D386"/>
    <mergeCell ref="A387:D387"/>
    <mergeCell ref="A388:D388"/>
    <mergeCell ref="A389:F389"/>
    <mergeCell ref="A397:A398"/>
    <mergeCell ref="B397:B398"/>
    <mergeCell ref="C397:E397"/>
    <mergeCell ref="F397:G397"/>
    <mergeCell ref="A381:A382"/>
    <mergeCell ref="A390:A391"/>
    <mergeCell ref="B390:B391"/>
    <mergeCell ref="A392:A393"/>
    <mergeCell ref="B392:B393"/>
    <mergeCell ref="A394:A395"/>
    <mergeCell ref="B394:B395"/>
    <mergeCell ref="A399:A400"/>
    <mergeCell ref="B399:B400"/>
    <mergeCell ref="C399:E399"/>
    <mergeCell ref="F399:G399"/>
    <mergeCell ref="A401:C401"/>
    <mergeCell ref="A402:C402"/>
    <mergeCell ref="A403:D403"/>
    <mergeCell ref="C414:E414"/>
    <mergeCell ref="F414:G414"/>
    <mergeCell ref="C423:E423"/>
    <mergeCell ref="F423:G423"/>
    <mergeCell ref="A416:C416"/>
    <mergeCell ref="A417:C417"/>
    <mergeCell ref="A418:D418"/>
    <mergeCell ref="A419:D419"/>
    <mergeCell ref="A420:D420"/>
    <mergeCell ref="A421:D421"/>
    <mergeCell ref="A422:F422"/>
    <mergeCell ref="B427:B428"/>
    <mergeCell ref="C427:E427"/>
    <mergeCell ref="A423:A424"/>
    <mergeCell ref="B423:B424"/>
    <mergeCell ref="A425:A426"/>
    <mergeCell ref="B425:B426"/>
    <mergeCell ref="C425:E425"/>
    <mergeCell ref="F425:G425"/>
    <mergeCell ref="F427:G427"/>
    <mergeCell ref="B432:B433"/>
    <mergeCell ref="C432:E432"/>
    <mergeCell ref="A427:A428"/>
    <mergeCell ref="A429:F429"/>
    <mergeCell ref="A430:A431"/>
    <mergeCell ref="B430:B431"/>
    <mergeCell ref="C430:E430"/>
    <mergeCell ref="F430:G430"/>
    <mergeCell ref="F432:G432"/>
    <mergeCell ref="A432:A433"/>
    <mergeCell ref="A441:A442"/>
    <mergeCell ref="B441:B442"/>
    <mergeCell ref="A447:A448"/>
    <mergeCell ref="B447:B448"/>
    <mergeCell ref="A434:C434"/>
    <mergeCell ref="A435:C435"/>
    <mergeCell ref="A436:D436"/>
    <mergeCell ref="A437:D437"/>
    <mergeCell ref="A438:D438"/>
    <mergeCell ref="A439:D439"/>
    <mergeCell ref="A440:F440"/>
    <mergeCell ref="C441:E441"/>
    <mergeCell ref="F441:G441"/>
    <mergeCell ref="A443:G443"/>
    <mergeCell ref="F444:G444"/>
    <mergeCell ref="B445:G445"/>
    <mergeCell ref="A446:F446"/>
    <mergeCell ref="F447:G447"/>
    <mergeCell ref="C447:E447"/>
    <mergeCell ref="A449:C449"/>
    <mergeCell ref="A450:C450"/>
    <mergeCell ref="A451:D451"/>
    <mergeCell ref="A452:D452"/>
    <mergeCell ref="A453:D453"/>
    <mergeCell ref="A454:D454"/>
    <mergeCell ref="C458:E458"/>
    <mergeCell ref="F458:G458"/>
    <mergeCell ref="A455:F455"/>
    <mergeCell ref="A456:A457"/>
    <mergeCell ref="B456:B457"/>
    <mergeCell ref="C456:E456"/>
    <mergeCell ref="F456:G456"/>
    <mergeCell ref="A458:A459"/>
    <mergeCell ref="B458:B459"/>
    <mergeCell ref="C463:E463"/>
    <mergeCell ref="F463:G463"/>
    <mergeCell ref="A460:A461"/>
    <mergeCell ref="B460:B461"/>
    <mergeCell ref="C460:E460"/>
    <mergeCell ref="F460:G460"/>
    <mergeCell ref="A462:F462"/>
    <mergeCell ref="A463:A464"/>
    <mergeCell ref="B463:B464"/>
    <mergeCell ref="A465:A466"/>
    <mergeCell ref="B465:B466"/>
    <mergeCell ref="C465:E465"/>
    <mergeCell ref="F465:G465"/>
    <mergeCell ref="A467:C467"/>
    <mergeCell ref="A468:C468"/>
    <mergeCell ref="A469:D469"/>
    <mergeCell ref="A489:A490"/>
    <mergeCell ref="B489:B490"/>
    <mergeCell ref="A491:A492"/>
    <mergeCell ref="B491:B492"/>
    <mergeCell ref="A493:A494"/>
    <mergeCell ref="B493:B494"/>
    <mergeCell ref="B496:B497"/>
    <mergeCell ref="B498:B499"/>
    <mergeCell ref="A496:A497"/>
    <mergeCell ref="A498:A499"/>
    <mergeCell ref="A500:C500"/>
    <mergeCell ref="A501:C501"/>
    <mergeCell ref="A502:D502"/>
    <mergeCell ref="A503:D503"/>
    <mergeCell ref="A504:D504"/>
    <mergeCell ref="A505:D505"/>
    <mergeCell ref="A506:F506"/>
    <mergeCell ref="A507:A508"/>
    <mergeCell ref="B507:B508"/>
    <mergeCell ref="C507:E507"/>
    <mergeCell ref="F507:G507"/>
    <mergeCell ref="A509:G509"/>
    <mergeCell ref="F510:G510"/>
    <mergeCell ref="B511:G511"/>
    <mergeCell ref="A512:F512"/>
    <mergeCell ref="A513:A514"/>
    <mergeCell ref="B513:B514"/>
    <mergeCell ref="C513:E513"/>
    <mergeCell ref="F513:G513"/>
    <mergeCell ref="A470:D470"/>
    <mergeCell ref="A471:D471"/>
    <mergeCell ref="A472:D472"/>
    <mergeCell ref="A473:F473"/>
    <mergeCell ref="A474:A475"/>
    <mergeCell ref="B474:B475"/>
    <mergeCell ref="F474:G474"/>
    <mergeCell ref="C480:E480"/>
    <mergeCell ref="F480:G480"/>
    <mergeCell ref="C474:E474"/>
    <mergeCell ref="A476:G476"/>
    <mergeCell ref="F477:G477"/>
    <mergeCell ref="B478:G478"/>
    <mergeCell ref="A479:F479"/>
    <mergeCell ref="A480:A481"/>
    <mergeCell ref="B480:B481"/>
    <mergeCell ref="A482:C482"/>
    <mergeCell ref="A483:C483"/>
    <mergeCell ref="A484:D484"/>
    <mergeCell ref="A485:D485"/>
    <mergeCell ref="A486:D486"/>
    <mergeCell ref="A487:D487"/>
    <mergeCell ref="A488:F488"/>
    <mergeCell ref="C496:E496"/>
    <mergeCell ref="F496:G496"/>
    <mergeCell ref="C498:E498"/>
    <mergeCell ref="F498:G498"/>
    <mergeCell ref="C489:E489"/>
    <mergeCell ref="F489:G489"/>
    <mergeCell ref="C491:E491"/>
    <mergeCell ref="F491:G491"/>
    <mergeCell ref="C493:E493"/>
    <mergeCell ref="F493:G493"/>
    <mergeCell ref="A495:F495"/>
    <mergeCell ref="C522:E522"/>
    <mergeCell ref="F522:G522"/>
    <mergeCell ref="A515:C515"/>
    <mergeCell ref="A516:C516"/>
    <mergeCell ref="A517:D517"/>
    <mergeCell ref="A518:D518"/>
    <mergeCell ref="A519:D519"/>
    <mergeCell ref="A520:D520"/>
    <mergeCell ref="A521:F521"/>
    <mergeCell ref="B526:B527"/>
    <mergeCell ref="C526:E526"/>
    <mergeCell ref="A522:A523"/>
    <mergeCell ref="B522:B523"/>
    <mergeCell ref="A524:A525"/>
    <mergeCell ref="B524:B525"/>
    <mergeCell ref="C524:E524"/>
    <mergeCell ref="F524:G524"/>
    <mergeCell ref="F526:G526"/>
    <mergeCell ref="B531:B532"/>
    <mergeCell ref="C531:E531"/>
    <mergeCell ref="A526:A527"/>
    <mergeCell ref="A528:F528"/>
    <mergeCell ref="A529:A530"/>
    <mergeCell ref="B529:B530"/>
    <mergeCell ref="C529:E529"/>
    <mergeCell ref="F529:G529"/>
    <mergeCell ref="F531:G531"/>
    <mergeCell ref="A531:A532"/>
    <mergeCell ref="A540:A541"/>
    <mergeCell ref="B540:B541"/>
    <mergeCell ref="A546:A547"/>
    <mergeCell ref="B546:B547"/>
    <mergeCell ref="A533:C533"/>
    <mergeCell ref="A534:C534"/>
    <mergeCell ref="A535:D535"/>
    <mergeCell ref="A536:D536"/>
    <mergeCell ref="A537:D537"/>
    <mergeCell ref="A538:D538"/>
    <mergeCell ref="A539:F539"/>
    <mergeCell ref="C540:E540"/>
    <mergeCell ref="F540:G540"/>
    <mergeCell ref="A542:G542"/>
    <mergeCell ref="F543:G543"/>
    <mergeCell ref="B544:G544"/>
    <mergeCell ref="A545:F545"/>
    <mergeCell ref="F546:G546"/>
    <mergeCell ref="C546:E546"/>
    <mergeCell ref="A548:C548"/>
    <mergeCell ref="A549:C549"/>
    <mergeCell ref="A550:D550"/>
    <mergeCell ref="A551:D551"/>
    <mergeCell ref="A552:D552"/>
    <mergeCell ref="A553:D553"/>
    <mergeCell ref="C557:E557"/>
    <mergeCell ref="F557:G557"/>
    <mergeCell ref="A554:F554"/>
    <mergeCell ref="A555:A556"/>
    <mergeCell ref="B555:B556"/>
    <mergeCell ref="C555:E555"/>
    <mergeCell ref="F555:G555"/>
    <mergeCell ref="A557:A558"/>
    <mergeCell ref="B557:B558"/>
    <mergeCell ref="C562:E562"/>
    <mergeCell ref="F562:G562"/>
    <mergeCell ref="A559:A560"/>
    <mergeCell ref="B559:B560"/>
    <mergeCell ref="C559:E559"/>
    <mergeCell ref="F559:G559"/>
    <mergeCell ref="A561:F561"/>
    <mergeCell ref="A562:A563"/>
    <mergeCell ref="B562:B563"/>
    <mergeCell ref="A564:A565"/>
    <mergeCell ref="B564:B565"/>
    <mergeCell ref="C564:E564"/>
    <mergeCell ref="F564:G564"/>
    <mergeCell ref="A566:C566"/>
    <mergeCell ref="A567:C567"/>
    <mergeCell ref="A568:D568"/>
    <mergeCell ref="A588:A589"/>
    <mergeCell ref="B588:B589"/>
    <mergeCell ref="A590:A591"/>
    <mergeCell ref="B590:B591"/>
    <mergeCell ref="A592:A593"/>
    <mergeCell ref="B592:B593"/>
    <mergeCell ref="B595:B596"/>
    <mergeCell ref="B597:B598"/>
    <mergeCell ref="A595:A596"/>
    <mergeCell ref="A597:A598"/>
    <mergeCell ref="A599:C599"/>
    <mergeCell ref="A600:C600"/>
    <mergeCell ref="A601:D601"/>
    <mergeCell ref="A602:D602"/>
    <mergeCell ref="A603:D603"/>
    <mergeCell ref="A604:D604"/>
    <mergeCell ref="A605:F605"/>
    <mergeCell ref="A606:A607"/>
    <mergeCell ref="B606:B607"/>
    <mergeCell ref="C606:E606"/>
    <mergeCell ref="F606:G606"/>
    <mergeCell ref="A608:G608"/>
    <mergeCell ref="F609:G609"/>
    <mergeCell ref="B610:G610"/>
    <mergeCell ref="A611:F611"/>
    <mergeCell ref="A612:A613"/>
    <mergeCell ref="B612:B613"/>
    <mergeCell ref="C612:E612"/>
    <mergeCell ref="F612:G612"/>
    <mergeCell ref="A569:D569"/>
    <mergeCell ref="A570:D570"/>
    <mergeCell ref="A571:D571"/>
    <mergeCell ref="A572:F572"/>
    <mergeCell ref="A573:A574"/>
    <mergeCell ref="B573:B574"/>
    <mergeCell ref="F573:G573"/>
    <mergeCell ref="C579:E579"/>
    <mergeCell ref="F579:G579"/>
    <mergeCell ref="C573:E573"/>
    <mergeCell ref="A575:G575"/>
    <mergeCell ref="F576:G576"/>
    <mergeCell ref="B577:G577"/>
    <mergeCell ref="A578:F578"/>
    <mergeCell ref="A579:A580"/>
    <mergeCell ref="B579:B580"/>
    <mergeCell ref="A581:C581"/>
    <mergeCell ref="A582:C582"/>
    <mergeCell ref="A583:D583"/>
    <mergeCell ref="A584:D584"/>
    <mergeCell ref="A585:D585"/>
    <mergeCell ref="A586:D586"/>
    <mergeCell ref="A587:F587"/>
    <mergeCell ref="C595:E595"/>
    <mergeCell ref="F595:G595"/>
    <mergeCell ref="C597:E597"/>
    <mergeCell ref="F597:G597"/>
    <mergeCell ref="C588:E588"/>
    <mergeCell ref="F588:G588"/>
    <mergeCell ref="C590:E590"/>
    <mergeCell ref="F590:G590"/>
    <mergeCell ref="C592:E592"/>
    <mergeCell ref="F592:G592"/>
    <mergeCell ref="A594:F594"/>
    <mergeCell ref="C621:E621"/>
    <mergeCell ref="F621:G621"/>
    <mergeCell ref="A614:C614"/>
    <mergeCell ref="A615:C615"/>
    <mergeCell ref="A616:D616"/>
    <mergeCell ref="A617:D617"/>
    <mergeCell ref="A618:D618"/>
    <mergeCell ref="A619:D619"/>
    <mergeCell ref="A620:F620"/>
    <mergeCell ref="B625:B626"/>
    <mergeCell ref="C625:E625"/>
    <mergeCell ref="A621:A622"/>
    <mergeCell ref="B621:B622"/>
    <mergeCell ref="A623:A624"/>
    <mergeCell ref="B623:B624"/>
    <mergeCell ref="C623:E623"/>
    <mergeCell ref="F623:G623"/>
    <mergeCell ref="F625:G625"/>
    <mergeCell ref="B630:B631"/>
    <mergeCell ref="C630:E630"/>
    <mergeCell ref="A625:A626"/>
    <mergeCell ref="A627:F627"/>
    <mergeCell ref="A628:A629"/>
    <mergeCell ref="B628:B629"/>
    <mergeCell ref="C628:E628"/>
    <mergeCell ref="F628:G628"/>
    <mergeCell ref="F630:G630"/>
    <mergeCell ref="A630:A631"/>
    <mergeCell ref="A639:A640"/>
    <mergeCell ref="B639:B640"/>
    <mergeCell ref="A645:A646"/>
    <mergeCell ref="B645:B646"/>
    <mergeCell ref="A632:C632"/>
    <mergeCell ref="A633:C633"/>
    <mergeCell ref="A634:D634"/>
    <mergeCell ref="A635:D635"/>
    <mergeCell ref="A636:D636"/>
    <mergeCell ref="A637:D637"/>
    <mergeCell ref="A638:F638"/>
    <mergeCell ref="C639:E639"/>
    <mergeCell ref="F639:G639"/>
    <mergeCell ref="A641:G641"/>
    <mergeCell ref="F642:G642"/>
    <mergeCell ref="B643:G643"/>
    <mergeCell ref="A644:F644"/>
    <mergeCell ref="F645:G645"/>
    <mergeCell ref="C645:E645"/>
    <mergeCell ref="A647:C647"/>
    <mergeCell ref="A648:C648"/>
    <mergeCell ref="A649:D649"/>
    <mergeCell ref="A650:D650"/>
    <mergeCell ref="A651:D651"/>
    <mergeCell ref="A652:D652"/>
    <mergeCell ref="C656:E656"/>
    <mergeCell ref="F656:G656"/>
    <mergeCell ref="A653:F653"/>
    <mergeCell ref="A654:A655"/>
    <mergeCell ref="B654:B655"/>
    <mergeCell ref="C654:E654"/>
    <mergeCell ref="F654:G654"/>
    <mergeCell ref="A656:A657"/>
    <mergeCell ref="B656:B657"/>
    <mergeCell ref="C661:E661"/>
    <mergeCell ref="F661:G661"/>
    <mergeCell ref="A658:A659"/>
    <mergeCell ref="B658:B659"/>
    <mergeCell ref="C658:E658"/>
    <mergeCell ref="F658:G658"/>
    <mergeCell ref="A660:F660"/>
    <mergeCell ref="A661:A662"/>
    <mergeCell ref="B661:B662"/>
    <mergeCell ref="A663:A664"/>
    <mergeCell ref="B663:B664"/>
    <mergeCell ref="C663:E663"/>
    <mergeCell ref="F663:G663"/>
    <mergeCell ref="A665:C665"/>
    <mergeCell ref="A666:C666"/>
    <mergeCell ref="A667:D667"/>
  </mergeCells>
  <drawing r:id="rId1"/>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hidden="1" min="8" max="9" width="14.43"/>
  </cols>
  <sheetData>
    <row r="1">
      <c r="A1" s="111" t="s">
        <v>742</v>
      </c>
      <c r="B1" s="111" t="s">
        <v>745</v>
      </c>
      <c r="C1" s="112" t="s">
        <v>6</v>
      </c>
      <c r="D1" s="2"/>
      <c r="E1" s="3"/>
      <c r="F1" s="112" t="s">
        <v>746</v>
      </c>
      <c r="G1" s="3"/>
      <c r="H1" s="465"/>
      <c r="I1" s="465"/>
    </row>
    <row r="2">
      <c r="A2" s="20"/>
      <c r="B2" s="20"/>
      <c r="C2" s="115" t="s">
        <v>8</v>
      </c>
      <c r="D2" s="115" t="s">
        <v>9</v>
      </c>
      <c r="E2" s="115" t="s">
        <v>358</v>
      </c>
      <c r="F2" s="115" t="s">
        <v>11</v>
      </c>
      <c r="G2" s="115" t="s">
        <v>751</v>
      </c>
      <c r="H2" s="465"/>
      <c r="I2" s="465"/>
    </row>
    <row r="3">
      <c r="A3" s="466" t="s">
        <v>1743</v>
      </c>
      <c r="B3" s="2"/>
      <c r="C3" s="2"/>
      <c r="D3" s="2"/>
      <c r="E3" s="2"/>
      <c r="F3" s="2"/>
      <c r="G3" s="3"/>
      <c r="H3" s="465"/>
      <c r="I3" s="465"/>
    </row>
    <row r="4">
      <c r="A4" s="119"/>
      <c r="B4" s="120" t="s">
        <v>754</v>
      </c>
      <c r="C4" s="120" t="s">
        <v>22</v>
      </c>
      <c r="D4" s="120" t="s">
        <v>757</v>
      </c>
      <c r="E4" s="121">
        <v>10.0</v>
      </c>
      <c r="F4" s="467"/>
      <c r="G4" s="3"/>
      <c r="H4" s="465"/>
      <c r="I4" s="465"/>
    </row>
    <row r="5">
      <c r="A5" s="120" t="s">
        <v>761</v>
      </c>
      <c r="B5" s="123" t="s">
        <v>1745</v>
      </c>
      <c r="C5" s="2"/>
      <c r="D5" s="2"/>
      <c r="E5" s="2"/>
      <c r="F5" s="2"/>
      <c r="G5" s="3"/>
      <c r="H5" s="465"/>
      <c r="I5" s="465"/>
    </row>
    <row r="6">
      <c r="A6" s="124" t="s">
        <v>764</v>
      </c>
      <c r="B6" s="2"/>
      <c r="C6" s="2"/>
      <c r="D6" s="2"/>
      <c r="E6" s="2"/>
      <c r="F6" s="3"/>
      <c r="G6" s="125" t="s">
        <v>766</v>
      </c>
      <c r="H6" s="465"/>
      <c r="I6" s="465"/>
    </row>
    <row r="7">
      <c r="A7" s="126"/>
      <c r="B7" s="127" t="s">
        <v>18</v>
      </c>
      <c r="C7" s="123" t="s">
        <v>1746</v>
      </c>
      <c r="D7" s="2"/>
      <c r="E7" s="3"/>
      <c r="F7" s="467"/>
      <c r="G7" s="3"/>
      <c r="H7" s="465"/>
      <c r="I7" s="465"/>
    </row>
    <row r="8">
      <c r="A8" s="20"/>
      <c r="B8" s="20"/>
      <c r="C8" s="120" t="s">
        <v>22</v>
      </c>
      <c r="D8" s="121">
        <v>10.5</v>
      </c>
      <c r="E8" s="447">
        <f t="array" ref="E8">IFERROR(INDEX(LMRRates,MATCH(B7,LMRCodes,0), ), )</f>
        <v>281</v>
      </c>
      <c r="F8" s="121">
        <f>E8*D8</f>
        <v>2950.5</v>
      </c>
      <c r="G8" s="120" t="s">
        <v>772</v>
      </c>
      <c r="H8" s="465"/>
      <c r="I8" s="465"/>
    </row>
    <row r="9">
      <c r="A9" s="129" t="s">
        <v>42</v>
      </c>
      <c r="B9" s="2"/>
      <c r="C9" s="3"/>
      <c r="D9" s="121">
        <v>10.0</v>
      </c>
      <c r="E9" s="130" t="s">
        <v>22</v>
      </c>
      <c r="F9" s="121">
        <f>F8</f>
        <v>2950.5</v>
      </c>
      <c r="G9" s="120"/>
      <c r="H9" s="465"/>
      <c r="I9" s="465"/>
    </row>
    <row r="10">
      <c r="A10" s="129" t="s">
        <v>800</v>
      </c>
      <c r="B10" s="2"/>
      <c r="C10" s="3"/>
      <c r="D10" s="121">
        <v>1.0</v>
      </c>
      <c r="E10" s="130" t="s">
        <v>22</v>
      </c>
      <c r="F10" s="121">
        <f>F9/D9</f>
        <v>295.05</v>
      </c>
      <c r="G10" s="120"/>
      <c r="H10" s="465"/>
      <c r="I10" s="465"/>
    </row>
    <row r="11">
      <c r="A11" s="133" t="s">
        <v>802</v>
      </c>
      <c r="B11" s="2"/>
      <c r="C11" s="2"/>
      <c r="D11" s="3"/>
      <c r="E11" s="121"/>
      <c r="F11" s="121">
        <f>F10*1%</f>
        <v>2.9505</v>
      </c>
      <c r="G11" s="120"/>
      <c r="H11" s="465"/>
      <c r="I11" s="465"/>
    </row>
    <row r="12">
      <c r="A12" s="133" t="s">
        <v>42</v>
      </c>
      <c r="B12" s="2"/>
      <c r="C12" s="2"/>
      <c r="D12" s="3"/>
      <c r="E12" s="131"/>
      <c r="F12" s="121">
        <f>F10+F11</f>
        <v>298.0005</v>
      </c>
      <c r="G12" s="120"/>
      <c r="H12" s="465"/>
      <c r="I12" s="465"/>
    </row>
    <row r="13">
      <c r="A13" s="133" t="s">
        <v>806</v>
      </c>
      <c r="B13" s="2"/>
      <c r="C13" s="2"/>
      <c r="D13" s="3"/>
      <c r="E13" s="121"/>
      <c r="F13" s="121">
        <f>F12*15%</f>
        <v>44.700075</v>
      </c>
      <c r="G13" s="120"/>
      <c r="H13" s="465"/>
      <c r="I13" s="465"/>
    </row>
    <row r="14">
      <c r="A14" s="133" t="s">
        <v>42</v>
      </c>
      <c r="B14" s="2"/>
      <c r="C14" s="2"/>
      <c r="D14" s="3"/>
      <c r="E14" s="131"/>
      <c r="F14" s="300">
        <f>round(F12+F13,2)</f>
        <v>342.7</v>
      </c>
      <c r="G14" s="120"/>
      <c r="H14" s="465"/>
      <c r="I14" s="465"/>
    </row>
    <row r="15">
      <c r="A15" s="124" t="s">
        <v>777</v>
      </c>
      <c r="B15" s="2"/>
      <c r="C15" s="2"/>
      <c r="D15" s="2"/>
      <c r="E15" s="2"/>
      <c r="F15" s="3"/>
      <c r="G15" s="125" t="s">
        <v>778</v>
      </c>
      <c r="H15" s="465"/>
      <c r="I15" s="465"/>
    </row>
    <row r="16">
      <c r="A16" s="127">
        <v>116.0</v>
      </c>
      <c r="B16" s="126"/>
      <c r="C16" s="123" t="s">
        <v>535</v>
      </c>
      <c r="D16" s="2"/>
      <c r="E16" s="3"/>
      <c r="F16" s="467"/>
      <c r="G16" s="3"/>
      <c r="H16" s="465"/>
      <c r="I16" s="465"/>
    </row>
    <row r="17">
      <c r="A17" s="20"/>
      <c r="B17" s="20"/>
      <c r="C17" s="120" t="s">
        <v>27</v>
      </c>
      <c r="D17" s="121">
        <v>0.35</v>
      </c>
      <c r="E17" s="121">
        <v>784.0</v>
      </c>
      <c r="F17" s="121">
        <f>E17*D17</f>
        <v>274.4</v>
      </c>
      <c r="G17" s="120" t="s">
        <v>780</v>
      </c>
      <c r="H17" s="465"/>
      <c r="I17" s="465"/>
    </row>
    <row r="18">
      <c r="A18" s="127">
        <v>114.0</v>
      </c>
      <c r="B18" s="126"/>
      <c r="C18" s="123" t="s">
        <v>97</v>
      </c>
      <c r="D18" s="2"/>
      <c r="E18" s="3"/>
      <c r="F18" s="467"/>
      <c r="G18" s="3"/>
      <c r="H18" s="465"/>
      <c r="I18" s="465"/>
    </row>
    <row r="19">
      <c r="A19" s="20"/>
      <c r="B19" s="20"/>
      <c r="C19" s="120" t="s">
        <v>27</v>
      </c>
      <c r="D19" s="121">
        <v>0.65</v>
      </c>
      <c r="E19" s="121">
        <v>645.0</v>
      </c>
      <c r="F19" s="121">
        <f>E19*D19</f>
        <v>419.25</v>
      </c>
      <c r="G19" s="120" t="s">
        <v>782</v>
      </c>
      <c r="H19" s="465"/>
      <c r="I19" s="465"/>
    </row>
    <row r="20">
      <c r="A20" s="127">
        <v>100.0</v>
      </c>
      <c r="B20" s="126"/>
      <c r="C20" s="123" t="s">
        <v>1753</v>
      </c>
      <c r="D20" s="2"/>
      <c r="E20" s="3"/>
      <c r="F20" s="467"/>
      <c r="G20" s="3"/>
      <c r="H20" s="465"/>
      <c r="I20" s="465"/>
    </row>
    <row r="21">
      <c r="A21" s="20"/>
      <c r="B21" s="20"/>
      <c r="C21" s="120" t="s">
        <v>27</v>
      </c>
      <c r="D21" s="121">
        <v>0.15</v>
      </c>
      <c r="E21" s="121">
        <v>714.0</v>
      </c>
      <c r="F21" s="121">
        <f>E21*D21</f>
        <v>107.1</v>
      </c>
      <c r="G21" s="120" t="s">
        <v>791</v>
      </c>
      <c r="H21" s="465"/>
      <c r="I21" s="465"/>
    </row>
    <row r="22">
      <c r="A22" s="124" t="s">
        <v>843</v>
      </c>
      <c r="B22" s="2"/>
      <c r="C22" s="2"/>
      <c r="D22" s="2"/>
      <c r="E22" s="2"/>
      <c r="F22" s="3"/>
      <c r="G22" s="125" t="s">
        <v>778</v>
      </c>
      <c r="H22" s="465"/>
      <c r="I22" s="465"/>
    </row>
    <row r="23">
      <c r="A23" s="127">
        <v>9999.0</v>
      </c>
      <c r="B23" s="126"/>
      <c r="C23" s="123" t="s">
        <v>1754</v>
      </c>
      <c r="D23" s="2"/>
      <c r="E23" s="3"/>
      <c r="F23" s="467"/>
      <c r="G23" s="3"/>
      <c r="H23" s="465"/>
      <c r="I23" s="465"/>
    </row>
    <row r="24">
      <c r="A24" s="20"/>
      <c r="B24" s="20"/>
      <c r="C24" s="120" t="s">
        <v>107</v>
      </c>
      <c r="D24" s="121">
        <v>22.53</v>
      </c>
      <c r="E24" s="121">
        <v>2.12</v>
      </c>
      <c r="F24" s="121">
        <f>E24*D24</f>
        <v>47.7636</v>
      </c>
      <c r="G24" s="120" t="s">
        <v>846</v>
      </c>
      <c r="H24" s="465"/>
      <c r="I24" s="465"/>
    </row>
    <row r="25">
      <c r="A25" s="127">
        <v>9999.0</v>
      </c>
      <c r="B25" s="126"/>
      <c r="C25" s="123" t="s">
        <v>1755</v>
      </c>
      <c r="D25" s="2"/>
      <c r="E25" s="3"/>
      <c r="F25" s="467"/>
      <c r="G25" s="3"/>
      <c r="H25" s="465"/>
      <c r="I25" s="465"/>
    </row>
    <row r="26">
      <c r="A26" s="20"/>
      <c r="B26" s="20"/>
      <c r="C26" s="120" t="s">
        <v>107</v>
      </c>
      <c r="D26" s="121">
        <v>10.27</v>
      </c>
      <c r="E26" s="121">
        <v>2.12</v>
      </c>
      <c r="F26" s="121">
        <f>E26*D26</f>
        <v>21.7724</v>
      </c>
      <c r="G26" s="120" t="s">
        <v>850</v>
      </c>
      <c r="H26" s="465"/>
      <c r="I26" s="465"/>
    </row>
    <row r="27">
      <c r="A27" s="127">
        <v>9999.0</v>
      </c>
      <c r="B27" s="126"/>
      <c r="C27" s="123" t="s">
        <v>1756</v>
      </c>
      <c r="D27" s="2"/>
      <c r="E27" s="3"/>
      <c r="F27" s="467"/>
      <c r="G27" s="3"/>
      <c r="H27" s="465"/>
      <c r="I27" s="465"/>
    </row>
    <row r="28">
      <c r="A28" s="20"/>
      <c r="B28" s="20"/>
      <c r="C28" s="120" t="s">
        <v>107</v>
      </c>
      <c r="D28" s="121">
        <v>30.98</v>
      </c>
      <c r="E28" s="121">
        <v>2.12</v>
      </c>
      <c r="F28" s="121">
        <f>E28*D28</f>
        <v>65.6776</v>
      </c>
      <c r="G28" s="120" t="s">
        <v>1757</v>
      </c>
      <c r="H28" s="465"/>
      <c r="I28" s="465"/>
    </row>
    <row r="29">
      <c r="A29" s="129" t="s">
        <v>42</v>
      </c>
      <c r="B29" s="2"/>
      <c r="C29" s="3"/>
      <c r="D29" s="121">
        <v>10.0</v>
      </c>
      <c r="E29" s="130" t="s">
        <v>22</v>
      </c>
      <c r="F29" s="121">
        <f>F17+F19+F21+F24+F26+F28</f>
        <v>935.9636</v>
      </c>
      <c r="G29" s="131"/>
      <c r="H29" s="465"/>
      <c r="I29" s="465"/>
    </row>
    <row r="30">
      <c r="A30" s="129" t="s">
        <v>800</v>
      </c>
      <c r="B30" s="2"/>
      <c r="C30" s="3"/>
      <c r="D30" s="121">
        <v>1.0</v>
      </c>
      <c r="E30" s="130" t="s">
        <v>22</v>
      </c>
      <c r="F30" s="121">
        <f>F29/D29</f>
        <v>93.59636</v>
      </c>
      <c r="G30" s="131"/>
      <c r="H30" s="465"/>
      <c r="I30" s="465"/>
    </row>
    <row r="31">
      <c r="A31" s="133" t="s">
        <v>802</v>
      </c>
      <c r="B31" s="2"/>
      <c r="C31" s="2"/>
      <c r="D31" s="3"/>
      <c r="E31" s="121"/>
      <c r="F31" s="121">
        <f>F30*1%</f>
        <v>0.9359636</v>
      </c>
      <c r="G31" s="131"/>
      <c r="H31" s="465"/>
      <c r="I31" s="465"/>
    </row>
    <row r="32">
      <c r="A32" s="133" t="s">
        <v>42</v>
      </c>
      <c r="B32" s="2"/>
      <c r="C32" s="2"/>
      <c r="D32" s="3"/>
      <c r="E32" s="131"/>
      <c r="F32" s="121">
        <f>F30+F31</f>
        <v>94.5323236</v>
      </c>
      <c r="G32" s="131"/>
      <c r="H32" s="465"/>
      <c r="I32" s="465"/>
    </row>
    <row r="33">
      <c r="A33" s="133" t="s">
        <v>806</v>
      </c>
      <c r="B33" s="2"/>
      <c r="C33" s="2"/>
      <c r="D33" s="3"/>
      <c r="E33" s="121"/>
      <c r="F33" s="121">
        <f>F32*15%</f>
        <v>14.17984854</v>
      </c>
      <c r="G33" s="131"/>
      <c r="H33" s="465"/>
      <c r="I33" s="465"/>
    </row>
    <row r="34">
      <c r="A34" s="133" t="s">
        <v>42</v>
      </c>
      <c r="B34" s="2"/>
      <c r="C34" s="2"/>
      <c r="D34" s="3"/>
      <c r="E34" s="131"/>
      <c r="F34" s="300">
        <f>round(F32+F33,2)</f>
        <v>108.71</v>
      </c>
      <c r="G34" s="131"/>
      <c r="H34" s="465"/>
      <c r="I34" s="465"/>
    </row>
    <row r="35">
      <c r="A35" s="471" t="str">
        <f>CONCATENATE("Say ₹ ",F14," + ",F34," x Cost Index")</f>
        <v>Say ₹ 342.7 + 108.71 x Cost Index</v>
      </c>
      <c r="B35" s="2"/>
      <c r="C35" s="2"/>
      <c r="D35" s="2"/>
      <c r="E35" s="2"/>
      <c r="F35" s="3"/>
      <c r="G35" s="472" t="s">
        <v>939</v>
      </c>
      <c r="H35" s="473">
        <f>F8*1.01*1.15/10</f>
        <v>342.700575</v>
      </c>
      <c r="I35" s="473">
        <f>(F17+F19+F21+F24+F26+F28)*1.01*1.15/10</f>
        <v>108.7121721</v>
      </c>
    </row>
    <row r="36">
      <c r="A36" s="111" t="s">
        <v>742</v>
      </c>
      <c r="B36" s="111" t="s">
        <v>745</v>
      </c>
      <c r="C36" s="112" t="s">
        <v>6</v>
      </c>
      <c r="D36" s="2"/>
      <c r="E36" s="3"/>
      <c r="F36" s="112" t="s">
        <v>746</v>
      </c>
      <c r="G36" s="3"/>
      <c r="H36" s="465"/>
      <c r="I36" s="465"/>
    </row>
    <row r="37">
      <c r="A37" s="20"/>
      <c r="B37" s="20"/>
      <c r="C37" s="115" t="s">
        <v>8</v>
      </c>
      <c r="D37" s="115" t="s">
        <v>9</v>
      </c>
      <c r="E37" s="115" t="s">
        <v>358</v>
      </c>
      <c r="F37" s="115" t="s">
        <v>11</v>
      </c>
      <c r="G37" s="115" t="s">
        <v>751</v>
      </c>
      <c r="H37" s="465"/>
      <c r="I37" s="465"/>
    </row>
    <row r="38">
      <c r="A38" s="466" t="s">
        <v>1760</v>
      </c>
      <c r="B38" s="2"/>
      <c r="C38" s="2"/>
      <c r="D38" s="2"/>
      <c r="E38" s="2"/>
      <c r="F38" s="2"/>
      <c r="G38" s="3"/>
      <c r="H38" s="465"/>
      <c r="I38" s="465"/>
    </row>
    <row r="39">
      <c r="A39" s="119"/>
      <c r="B39" s="120" t="s">
        <v>754</v>
      </c>
      <c r="C39" s="120" t="s">
        <v>22</v>
      </c>
      <c r="D39" s="120" t="s">
        <v>757</v>
      </c>
      <c r="E39" s="121">
        <v>10.0</v>
      </c>
      <c r="F39" s="467"/>
      <c r="G39" s="3"/>
      <c r="H39" s="465"/>
      <c r="I39" s="465"/>
    </row>
    <row r="40">
      <c r="A40" s="120" t="s">
        <v>761</v>
      </c>
      <c r="B40" s="123" t="s">
        <v>1745</v>
      </c>
      <c r="C40" s="2"/>
      <c r="D40" s="2"/>
      <c r="E40" s="2"/>
      <c r="F40" s="2"/>
      <c r="G40" s="3"/>
      <c r="H40" s="465"/>
      <c r="I40" s="465"/>
    </row>
    <row r="41">
      <c r="A41" s="124" t="s">
        <v>764</v>
      </c>
      <c r="B41" s="2"/>
      <c r="C41" s="2"/>
      <c r="D41" s="2"/>
      <c r="E41" s="2"/>
      <c r="F41" s="3"/>
      <c r="G41" s="125" t="s">
        <v>766</v>
      </c>
      <c r="H41" s="465"/>
      <c r="I41" s="465"/>
    </row>
    <row r="42">
      <c r="A42" s="126"/>
      <c r="B42" s="127" t="s">
        <v>1762</v>
      </c>
      <c r="C42" s="123" t="s">
        <v>1763</v>
      </c>
      <c r="D42" s="2"/>
      <c r="E42" s="3"/>
      <c r="F42" s="467"/>
      <c r="G42" s="3"/>
      <c r="H42" s="465"/>
      <c r="I42" s="465"/>
    </row>
    <row r="43">
      <c r="A43" s="20"/>
      <c r="B43" s="20"/>
      <c r="C43" s="120" t="s">
        <v>22</v>
      </c>
      <c r="D43" s="121">
        <v>10.5</v>
      </c>
      <c r="E43" s="447">
        <f t="array" ref="E43">IFERROR(INDEX(LMRRates,MATCH(B42,LMRCodes,0), ), )</f>
        <v>128</v>
      </c>
      <c r="F43" s="121">
        <f>E43*D43</f>
        <v>1344</v>
      </c>
      <c r="G43" s="120" t="s">
        <v>772</v>
      </c>
      <c r="H43" s="465"/>
      <c r="I43" s="465"/>
    </row>
    <row r="44">
      <c r="A44" s="129" t="s">
        <v>42</v>
      </c>
      <c r="B44" s="2"/>
      <c r="C44" s="3"/>
      <c r="D44" s="121">
        <v>10.0</v>
      </c>
      <c r="E44" s="130" t="s">
        <v>22</v>
      </c>
      <c r="F44" s="121">
        <f>F43</f>
        <v>1344</v>
      </c>
      <c r="G44" s="120"/>
      <c r="H44" s="465"/>
      <c r="I44" s="465"/>
    </row>
    <row r="45">
      <c r="A45" s="129" t="s">
        <v>800</v>
      </c>
      <c r="B45" s="2"/>
      <c r="C45" s="3"/>
      <c r="D45" s="121">
        <v>1.0</v>
      </c>
      <c r="E45" s="130" t="s">
        <v>22</v>
      </c>
      <c r="F45" s="121">
        <f>F44/D44</f>
        <v>134.4</v>
      </c>
      <c r="G45" s="120"/>
      <c r="H45" s="465"/>
      <c r="I45" s="465"/>
    </row>
    <row r="46">
      <c r="A46" s="133" t="s">
        <v>802</v>
      </c>
      <c r="B46" s="2"/>
      <c r="C46" s="2"/>
      <c r="D46" s="3"/>
      <c r="E46" s="121"/>
      <c r="F46" s="121">
        <f>F45*1%</f>
        <v>1.344</v>
      </c>
      <c r="G46" s="120"/>
      <c r="H46" s="465"/>
      <c r="I46" s="465"/>
    </row>
    <row r="47">
      <c r="A47" s="133" t="s">
        <v>42</v>
      </c>
      <c r="B47" s="2"/>
      <c r="C47" s="2"/>
      <c r="D47" s="3"/>
      <c r="E47" s="131"/>
      <c r="F47" s="121">
        <f>F45+F46</f>
        <v>135.744</v>
      </c>
      <c r="G47" s="120"/>
      <c r="H47" s="465"/>
      <c r="I47" s="465"/>
    </row>
    <row r="48">
      <c r="A48" s="133" t="s">
        <v>806</v>
      </c>
      <c r="B48" s="2"/>
      <c r="C48" s="2"/>
      <c r="D48" s="3"/>
      <c r="E48" s="121"/>
      <c r="F48" s="121">
        <f>F47*15%</f>
        <v>20.3616</v>
      </c>
      <c r="G48" s="120"/>
      <c r="H48" s="465"/>
      <c r="I48" s="465"/>
    </row>
    <row r="49">
      <c r="A49" s="133" t="s">
        <v>42</v>
      </c>
      <c r="B49" s="2"/>
      <c r="C49" s="2"/>
      <c r="D49" s="3"/>
      <c r="E49" s="131"/>
      <c r="F49" s="300">
        <f>round(F47+F48,2)</f>
        <v>156.11</v>
      </c>
      <c r="G49" s="120"/>
      <c r="H49" s="465"/>
      <c r="I49" s="465"/>
    </row>
    <row r="50">
      <c r="A50" s="124" t="s">
        <v>777</v>
      </c>
      <c r="B50" s="2"/>
      <c r="C50" s="2"/>
      <c r="D50" s="2"/>
      <c r="E50" s="2"/>
      <c r="F50" s="3"/>
      <c r="G50" s="125" t="s">
        <v>778</v>
      </c>
      <c r="H50" s="465"/>
      <c r="I50" s="465"/>
    </row>
    <row r="51">
      <c r="A51" s="127">
        <v>116.0</v>
      </c>
      <c r="B51" s="126"/>
      <c r="C51" s="123" t="s">
        <v>535</v>
      </c>
      <c r="D51" s="2"/>
      <c r="E51" s="3"/>
      <c r="F51" s="467"/>
      <c r="G51" s="3"/>
      <c r="H51" s="465"/>
      <c r="I51" s="465"/>
    </row>
    <row r="52">
      <c r="A52" s="20"/>
      <c r="B52" s="20"/>
      <c r="C52" s="120" t="s">
        <v>27</v>
      </c>
      <c r="D52" s="121">
        <v>0.32</v>
      </c>
      <c r="E52" s="121">
        <v>784.0</v>
      </c>
      <c r="F52" s="121">
        <f>E52*D52</f>
        <v>250.88</v>
      </c>
      <c r="G52" s="120" t="s">
        <v>780</v>
      </c>
      <c r="H52" s="465"/>
      <c r="I52" s="465"/>
    </row>
    <row r="53">
      <c r="A53" s="127">
        <v>114.0</v>
      </c>
      <c r="B53" s="126"/>
      <c r="C53" s="123" t="s">
        <v>97</v>
      </c>
      <c r="D53" s="2"/>
      <c r="E53" s="3"/>
      <c r="F53" s="467"/>
      <c r="G53" s="3"/>
      <c r="H53" s="465"/>
      <c r="I53" s="465"/>
    </row>
    <row r="54">
      <c r="A54" s="20"/>
      <c r="B54" s="20"/>
      <c r="C54" s="120" t="s">
        <v>27</v>
      </c>
      <c r="D54" s="121">
        <v>0.62</v>
      </c>
      <c r="E54" s="121">
        <v>645.0</v>
      </c>
      <c r="F54" s="121">
        <f>E54*D54</f>
        <v>399.9</v>
      </c>
      <c r="G54" s="120" t="s">
        <v>782</v>
      </c>
      <c r="H54" s="465"/>
      <c r="I54" s="465"/>
    </row>
    <row r="55">
      <c r="A55" s="127">
        <v>100.0</v>
      </c>
      <c r="B55" s="126"/>
      <c r="C55" s="123" t="s">
        <v>1753</v>
      </c>
      <c r="D55" s="2"/>
      <c r="E55" s="3"/>
      <c r="F55" s="467"/>
      <c r="G55" s="3"/>
      <c r="H55" s="465"/>
      <c r="I55" s="465"/>
    </row>
    <row r="56">
      <c r="A56" s="20"/>
      <c r="B56" s="20"/>
      <c r="C56" s="120" t="s">
        <v>27</v>
      </c>
      <c r="D56" s="121">
        <v>0.13</v>
      </c>
      <c r="E56" s="121">
        <v>714.0</v>
      </c>
      <c r="F56" s="121">
        <f>E56*D56</f>
        <v>92.82</v>
      </c>
      <c r="G56" s="120" t="s">
        <v>791</v>
      </c>
      <c r="H56" s="465"/>
      <c r="I56" s="465"/>
    </row>
    <row r="57">
      <c r="A57" s="124" t="s">
        <v>843</v>
      </c>
      <c r="B57" s="2"/>
      <c r="C57" s="2"/>
      <c r="D57" s="2"/>
      <c r="E57" s="2"/>
      <c r="F57" s="3"/>
      <c r="G57" s="125" t="s">
        <v>778</v>
      </c>
      <c r="H57" s="465"/>
      <c r="I57" s="465"/>
    </row>
    <row r="58">
      <c r="A58" s="127">
        <v>9999.0</v>
      </c>
      <c r="B58" s="126"/>
      <c r="C58" s="123" t="s">
        <v>1754</v>
      </c>
      <c r="D58" s="2"/>
      <c r="E58" s="3"/>
      <c r="F58" s="467"/>
      <c r="G58" s="3"/>
      <c r="H58" s="465"/>
      <c r="I58" s="465"/>
    </row>
    <row r="59">
      <c r="A59" s="20"/>
      <c r="B59" s="20"/>
      <c r="C59" s="120" t="s">
        <v>107</v>
      </c>
      <c r="D59" s="121">
        <v>22.53</v>
      </c>
      <c r="E59" s="121">
        <v>2.12</v>
      </c>
      <c r="F59" s="121">
        <f>E59*D59</f>
        <v>47.7636</v>
      </c>
      <c r="G59" s="120" t="s">
        <v>846</v>
      </c>
      <c r="H59" s="465"/>
      <c r="I59" s="465"/>
    </row>
    <row r="60">
      <c r="A60" s="127">
        <v>9999.0</v>
      </c>
      <c r="B60" s="126"/>
      <c r="C60" s="123" t="s">
        <v>1755</v>
      </c>
      <c r="D60" s="2"/>
      <c r="E60" s="3"/>
      <c r="F60" s="467"/>
      <c r="G60" s="3"/>
      <c r="H60" s="465"/>
      <c r="I60" s="465"/>
    </row>
    <row r="61">
      <c r="A61" s="20"/>
      <c r="B61" s="20"/>
      <c r="C61" s="120" t="s">
        <v>107</v>
      </c>
      <c r="D61" s="121">
        <v>10.27</v>
      </c>
      <c r="E61" s="121">
        <v>2.12</v>
      </c>
      <c r="F61" s="121">
        <f>E61*D61</f>
        <v>21.7724</v>
      </c>
      <c r="G61" s="120" t="s">
        <v>850</v>
      </c>
      <c r="H61" s="465"/>
      <c r="I61" s="465"/>
    </row>
    <row r="62">
      <c r="A62" s="127">
        <v>9999.0</v>
      </c>
      <c r="B62" s="126"/>
      <c r="C62" s="123" t="s">
        <v>1756</v>
      </c>
      <c r="D62" s="2"/>
      <c r="E62" s="3"/>
      <c r="F62" s="467"/>
      <c r="G62" s="3"/>
      <c r="H62" s="465"/>
      <c r="I62" s="465"/>
    </row>
    <row r="63">
      <c r="A63" s="20"/>
      <c r="B63" s="20"/>
      <c r="C63" s="120" t="s">
        <v>107</v>
      </c>
      <c r="D63" s="121">
        <v>30.98</v>
      </c>
      <c r="E63" s="121">
        <v>2.12</v>
      </c>
      <c r="F63" s="121">
        <f>E63*D63</f>
        <v>65.6776</v>
      </c>
      <c r="G63" s="120" t="s">
        <v>1757</v>
      </c>
      <c r="H63" s="465"/>
      <c r="I63" s="465"/>
    </row>
    <row r="64">
      <c r="A64" s="129" t="s">
        <v>42</v>
      </c>
      <c r="B64" s="2"/>
      <c r="C64" s="3"/>
      <c r="D64" s="121">
        <v>10.0</v>
      </c>
      <c r="E64" s="130" t="s">
        <v>22</v>
      </c>
      <c r="F64" s="121">
        <f>F52+F54+F56+F59+F61+F63</f>
        <v>878.8136</v>
      </c>
      <c r="G64" s="131"/>
      <c r="H64" s="465"/>
      <c r="I64" s="465"/>
    </row>
    <row r="65">
      <c r="A65" s="129" t="s">
        <v>800</v>
      </c>
      <c r="B65" s="2"/>
      <c r="C65" s="3"/>
      <c r="D65" s="121">
        <v>1.0</v>
      </c>
      <c r="E65" s="130" t="s">
        <v>22</v>
      </c>
      <c r="F65" s="121">
        <f>F64/D64</f>
        <v>87.88136</v>
      </c>
      <c r="G65" s="131"/>
      <c r="H65" s="465"/>
      <c r="I65" s="465"/>
    </row>
    <row r="66">
      <c r="A66" s="133" t="s">
        <v>802</v>
      </c>
      <c r="B66" s="2"/>
      <c r="C66" s="2"/>
      <c r="D66" s="3"/>
      <c r="E66" s="121"/>
      <c r="F66" s="121">
        <f>F65*1%</f>
        <v>0.8788136</v>
      </c>
      <c r="G66" s="131"/>
      <c r="H66" s="465"/>
      <c r="I66" s="465"/>
    </row>
    <row r="67">
      <c r="A67" s="133" t="s">
        <v>42</v>
      </c>
      <c r="B67" s="2"/>
      <c r="C67" s="2"/>
      <c r="D67" s="3"/>
      <c r="E67" s="131"/>
      <c r="F67" s="121">
        <f>F65+F66</f>
        <v>88.7601736</v>
      </c>
      <c r="G67" s="131"/>
      <c r="H67" s="465"/>
      <c r="I67" s="465"/>
    </row>
    <row r="68">
      <c r="A68" s="133" t="s">
        <v>806</v>
      </c>
      <c r="B68" s="2"/>
      <c r="C68" s="2"/>
      <c r="D68" s="3"/>
      <c r="E68" s="121"/>
      <c r="F68" s="121">
        <f>F67*15%</f>
        <v>13.31402604</v>
      </c>
      <c r="G68" s="131"/>
      <c r="H68" s="465"/>
      <c r="I68" s="465"/>
    </row>
    <row r="69">
      <c r="A69" s="133" t="s">
        <v>42</v>
      </c>
      <c r="B69" s="2"/>
      <c r="C69" s="2"/>
      <c r="D69" s="3"/>
      <c r="E69" s="131"/>
      <c r="F69" s="300">
        <f>round(F67+F68,2)</f>
        <v>102.07</v>
      </c>
      <c r="G69" s="131"/>
      <c r="H69" s="465"/>
      <c r="I69" s="465"/>
    </row>
    <row r="70">
      <c r="A70" s="471" t="str">
        <f>CONCATENATE("Say ₹ ",F49," + ",F69," x Cost Index")</f>
        <v>Say ₹ 156.11 + 102.07 x Cost Index</v>
      </c>
      <c r="B70" s="2"/>
      <c r="C70" s="2"/>
      <c r="D70" s="2"/>
      <c r="E70" s="2"/>
      <c r="F70" s="3"/>
      <c r="G70" s="472" t="s">
        <v>939</v>
      </c>
      <c r="H70" s="473">
        <f>F43*1.01*1.15/10</f>
        <v>156.1056</v>
      </c>
      <c r="I70" s="473">
        <f>(F52+F54+F56+F59+F61+F63)*1.01*1.15/10</f>
        <v>102.0741996</v>
      </c>
    </row>
  </sheetData>
  <mergeCells count="102">
    <mergeCell ref="C20:E20"/>
    <mergeCell ref="A22:F22"/>
    <mergeCell ref="A23:A24"/>
    <mergeCell ref="B23:B24"/>
    <mergeCell ref="C23:E23"/>
    <mergeCell ref="F23:G23"/>
    <mergeCell ref="A25:A26"/>
    <mergeCell ref="B25:B26"/>
    <mergeCell ref="C25:E25"/>
    <mergeCell ref="A27:A28"/>
    <mergeCell ref="B27:B28"/>
    <mergeCell ref="C27:E27"/>
    <mergeCell ref="A29:C29"/>
    <mergeCell ref="A30:C30"/>
    <mergeCell ref="C36:E36"/>
    <mergeCell ref="F36:G36"/>
    <mergeCell ref="A31:D31"/>
    <mergeCell ref="A32:D32"/>
    <mergeCell ref="A33:D33"/>
    <mergeCell ref="A34:D34"/>
    <mergeCell ref="A35:F35"/>
    <mergeCell ref="A36:A37"/>
    <mergeCell ref="B36:B37"/>
    <mergeCell ref="A38:G38"/>
    <mergeCell ref="F39:G39"/>
    <mergeCell ref="B40:G40"/>
    <mergeCell ref="A41:F41"/>
    <mergeCell ref="A42:A43"/>
    <mergeCell ref="C42:E42"/>
    <mergeCell ref="F42:G42"/>
    <mergeCell ref="B42:B43"/>
    <mergeCell ref="A44:C44"/>
    <mergeCell ref="A45:C45"/>
    <mergeCell ref="A46:D46"/>
    <mergeCell ref="A47:D47"/>
    <mergeCell ref="A48:D48"/>
    <mergeCell ref="A49:D49"/>
    <mergeCell ref="C53:E53"/>
    <mergeCell ref="F53:G53"/>
    <mergeCell ref="A50:F50"/>
    <mergeCell ref="A51:A52"/>
    <mergeCell ref="B51:B52"/>
    <mergeCell ref="C51:E51"/>
    <mergeCell ref="F51:G51"/>
    <mergeCell ref="A53:A54"/>
    <mergeCell ref="B53:B54"/>
    <mergeCell ref="C58:E58"/>
    <mergeCell ref="F58:G58"/>
    <mergeCell ref="A55:A56"/>
    <mergeCell ref="B55:B56"/>
    <mergeCell ref="C55:E55"/>
    <mergeCell ref="F55:G55"/>
    <mergeCell ref="A57:F57"/>
    <mergeCell ref="A58:A59"/>
    <mergeCell ref="B58:B59"/>
    <mergeCell ref="C7:E7"/>
    <mergeCell ref="F7:G7"/>
    <mergeCell ref="B1:B2"/>
    <mergeCell ref="C1:E1"/>
    <mergeCell ref="F1:G1"/>
    <mergeCell ref="A3:G3"/>
    <mergeCell ref="F4:G4"/>
    <mergeCell ref="B5:G5"/>
    <mergeCell ref="A6:F6"/>
    <mergeCell ref="A1:A2"/>
    <mergeCell ref="A7:A8"/>
    <mergeCell ref="B7:B8"/>
    <mergeCell ref="A9:C9"/>
    <mergeCell ref="A10:C10"/>
    <mergeCell ref="A11:D11"/>
    <mergeCell ref="A12:D12"/>
    <mergeCell ref="A13:D13"/>
    <mergeCell ref="A14:D14"/>
    <mergeCell ref="A15:F15"/>
    <mergeCell ref="A16:A17"/>
    <mergeCell ref="B16:B17"/>
    <mergeCell ref="C16:E16"/>
    <mergeCell ref="F16:G16"/>
    <mergeCell ref="A18:A19"/>
    <mergeCell ref="B18:B19"/>
    <mergeCell ref="C18:E18"/>
    <mergeCell ref="F18:G18"/>
    <mergeCell ref="A20:A21"/>
    <mergeCell ref="B20:B21"/>
    <mergeCell ref="F20:G20"/>
    <mergeCell ref="F25:G25"/>
    <mergeCell ref="F27:G27"/>
    <mergeCell ref="B62:B63"/>
    <mergeCell ref="A64:C64"/>
    <mergeCell ref="A65:C65"/>
    <mergeCell ref="A66:D66"/>
    <mergeCell ref="A67:D67"/>
    <mergeCell ref="A68:D68"/>
    <mergeCell ref="A69:D69"/>
    <mergeCell ref="A70:F70"/>
    <mergeCell ref="A60:A61"/>
    <mergeCell ref="B60:B61"/>
    <mergeCell ref="C60:E60"/>
    <mergeCell ref="F60:G60"/>
    <mergeCell ref="A62:A63"/>
    <mergeCell ref="C62:E62"/>
    <mergeCell ref="F62:G62"/>
  </mergeCell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7.86"/>
    <col customWidth="1" min="2" max="2" width="37.43"/>
    <col customWidth="1" min="3" max="3" width="9.71"/>
    <col customWidth="1" min="4" max="4" width="11.0"/>
    <col customWidth="1" min="5" max="5" width="9.71"/>
    <col customWidth="1" min="6" max="6" width="23.29"/>
  </cols>
  <sheetData>
    <row r="1">
      <c r="A1" s="1" t="s">
        <v>1777</v>
      </c>
      <c r="B1" s="2"/>
      <c r="C1" s="2"/>
      <c r="D1" s="2"/>
      <c r="E1" s="2"/>
      <c r="F1" s="3"/>
    </row>
    <row r="2">
      <c r="A2" s="514">
        <v>0.0</v>
      </c>
      <c r="B2" s="515" t="s">
        <v>1778</v>
      </c>
      <c r="C2" s="2"/>
      <c r="D2" s="2"/>
      <c r="E2" s="2"/>
      <c r="F2" s="3"/>
    </row>
    <row r="3">
      <c r="A3" s="516" t="s">
        <v>4</v>
      </c>
      <c r="B3" s="516" t="s">
        <v>6</v>
      </c>
      <c r="C3" s="516" t="s">
        <v>8</v>
      </c>
      <c r="D3" s="516" t="s">
        <v>9</v>
      </c>
      <c r="E3" s="516" t="s">
        <v>10</v>
      </c>
      <c r="F3" s="516" t="s">
        <v>11</v>
      </c>
    </row>
    <row r="4">
      <c r="A4" s="517"/>
      <c r="B4" s="197" t="s">
        <v>519</v>
      </c>
      <c r="C4" s="517"/>
      <c r="D4" s="517"/>
      <c r="E4" s="517"/>
      <c r="F4" s="517"/>
    </row>
    <row r="5">
      <c r="A5" s="20"/>
      <c r="B5" s="197" t="s">
        <v>838</v>
      </c>
      <c r="C5" s="20"/>
      <c r="D5" s="20"/>
      <c r="E5" s="20"/>
      <c r="F5" s="20"/>
    </row>
    <row r="6">
      <c r="A6" s="160" t="s">
        <v>1719</v>
      </c>
      <c r="B6" s="203" t="s">
        <v>1779</v>
      </c>
      <c r="C6" s="211" t="s">
        <v>22</v>
      </c>
      <c r="D6" s="211">
        <v>11.5</v>
      </c>
      <c r="E6" s="160">
        <v>30.0</v>
      </c>
      <c r="F6" s="518">
        <f>D6*E6</f>
        <v>345</v>
      </c>
    </row>
    <row r="7">
      <c r="A7" s="20"/>
      <c r="B7" s="197" t="s">
        <v>915</v>
      </c>
      <c r="C7" s="20"/>
      <c r="D7" s="20"/>
      <c r="E7" s="20"/>
      <c r="F7" s="20"/>
    </row>
    <row r="8">
      <c r="A8" s="197"/>
      <c r="B8" s="519" t="s">
        <v>40</v>
      </c>
      <c r="C8" s="2"/>
      <c r="D8" s="2"/>
      <c r="E8" s="3"/>
      <c r="F8" s="520">
        <f>F6*0.01</f>
        <v>3.45</v>
      </c>
    </row>
    <row r="9">
      <c r="A9" s="197"/>
      <c r="B9" s="519" t="s">
        <v>42</v>
      </c>
      <c r="C9" s="2"/>
      <c r="D9" s="2"/>
      <c r="E9" s="3"/>
      <c r="F9" s="520">
        <f>SUM(F6:F8)</f>
        <v>348.45</v>
      </c>
    </row>
    <row r="10">
      <c r="A10" s="197"/>
      <c r="B10" s="519" t="s">
        <v>47</v>
      </c>
      <c r="C10" s="2"/>
      <c r="D10" s="2"/>
      <c r="E10" s="3"/>
      <c r="F10" s="520">
        <f>F9*0.15</f>
        <v>52.2675</v>
      </c>
    </row>
    <row r="11">
      <c r="A11" s="197"/>
      <c r="B11" s="519" t="s">
        <v>42</v>
      </c>
      <c r="C11" s="2"/>
      <c r="D11" s="2"/>
      <c r="E11" s="3"/>
      <c r="F11" s="520">
        <f>SUM(F9:F10)</f>
        <v>400.7175</v>
      </c>
    </row>
    <row r="12">
      <c r="A12" s="197"/>
      <c r="B12" s="519" t="s">
        <v>552</v>
      </c>
      <c r="C12" s="2"/>
      <c r="D12" s="2"/>
      <c r="E12" s="3"/>
      <c r="F12" s="520">
        <f>F11</f>
        <v>400.7175</v>
      </c>
    </row>
    <row r="13">
      <c r="A13" s="197"/>
      <c r="B13" s="519" t="s">
        <v>76</v>
      </c>
      <c r="C13" s="2"/>
      <c r="D13" s="2"/>
      <c r="E13" s="3"/>
      <c r="F13" s="521">
        <f>round(F12/10,2)</f>
        <v>40.07</v>
      </c>
    </row>
    <row r="14">
      <c r="A14" s="198">
        <v>116.0</v>
      </c>
      <c r="B14" s="197" t="s">
        <v>535</v>
      </c>
      <c r="C14" s="198" t="s">
        <v>27</v>
      </c>
      <c r="D14" s="199">
        <v>0.08</v>
      </c>
      <c r="E14" s="199">
        <v>784.0</v>
      </c>
      <c r="F14" s="520">
        <f t="shared" ref="F14:F15" si="1">D14*E14</f>
        <v>62.72</v>
      </c>
    </row>
    <row r="15">
      <c r="A15" s="198">
        <v>114.0</v>
      </c>
      <c r="B15" s="197" t="s">
        <v>97</v>
      </c>
      <c r="C15" s="198" t="s">
        <v>27</v>
      </c>
      <c r="D15" s="199">
        <v>0.16</v>
      </c>
      <c r="E15" s="199">
        <v>645.0</v>
      </c>
      <c r="F15" s="520">
        <f t="shared" si="1"/>
        <v>103.2</v>
      </c>
    </row>
    <row r="16">
      <c r="A16" s="197"/>
      <c r="B16" s="519" t="s">
        <v>31</v>
      </c>
      <c r="C16" s="2"/>
      <c r="D16" s="2"/>
      <c r="E16" s="3"/>
      <c r="F16" s="520">
        <f>SUM(F14:F15)</f>
        <v>165.92</v>
      </c>
    </row>
    <row r="17">
      <c r="A17" s="197"/>
      <c r="B17" s="519" t="s">
        <v>40</v>
      </c>
      <c r="C17" s="2"/>
      <c r="D17" s="2"/>
      <c r="E17" s="3"/>
      <c r="F17" s="520">
        <f>F16*0.01</f>
        <v>1.6592</v>
      </c>
    </row>
    <row r="18">
      <c r="A18" s="197"/>
      <c r="B18" s="519" t="s">
        <v>42</v>
      </c>
      <c r="C18" s="2"/>
      <c r="D18" s="2"/>
      <c r="E18" s="3"/>
      <c r="F18" s="520">
        <f>SUM(F16:F17)</f>
        <v>167.5792</v>
      </c>
    </row>
    <row r="19">
      <c r="A19" s="197"/>
      <c r="B19" s="519" t="s">
        <v>47</v>
      </c>
      <c r="C19" s="2"/>
      <c r="D19" s="2"/>
      <c r="E19" s="3"/>
      <c r="F19" s="520">
        <f>F18*0.15</f>
        <v>25.13688</v>
      </c>
    </row>
    <row r="20">
      <c r="A20" s="197"/>
      <c r="B20" s="519" t="s">
        <v>42</v>
      </c>
      <c r="C20" s="2"/>
      <c r="D20" s="2"/>
      <c r="E20" s="3"/>
      <c r="F20" s="520">
        <f>SUM(F18:F19)</f>
        <v>192.71608</v>
      </c>
    </row>
    <row r="21">
      <c r="A21" s="197"/>
      <c r="B21" s="519" t="s">
        <v>552</v>
      </c>
      <c r="C21" s="2"/>
      <c r="D21" s="2"/>
      <c r="E21" s="3"/>
      <c r="F21" s="520">
        <f>F20</f>
        <v>192.71608</v>
      </c>
    </row>
    <row r="22">
      <c r="A22" s="197"/>
      <c r="B22" s="519" t="s">
        <v>76</v>
      </c>
      <c r="C22" s="2"/>
      <c r="D22" s="2"/>
      <c r="E22" s="3"/>
      <c r="F22" s="521">
        <f>round(F21/10,2)</f>
        <v>19.27</v>
      </c>
    </row>
    <row r="23">
      <c r="A23" s="522" t="str">
        <f>CONCATENATE("Say ₹ ",F13," + ",F22," x Cost Index")</f>
        <v>Say ₹ 40.07 + 19.27 x Cost Index</v>
      </c>
      <c r="B23" s="2"/>
      <c r="C23" s="2"/>
      <c r="D23" s="2"/>
      <c r="E23" s="2"/>
      <c r="F23" s="3"/>
    </row>
    <row r="24">
      <c r="A24" s="235">
        <v>0.0</v>
      </c>
      <c r="B24" s="5" t="s">
        <v>1783</v>
      </c>
      <c r="C24" s="2"/>
      <c r="D24" s="2"/>
      <c r="E24" s="2"/>
      <c r="F24" s="3"/>
    </row>
    <row r="25">
      <c r="A25" s="4" t="s">
        <v>4</v>
      </c>
      <c r="B25" s="4" t="s">
        <v>6</v>
      </c>
      <c r="C25" s="4" t="s">
        <v>8</v>
      </c>
      <c r="D25" s="4" t="s">
        <v>9</v>
      </c>
      <c r="E25" s="4" t="s">
        <v>10</v>
      </c>
      <c r="F25" s="4" t="s">
        <v>11</v>
      </c>
    </row>
    <row r="26">
      <c r="A26" s="523"/>
      <c r="B26" s="15" t="s">
        <v>519</v>
      </c>
      <c r="C26" s="523"/>
      <c r="D26" s="523"/>
      <c r="E26" s="523"/>
      <c r="F26" s="523"/>
    </row>
    <row r="27">
      <c r="A27" s="20"/>
      <c r="B27" s="15" t="s">
        <v>838</v>
      </c>
      <c r="C27" s="20"/>
      <c r="D27" s="20"/>
      <c r="E27" s="20"/>
      <c r="F27" s="20"/>
    </row>
    <row r="28">
      <c r="A28" s="76" t="s">
        <v>1739</v>
      </c>
      <c r="B28" s="15" t="s">
        <v>1785</v>
      </c>
      <c r="C28" s="11" t="s">
        <v>22</v>
      </c>
      <c r="D28" s="11">
        <v>11.5</v>
      </c>
      <c r="E28" s="76">
        <v>48.0</v>
      </c>
      <c r="F28" s="524">
        <f>D28*E28</f>
        <v>552</v>
      </c>
    </row>
    <row r="29">
      <c r="A29" s="20"/>
      <c r="B29" s="15" t="s">
        <v>915</v>
      </c>
      <c r="C29" s="20"/>
      <c r="D29" s="20"/>
      <c r="E29" s="20"/>
      <c r="F29" s="20"/>
    </row>
    <row r="30">
      <c r="A30" s="15"/>
      <c r="B30" s="80" t="s">
        <v>40</v>
      </c>
      <c r="C30" s="2"/>
      <c r="D30" s="2"/>
      <c r="E30" s="3"/>
      <c r="F30" s="525">
        <f>F28*0.01</f>
        <v>5.52</v>
      </c>
    </row>
    <row r="31">
      <c r="A31" s="15"/>
      <c r="B31" s="80" t="s">
        <v>42</v>
      </c>
      <c r="C31" s="2"/>
      <c r="D31" s="2"/>
      <c r="E31" s="3"/>
      <c r="F31" s="525">
        <f>SUM(F28:F30)</f>
        <v>557.52</v>
      </c>
    </row>
    <row r="32">
      <c r="A32" s="15"/>
      <c r="B32" s="80" t="s">
        <v>47</v>
      </c>
      <c r="C32" s="2"/>
      <c r="D32" s="2"/>
      <c r="E32" s="3"/>
      <c r="F32" s="525">
        <f>F31*0.15</f>
        <v>83.628</v>
      </c>
    </row>
    <row r="33">
      <c r="A33" s="15"/>
      <c r="B33" s="80" t="s">
        <v>42</v>
      </c>
      <c r="C33" s="2"/>
      <c r="D33" s="2"/>
      <c r="E33" s="3"/>
      <c r="F33" s="525">
        <f>SUM(F31:F32)</f>
        <v>641.148</v>
      </c>
    </row>
    <row r="34">
      <c r="A34" s="15"/>
      <c r="B34" s="80" t="s">
        <v>552</v>
      </c>
      <c r="C34" s="2"/>
      <c r="D34" s="2"/>
      <c r="E34" s="3"/>
      <c r="F34" s="525">
        <f>F33</f>
        <v>641.148</v>
      </c>
    </row>
    <row r="35">
      <c r="A35" s="15"/>
      <c r="B35" s="80" t="s">
        <v>76</v>
      </c>
      <c r="C35" s="2"/>
      <c r="D35" s="2"/>
      <c r="E35" s="3"/>
      <c r="F35" s="526">
        <f>round(F34/10,2)</f>
        <v>64.11</v>
      </c>
    </row>
    <row r="36">
      <c r="A36" s="23">
        <v>116.0</v>
      </c>
      <c r="B36" s="15" t="s">
        <v>535</v>
      </c>
      <c r="C36" s="23" t="s">
        <v>27</v>
      </c>
      <c r="D36" s="23">
        <v>0.12</v>
      </c>
      <c r="E36" s="22">
        <v>784.0</v>
      </c>
      <c r="F36" s="525">
        <f t="shared" ref="F36:F37" si="2">D36*E36</f>
        <v>94.08</v>
      </c>
    </row>
    <row r="37">
      <c r="A37" s="23">
        <v>114.0</v>
      </c>
      <c r="B37" s="15" t="s">
        <v>97</v>
      </c>
      <c r="C37" s="23" t="s">
        <v>27</v>
      </c>
      <c r="D37" s="23">
        <v>0.25</v>
      </c>
      <c r="E37" s="22">
        <v>645.0</v>
      </c>
      <c r="F37" s="525">
        <f t="shared" si="2"/>
        <v>161.25</v>
      </c>
    </row>
    <row r="38">
      <c r="A38" s="15"/>
      <c r="B38" s="80" t="s">
        <v>31</v>
      </c>
      <c r="C38" s="2"/>
      <c r="D38" s="2"/>
      <c r="E38" s="3"/>
      <c r="F38" s="525">
        <f>SUM(F36:F37)</f>
        <v>255.33</v>
      </c>
    </row>
    <row r="39">
      <c r="A39" s="15"/>
      <c r="B39" s="80" t="s">
        <v>40</v>
      </c>
      <c r="C39" s="2"/>
      <c r="D39" s="2"/>
      <c r="E39" s="3"/>
      <c r="F39" s="525">
        <f>F38*0.01</f>
        <v>2.5533</v>
      </c>
    </row>
    <row r="40">
      <c r="A40" s="15"/>
      <c r="B40" s="80" t="s">
        <v>42</v>
      </c>
      <c r="C40" s="2"/>
      <c r="D40" s="2"/>
      <c r="E40" s="3"/>
      <c r="F40" s="525">
        <f>SUM(F38:F39)</f>
        <v>257.8833</v>
      </c>
    </row>
    <row r="41">
      <c r="A41" s="15"/>
      <c r="B41" s="80" t="s">
        <v>47</v>
      </c>
      <c r="C41" s="2"/>
      <c r="D41" s="2"/>
      <c r="E41" s="3"/>
      <c r="F41" s="525">
        <f>F40*0.15</f>
        <v>38.682495</v>
      </c>
    </row>
    <row r="42">
      <c r="A42" s="15"/>
      <c r="B42" s="80" t="s">
        <v>42</v>
      </c>
      <c r="C42" s="2"/>
      <c r="D42" s="2"/>
      <c r="E42" s="3"/>
      <c r="F42" s="525">
        <f>SUM(F40:F41)</f>
        <v>296.565795</v>
      </c>
    </row>
    <row r="43">
      <c r="A43" s="15"/>
      <c r="B43" s="80" t="s">
        <v>552</v>
      </c>
      <c r="C43" s="2"/>
      <c r="D43" s="2"/>
      <c r="E43" s="3"/>
      <c r="F43" s="525">
        <f>F42</f>
        <v>296.565795</v>
      </c>
    </row>
    <row r="44">
      <c r="A44" s="15"/>
      <c r="B44" s="80" t="s">
        <v>76</v>
      </c>
      <c r="C44" s="2"/>
      <c r="D44" s="2"/>
      <c r="E44" s="3"/>
      <c r="F44" s="526">
        <f>round(F43/10,2)</f>
        <v>29.66</v>
      </c>
    </row>
    <row r="45">
      <c r="A45" s="36" t="str">
        <f>CONCATENATE("Say ₹ ",F35," + ",F44," x Cost Index")</f>
        <v>Say ₹ 64.11 + 29.66 x Cost Index</v>
      </c>
      <c r="B45" s="2"/>
      <c r="C45" s="2"/>
      <c r="D45" s="2"/>
      <c r="E45" s="2"/>
      <c r="F45" s="3"/>
    </row>
    <row r="46">
      <c r="A46" s="527">
        <v>0.0</v>
      </c>
      <c r="B46" s="528" t="s">
        <v>1793</v>
      </c>
      <c r="C46" s="2"/>
      <c r="D46" s="2"/>
      <c r="E46" s="2"/>
      <c r="F46" s="3"/>
    </row>
    <row r="47">
      <c r="A47" s="529" t="s">
        <v>4</v>
      </c>
      <c r="B47" s="529" t="s">
        <v>6</v>
      </c>
      <c r="C47" s="529" t="s">
        <v>8</v>
      </c>
      <c r="D47" s="529" t="s">
        <v>9</v>
      </c>
      <c r="E47" s="529" t="s">
        <v>10</v>
      </c>
      <c r="F47" s="529" t="s">
        <v>11</v>
      </c>
    </row>
    <row r="48">
      <c r="A48" s="530"/>
      <c r="B48" s="531" t="s">
        <v>519</v>
      </c>
      <c r="C48" s="530"/>
      <c r="D48" s="530"/>
      <c r="E48" s="530"/>
      <c r="F48" s="530"/>
    </row>
    <row r="49">
      <c r="A49" s="20"/>
      <c r="B49" s="531" t="s">
        <v>838</v>
      </c>
      <c r="C49" s="20"/>
      <c r="D49" s="20"/>
      <c r="E49" s="20"/>
      <c r="F49" s="20"/>
    </row>
    <row r="50">
      <c r="A50" s="532" t="s">
        <v>1751</v>
      </c>
      <c r="B50" s="531" t="s">
        <v>1794</v>
      </c>
      <c r="C50" s="533" t="s">
        <v>22</v>
      </c>
      <c r="D50" s="533">
        <v>11.5</v>
      </c>
      <c r="E50" s="532">
        <v>65.0</v>
      </c>
      <c r="F50" s="534">
        <f>D50*E50</f>
        <v>747.5</v>
      </c>
    </row>
    <row r="51">
      <c r="A51" s="20"/>
      <c r="B51" s="531" t="s">
        <v>915</v>
      </c>
      <c r="C51" s="20"/>
      <c r="D51" s="20"/>
      <c r="E51" s="20"/>
      <c r="F51" s="20"/>
    </row>
    <row r="52">
      <c r="A52" s="531"/>
      <c r="B52" s="535" t="s">
        <v>40</v>
      </c>
      <c r="C52" s="2"/>
      <c r="D52" s="2"/>
      <c r="E52" s="3"/>
      <c r="F52" s="536">
        <f>F50*0.01</f>
        <v>7.475</v>
      </c>
    </row>
    <row r="53">
      <c r="A53" s="531"/>
      <c r="B53" s="535" t="s">
        <v>42</v>
      </c>
      <c r="C53" s="2"/>
      <c r="D53" s="2"/>
      <c r="E53" s="3"/>
      <c r="F53" s="536">
        <f>SUM(F50:F52)</f>
        <v>754.975</v>
      </c>
    </row>
    <row r="54">
      <c r="A54" s="531"/>
      <c r="B54" s="535" t="s">
        <v>47</v>
      </c>
      <c r="C54" s="2"/>
      <c r="D54" s="2"/>
      <c r="E54" s="3"/>
      <c r="F54" s="536">
        <f>F53*0.15</f>
        <v>113.24625</v>
      </c>
    </row>
    <row r="55">
      <c r="A55" s="531"/>
      <c r="B55" s="535" t="s">
        <v>42</v>
      </c>
      <c r="C55" s="2"/>
      <c r="D55" s="2"/>
      <c r="E55" s="3"/>
      <c r="F55" s="536">
        <f>SUM(F53:F54)</f>
        <v>868.22125</v>
      </c>
    </row>
    <row r="56">
      <c r="A56" s="531"/>
      <c r="B56" s="535" t="s">
        <v>552</v>
      </c>
      <c r="C56" s="2"/>
      <c r="D56" s="2"/>
      <c r="E56" s="3"/>
      <c r="F56" s="536">
        <f>F55</f>
        <v>868.22125</v>
      </c>
    </row>
    <row r="57">
      <c r="A57" s="531"/>
      <c r="B57" s="535" t="s">
        <v>76</v>
      </c>
      <c r="C57" s="2"/>
      <c r="D57" s="2"/>
      <c r="E57" s="3"/>
      <c r="F57" s="537">
        <f>round(F56/10,2)</f>
        <v>86.82</v>
      </c>
    </row>
    <row r="58">
      <c r="A58" s="538">
        <v>116.0</v>
      </c>
      <c r="B58" s="531" t="s">
        <v>535</v>
      </c>
      <c r="C58" s="538" t="s">
        <v>27</v>
      </c>
      <c r="D58" s="538">
        <v>0.12</v>
      </c>
      <c r="E58" s="539">
        <v>784.0</v>
      </c>
      <c r="F58" s="536">
        <f t="shared" ref="F58:F59" si="3">D58*E58</f>
        <v>94.08</v>
      </c>
    </row>
    <row r="59">
      <c r="A59" s="538">
        <v>114.0</v>
      </c>
      <c r="B59" s="531" t="s">
        <v>97</v>
      </c>
      <c r="C59" s="538" t="s">
        <v>27</v>
      </c>
      <c r="D59" s="538">
        <v>0.25</v>
      </c>
      <c r="E59" s="539">
        <v>645.0</v>
      </c>
      <c r="F59" s="536">
        <f t="shared" si="3"/>
        <v>161.25</v>
      </c>
    </row>
    <row r="60">
      <c r="A60" s="531"/>
      <c r="B60" s="535" t="s">
        <v>31</v>
      </c>
      <c r="C60" s="2"/>
      <c r="D60" s="2"/>
      <c r="E60" s="3"/>
      <c r="F60" s="536">
        <f>SUM(F58:F59)</f>
        <v>255.33</v>
      </c>
    </row>
    <row r="61">
      <c r="A61" s="531"/>
      <c r="B61" s="535" t="s">
        <v>40</v>
      </c>
      <c r="C61" s="2"/>
      <c r="D61" s="2"/>
      <c r="E61" s="3"/>
      <c r="F61" s="536">
        <f>F60*0.01</f>
        <v>2.5533</v>
      </c>
    </row>
    <row r="62">
      <c r="A62" s="531"/>
      <c r="B62" s="535" t="s">
        <v>42</v>
      </c>
      <c r="C62" s="2"/>
      <c r="D62" s="2"/>
      <c r="E62" s="3"/>
      <c r="F62" s="536">
        <f>SUM(F60:F61)</f>
        <v>257.8833</v>
      </c>
    </row>
    <row r="63">
      <c r="A63" s="531"/>
      <c r="B63" s="535" t="s">
        <v>47</v>
      </c>
      <c r="C63" s="2"/>
      <c r="D63" s="2"/>
      <c r="E63" s="3"/>
      <c r="F63" s="536">
        <f>F62*0.15</f>
        <v>38.682495</v>
      </c>
    </row>
    <row r="64">
      <c r="A64" s="531"/>
      <c r="B64" s="535" t="s">
        <v>42</v>
      </c>
      <c r="C64" s="2"/>
      <c r="D64" s="2"/>
      <c r="E64" s="3"/>
      <c r="F64" s="536">
        <f>SUM(F62:F63)</f>
        <v>296.565795</v>
      </c>
    </row>
    <row r="65">
      <c r="A65" s="531"/>
      <c r="B65" s="535" t="s">
        <v>552</v>
      </c>
      <c r="C65" s="2"/>
      <c r="D65" s="2"/>
      <c r="E65" s="3"/>
      <c r="F65" s="536">
        <f>F64</f>
        <v>296.565795</v>
      </c>
    </row>
    <row r="66">
      <c r="A66" s="531"/>
      <c r="B66" s="535" t="s">
        <v>76</v>
      </c>
      <c r="C66" s="2"/>
      <c r="D66" s="2"/>
      <c r="E66" s="3"/>
      <c r="F66" s="537">
        <f>round(F65/10,2)</f>
        <v>29.66</v>
      </c>
    </row>
    <row r="67">
      <c r="A67" s="540" t="str">
        <f>CONCATENATE("Say ₹ ",F57," + ",F66," x Cost Index")</f>
        <v>Say ₹ 86.82 + 29.66 x Cost Index</v>
      </c>
      <c r="B67" s="2"/>
      <c r="C67" s="2"/>
      <c r="D67" s="2"/>
      <c r="E67" s="2"/>
      <c r="F67" s="3"/>
    </row>
    <row r="68">
      <c r="A68" s="235">
        <v>0.0</v>
      </c>
      <c r="B68" s="5" t="s">
        <v>1796</v>
      </c>
      <c r="C68" s="2"/>
      <c r="D68" s="2"/>
      <c r="E68" s="2"/>
      <c r="F68" s="3"/>
    </row>
    <row r="69">
      <c r="A69" s="4" t="s">
        <v>4</v>
      </c>
      <c r="B69" s="4" t="s">
        <v>6</v>
      </c>
      <c r="C69" s="4" t="s">
        <v>8</v>
      </c>
      <c r="D69" s="4" t="s">
        <v>9</v>
      </c>
      <c r="E69" s="4" t="s">
        <v>10</v>
      </c>
      <c r="F69" s="4" t="s">
        <v>11</v>
      </c>
    </row>
    <row r="70">
      <c r="A70" s="523"/>
      <c r="B70" s="15" t="s">
        <v>519</v>
      </c>
      <c r="C70" s="523"/>
      <c r="D70" s="523"/>
      <c r="E70" s="523"/>
      <c r="F70" s="523"/>
    </row>
    <row r="71">
      <c r="A71" s="20"/>
      <c r="B71" s="15" t="s">
        <v>838</v>
      </c>
      <c r="C71" s="20"/>
      <c r="D71" s="20"/>
      <c r="E71" s="20"/>
      <c r="F71" s="20"/>
    </row>
    <row r="72">
      <c r="A72" s="76" t="s">
        <v>1797</v>
      </c>
      <c r="B72" s="15" t="s">
        <v>1798</v>
      </c>
      <c r="C72" s="11" t="s">
        <v>22</v>
      </c>
      <c r="D72" s="11">
        <v>11.5</v>
      </c>
      <c r="E72" s="76">
        <v>52.0</v>
      </c>
      <c r="F72" s="524">
        <f>D72*E72</f>
        <v>598</v>
      </c>
    </row>
    <row r="73">
      <c r="A73" s="20"/>
      <c r="B73" s="15" t="s">
        <v>915</v>
      </c>
      <c r="C73" s="20"/>
      <c r="D73" s="20"/>
      <c r="E73" s="20"/>
      <c r="F73" s="20"/>
    </row>
    <row r="74">
      <c r="A74" s="15"/>
      <c r="B74" s="80" t="s">
        <v>40</v>
      </c>
      <c r="C74" s="2"/>
      <c r="D74" s="2"/>
      <c r="E74" s="3"/>
      <c r="F74" s="525">
        <f>F72*0.01</f>
        <v>5.98</v>
      </c>
    </row>
    <row r="75">
      <c r="A75" s="15"/>
      <c r="B75" s="80" t="s">
        <v>42</v>
      </c>
      <c r="C75" s="2"/>
      <c r="D75" s="2"/>
      <c r="E75" s="3"/>
      <c r="F75" s="525">
        <f>SUM(F72:F74)</f>
        <v>603.98</v>
      </c>
    </row>
    <row r="76">
      <c r="A76" s="15"/>
      <c r="B76" s="80" t="s">
        <v>47</v>
      </c>
      <c r="C76" s="2"/>
      <c r="D76" s="2"/>
      <c r="E76" s="3"/>
      <c r="F76" s="525">
        <f>F75*0.15</f>
        <v>90.597</v>
      </c>
    </row>
    <row r="77">
      <c r="A77" s="15"/>
      <c r="B77" s="80" t="s">
        <v>42</v>
      </c>
      <c r="C77" s="2"/>
      <c r="D77" s="2"/>
      <c r="E77" s="3"/>
      <c r="F77" s="525">
        <f>SUM(F75:F76)</f>
        <v>694.577</v>
      </c>
    </row>
    <row r="78">
      <c r="A78" s="15"/>
      <c r="B78" s="80" t="s">
        <v>552</v>
      </c>
      <c r="C78" s="2"/>
      <c r="D78" s="2"/>
      <c r="E78" s="3"/>
      <c r="F78" s="525">
        <f>F77</f>
        <v>694.577</v>
      </c>
    </row>
    <row r="79">
      <c r="A79" s="15"/>
      <c r="B79" s="80" t="s">
        <v>76</v>
      </c>
      <c r="C79" s="2"/>
      <c r="D79" s="2"/>
      <c r="E79" s="3"/>
      <c r="F79" s="526">
        <f>round(F78/10,2)</f>
        <v>69.46</v>
      </c>
    </row>
    <row r="80">
      <c r="A80" s="23">
        <v>116.0</v>
      </c>
      <c r="B80" s="15" t="s">
        <v>535</v>
      </c>
      <c r="C80" s="23" t="s">
        <v>27</v>
      </c>
      <c r="D80" s="23">
        <v>0.12</v>
      </c>
      <c r="E80" s="22">
        <v>784.0</v>
      </c>
      <c r="F80" s="525">
        <f t="shared" ref="F80:F81" si="4">D80*E80</f>
        <v>94.08</v>
      </c>
    </row>
    <row r="81">
      <c r="A81" s="23">
        <v>114.0</v>
      </c>
      <c r="B81" s="15" t="s">
        <v>97</v>
      </c>
      <c r="C81" s="23" t="s">
        <v>27</v>
      </c>
      <c r="D81" s="23">
        <v>0.25</v>
      </c>
      <c r="E81" s="22">
        <v>645.0</v>
      </c>
      <c r="F81" s="525">
        <f t="shared" si="4"/>
        <v>161.25</v>
      </c>
    </row>
    <row r="82">
      <c r="A82" s="15"/>
      <c r="B82" s="80" t="s">
        <v>31</v>
      </c>
      <c r="C82" s="2"/>
      <c r="D82" s="2"/>
      <c r="E82" s="3"/>
      <c r="F82" s="525">
        <f>SUM(F80:F81)</f>
        <v>255.33</v>
      </c>
    </row>
    <row r="83">
      <c r="A83" s="15"/>
      <c r="B83" s="80" t="s">
        <v>40</v>
      </c>
      <c r="C83" s="2"/>
      <c r="D83" s="2"/>
      <c r="E83" s="3"/>
      <c r="F83" s="525">
        <f>F82*0.01</f>
        <v>2.5533</v>
      </c>
    </row>
    <row r="84">
      <c r="A84" s="15"/>
      <c r="B84" s="80" t="s">
        <v>42</v>
      </c>
      <c r="C84" s="2"/>
      <c r="D84" s="2"/>
      <c r="E84" s="3"/>
      <c r="F84" s="525">
        <f>SUM(F82:F83)</f>
        <v>257.8833</v>
      </c>
    </row>
    <row r="85">
      <c r="A85" s="15"/>
      <c r="B85" s="80" t="s">
        <v>47</v>
      </c>
      <c r="C85" s="2"/>
      <c r="D85" s="2"/>
      <c r="E85" s="3"/>
      <c r="F85" s="525">
        <f>F84*0.15</f>
        <v>38.682495</v>
      </c>
    </row>
    <row r="86">
      <c r="A86" s="15"/>
      <c r="B86" s="80" t="s">
        <v>42</v>
      </c>
      <c r="C86" s="2"/>
      <c r="D86" s="2"/>
      <c r="E86" s="3"/>
      <c r="F86" s="525">
        <f>SUM(F84:F85)</f>
        <v>296.565795</v>
      </c>
    </row>
    <row r="87">
      <c r="A87" s="15"/>
      <c r="B87" s="80" t="s">
        <v>552</v>
      </c>
      <c r="C87" s="2"/>
      <c r="D87" s="2"/>
      <c r="E87" s="3"/>
      <c r="F87" s="525">
        <f>F86</f>
        <v>296.565795</v>
      </c>
    </row>
    <row r="88">
      <c r="A88" s="15"/>
      <c r="B88" s="80" t="s">
        <v>76</v>
      </c>
      <c r="C88" s="2"/>
      <c r="D88" s="2"/>
      <c r="E88" s="3"/>
      <c r="F88" s="526">
        <f>round(F87/10,2)</f>
        <v>29.66</v>
      </c>
    </row>
    <row r="89">
      <c r="A89" s="36" t="str">
        <f>CONCATENATE("Say ₹ ",F79," + ",F88," x Cost Index")</f>
        <v>Say ₹ 69.46 + 29.66 x Cost Index</v>
      </c>
      <c r="B89" s="2"/>
      <c r="C89" s="2"/>
      <c r="D89" s="2"/>
      <c r="E89" s="2"/>
      <c r="F89" s="3"/>
    </row>
    <row r="90">
      <c r="A90" s="527">
        <v>0.0</v>
      </c>
      <c r="B90" s="528" t="s">
        <v>1807</v>
      </c>
      <c r="C90" s="2"/>
      <c r="D90" s="2"/>
      <c r="E90" s="2"/>
      <c r="F90" s="3"/>
    </row>
    <row r="91">
      <c r="A91" s="529" t="s">
        <v>4</v>
      </c>
      <c r="B91" s="529" t="s">
        <v>6</v>
      </c>
      <c r="C91" s="529" t="s">
        <v>8</v>
      </c>
      <c r="D91" s="529" t="s">
        <v>9</v>
      </c>
      <c r="E91" s="529" t="s">
        <v>10</v>
      </c>
      <c r="F91" s="529" t="s">
        <v>11</v>
      </c>
    </row>
    <row r="92">
      <c r="A92" s="530"/>
      <c r="B92" s="531" t="s">
        <v>519</v>
      </c>
      <c r="C92" s="530"/>
      <c r="D92" s="530"/>
      <c r="E92" s="530"/>
      <c r="F92" s="530"/>
    </row>
    <row r="93">
      <c r="A93" s="20"/>
      <c r="B93" s="531" t="s">
        <v>838</v>
      </c>
      <c r="C93" s="20"/>
      <c r="D93" s="20"/>
      <c r="E93" s="20"/>
      <c r="F93" s="20"/>
    </row>
    <row r="94">
      <c r="A94" s="532" t="s">
        <v>1781</v>
      </c>
      <c r="B94" s="531" t="s">
        <v>1808</v>
      </c>
      <c r="C94" s="533" t="s">
        <v>22</v>
      </c>
      <c r="D94" s="533">
        <v>11.5</v>
      </c>
      <c r="E94" s="532">
        <v>53.0</v>
      </c>
      <c r="F94" s="534">
        <f>D94*E94</f>
        <v>609.5</v>
      </c>
    </row>
    <row r="95">
      <c r="A95" s="20"/>
      <c r="B95" s="531" t="s">
        <v>915</v>
      </c>
      <c r="C95" s="20"/>
      <c r="D95" s="20"/>
      <c r="E95" s="20"/>
      <c r="F95" s="20"/>
    </row>
    <row r="96">
      <c r="A96" s="531"/>
      <c r="B96" s="535" t="s">
        <v>40</v>
      </c>
      <c r="C96" s="2"/>
      <c r="D96" s="2"/>
      <c r="E96" s="3"/>
      <c r="F96" s="536">
        <f>F94*0.01</f>
        <v>6.095</v>
      </c>
    </row>
    <row r="97">
      <c r="A97" s="531"/>
      <c r="B97" s="535" t="s">
        <v>42</v>
      </c>
      <c r="C97" s="2"/>
      <c r="D97" s="2"/>
      <c r="E97" s="3"/>
      <c r="F97" s="536">
        <f>SUM(F94:F96)</f>
        <v>615.595</v>
      </c>
    </row>
    <row r="98">
      <c r="A98" s="531"/>
      <c r="B98" s="535" t="s">
        <v>47</v>
      </c>
      <c r="C98" s="2"/>
      <c r="D98" s="2"/>
      <c r="E98" s="3"/>
      <c r="F98" s="536">
        <f>F97*0.15</f>
        <v>92.33925</v>
      </c>
    </row>
    <row r="99">
      <c r="A99" s="531"/>
      <c r="B99" s="535" t="s">
        <v>42</v>
      </c>
      <c r="C99" s="2"/>
      <c r="D99" s="2"/>
      <c r="E99" s="3"/>
      <c r="F99" s="536">
        <f>SUM(F97:F98)</f>
        <v>707.93425</v>
      </c>
    </row>
    <row r="100">
      <c r="A100" s="531"/>
      <c r="B100" s="535" t="s">
        <v>552</v>
      </c>
      <c r="C100" s="2"/>
      <c r="D100" s="2"/>
      <c r="E100" s="3"/>
      <c r="F100" s="536">
        <f>F99</f>
        <v>707.93425</v>
      </c>
    </row>
    <row r="101">
      <c r="A101" s="531"/>
      <c r="B101" s="535" t="s">
        <v>76</v>
      </c>
      <c r="C101" s="2"/>
      <c r="D101" s="2"/>
      <c r="E101" s="3"/>
      <c r="F101" s="537">
        <f>round(F100/10,2)</f>
        <v>70.79</v>
      </c>
    </row>
    <row r="102">
      <c r="A102" s="538">
        <v>116.0</v>
      </c>
      <c r="B102" s="531" t="s">
        <v>535</v>
      </c>
      <c r="C102" s="538" t="s">
        <v>27</v>
      </c>
      <c r="D102" s="538">
        <v>0.12</v>
      </c>
      <c r="E102" s="539">
        <v>784.0</v>
      </c>
      <c r="F102" s="536">
        <f t="shared" ref="F102:F103" si="5">D102*E102</f>
        <v>94.08</v>
      </c>
    </row>
    <row r="103">
      <c r="A103" s="538">
        <v>114.0</v>
      </c>
      <c r="B103" s="531" t="s">
        <v>97</v>
      </c>
      <c r="C103" s="538" t="s">
        <v>27</v>
      </c>
      <c r="D103" s="538">
        <v>0.25</v>
      </c>
      <c r="E103" s="539">
        <v>645.0</v>
      </c>
      <c r="F103" s="536">
        <f t="shared" si="5"/>
        <v>161.25</v>
      </c>
    </row>
    <row r="104">
      <c r="A104" s="531"/>
      <c r="B104" s="535" t="s">
        <v>31</v>
      </c>
      <c r="C104" s="2"/>
      <c r="D104" s="2"/>
      <c r="E104" s="3"/>
      <c r="F104" s="536">
        <f>SUM(F102:F103)</f>
        <v>255.33</v>
      </c>
    </row>
    <row r="105">
      <c r="A105" s="531"/>
      <c r="B105" s="535" t="s">
        <v>40</v>
      </c>
      <c r="C105" s="2"/>
      <c r="D105" s="2"/>
      <c r="E105" s="3"/>
      <c r="F105" s="536">
        <f>F104*0.01</f>
        <v>2.5533</v>
      </c>
    </row>
    <row r="106">
      <c r="A106" s="531"/>
      <c r="B106" s="535" t="s">
        <v>42</v>
      </c>
      <c r="C106" s="2"/>
      <c r="D106" s="2"/>
      <c r="E106" s="3"/>
      <c r="F106" s="536">
        <f>SUM(F104:F105)</f>
        <v>257.8833</v>
      </c>
    </row>
    <row r="107">
      <c r="A107" s="531"/>
      <c r="B107" s="535" t="s">
        <v>47</v>
      </c>
      <c r="C107" s="2"/>
      <c r="D107" s="2"/>
      <c r="E107" s="3"/>
      <c r="F107" s="536">
        <f>F106*0.15</f>
        <v>38.682495</v>
      </c>
    </row>
    <row r="108">
      <c r="A108" s="531"/>
      <c r="B108" s="535" t="s">
        <v>42</v>
      </c>
      <c r="C108" s="2"/>
      <c r="D108" s="2"/>
      <c r="E108" s="3"/>
      <c r="F108" s="536">
        <f>SUM(F106:F107)</f>
        <v>296.565795</v>
      </c>
    </row>
    <row r="109">
      <c r="A109" s="531"/>
      <c r="B109" s="535" t="s">
        <v>552</v>
      </c>
      <c r="C109" s="2"/>
      <c r="D109" s="2"/>
      <c r="E109" s="3"/>
      <c r="F109" s="536">
        <f>F108</f>
        <v>296.565795</v>
      </c>
    </row>
    <row r="110">
      <c r="A110" s="531"/>
      <c r="B110" s="535" t="s">
        <v>76</v>
      </c>
      <c r="C110" s="2"/>
      <c r="D110" s="2"/>
      <c r="E110" s="3"/>
      <c r="F110" s="537">
        <f>round(F109/10,2)</f>
        <v>29.66</v>
      </c>
    </row>
    <row r="111">
      <c r="A111" s="540" t="str">
        <f>CONCATENATE("Say ₹ ",F101," + ",F110," x Cost Index")</f>
        <v>Say ₹ 70.79 + 29.66 x Cost Index</v>
      </c>
      <c r="B111" s="2"/>
      <c r="C111" s="2"/>
      <c r="D111" s="2"/>
      <c r="E111" s="2"/>
      <c r="F111" s="3"/>
    </row>
    <row r="112">
      <c r="A112" s="235">
        <v>0.0</v>
      </c>
      <c r="B112" s="5" t="s">
        <v>1812</v>
      </c>
      <c r="C112" s="2"/>
      <c r="D112" s="2"/>
      <c r="E112" s="2"/>
      <c r="F112" s="3"/>
    </row>
    <row r="113">
      <c r="A113" s="4" t="s">
        <v>4</v>
      </c>
      <c r="B113" s="4" t="s">
        <v>6</v>
      </c>
      <c r="C113" s="4" t="s">
        <v>8</v>
      </c>
      <c r="D113" s="4" t="s">
        <v>9</v>
      </c>
      <c r="E113" s="4" t="s">
        <v>10</v>
      </c>
      <c r="F113" s="4" t="s">
        <v>11</v>
      </c>
    </row>
    <row r="114">
      <c r="A114" s="523"/>
      <c r="B114" s="15" t="s">
        <v>519</v>
      </c>
      <c r="C114" s="523"/>
      <c r="D114" s="523"/>
      <c r="E114" s="523"/>
      <c r="F114" s="523"/>
    </row>
    <row r="115">
      <c r="A115" s="20"/>
      <c r="B115" s="15" t="s">
        <v>838</v>
      </c>
      <c r="C115" s="20"/>
      <c r="D115" s="20"/>
      <c r="E115" s="20"/>
      <c r="F115" s="20"/>
    </row>
    <row r="116">
      <c r="A116" s="76" t="s">
        <v>1770</v>
      </c>
      <c r="B116" s="15" t="s">
        <v>1813</v>
      </c>
      <c r="C116" s="11" t="s">
        <v>22</v>
      </c>
      <c r="D116" s="11">
        <v>11.5</v>
      </c>
      <c r="E116" s="76">
        <v>84.0</v>
      </c>
      <c r="F116" s="524">
        <f>D116*E116</f>
        <v>966</v>
      </c>
    </row>
    <row r="117">
      <c r="A117" s="20"/>
      <c r="B117" s="15" t="s">
        <v>915</v>
      </c>
      <c r="C117" s="20"/>
      <c r="D117" s="20"/>
      <c r="E117" s="20"/>
      <c r="F117" s="20"/>
    </row>
    <row r="118">
      <c r="A118" s="15"/>
      <c r="B118" s="80" t="s">
        <v>40</v>
      </c>
      <c r="C118" s="2"/>
      <c r="D118" s="2"/>
      <c r="E118" s="3"/>
      <c r="F118" s="525">
        <f>F116*0.01</f>
        <v>9.66</v>
      </c>
    </row>
    <row r="119">
      <c r="A119" s="15"/>
      <c r="B119" s="80" t="s">
        <v>42</v>
      </c>
      <c r="C119" s="2"/>
      <c r="D119" s="2"/>
      <c r="E119" s="3"/>
      <c r="F119" s="525">
        <f>SUM(F116:F118)</f>
        <v>975.66</v>
      </c>
    </row>
    <row r="120">
      <c r="A120" s="15"/>
      <c r="B120" s="80" t="s">
        <v>47</v>
      </c>
      <c r="C120" s="2"/>
      <c r="D120" s="2"/>
      <c r="E120" s="3"/>
      <c r="F120" s="525">
        <f>F119*0.15</f>
        <v>146.349</v>
      </c>
    </row>
    <row r="121">
      <c r="A121" s="15"/>
      <c r="B121" s="80" t="s">
        <v>42</v>
      </c>
      <c r="C121" s="2"/>
      <c r="D121" s="2"/>
      <c r="E121" s="3"/>
      <c r="F121" s="525">
        <f>SUM(F119:F120)</f>
        <v>1122.009</v>
      </c>
    </row>
    <row r="122">
      <c r="A122" s="15"/>
      <c r="B122" s="80" t="s">
        <v>552</v>
      </c>
      <c r="C122" s="2"/>
      <c r="D122" s="2"/>
      <c r="E122" s="3"/>
      <c r="F122" s="525">
        <f>F121</f>
        <v>1122.009</v>
      </c>
    </row>
    <row r="123">
      <c r="A123" s="15"/>
      <c r="B123" s="80" t="s">
        <v>76</v>
      </c>
      <c r="C123" s="2"/>
      <c r="D123" s="2"/>
      <c r="E123" s="3"/>
      <c r="F123" s="526">
        <f>round(F122/10,2)</f>
        <v>112.2</v>
      </c>
    </row>
    <row r="124">
      <c r="A124" s="23">
        <v>116.0</v>
      </c>
      <c r="B124" s="15" t="s">
        <v>535</v>
      </c>
      <c r="C124" s="23" t="s">
        <v>27</v>
      </c>
      <c r="D124" s="23">
        <v>0.12</v>
      </c>
      <c r="E124" s="22">
        <v>784.0</v>
      </c>
      <c r="F124" s="525">
        <f t="shared" ref="F124:F125" si="6">D124*E124</f>
        <v>94.08</v>
      </c>
    </row>
    <row r="125">
      <c r="A125" s="23">
        <v>114.0</v>
      </c>
      <c r="B125" s="15" t="s">
        <v>97</v>
      </c>
      <c r="C125" s="23" t="s">
        <v>27</v>
      </c>
      <c r="D125" s="23">
        <v>0.25</v>
      </c>
      <c r="E125" s="22">
        <v>645.0</v>
      </c>
      <c r="F125" s="525">
        <f t="shared" si="6"/>
        <v>161.25</v>
      </c>
    </row>
    <row r="126">
      <c r="A126" s="15"/>
      <c r="B126" s="80" t="s">
        <v>31</v>
      </c>
      <c r="C126" s="2"/>
      <c r="D126" s="2"/>
      <c r="E126" s="3"/>
      <c r="F126" s="525">
        <f>SUM(F124:F125)</f>
        <v>255.33</v>
      </c>
    </row>
    <row r="127">
      <c r="A127" s="15"/>
      <c r="B127" s="80" t="s">
        <v>40</v>
      </c>
      <c r="C127" s="2"/>
      <c r="D127" s="2"/>
      <c r="E127" s="3"/>
      <c r="F127" s="525">
        <f>F126*0.01</f>
        <v>2.5533</v>
      </c>
    </row>
    <row r="128">
      <c r="A128" s="15"/>
      <c r="B128" s="80" t="s">
        <v>42</v>
      </c>
      <c r="C128" s="2"/>
      <c r="D128" s="2"/>
      <c r="E128" s="3"/>
      <c r="F128" s="525">
        <f>SUM(F126:F127)</f>
        <v>257.8833</v>
      </c>
    </row>
    <row r="129">
      <c r="A129" s="15"/>
      <c r="B129" s="80" t="s">
        <v>47</v>
      </c>
      <c r="C129" s="2"/>
      <c r="D129" s="2"/>
      <c r="E129" s="3"/>
      <c r="F129" s="525">
        <f>F128*0.15</f>
        <v>38.682495</v>
      </c>
    </row>
    <row r="130">
      <c r="A130" s="15"/>
      <c r="B130" s="80" t="s">
        <v>42</v>
      </c>
      <c r="C130" s="2"/>
      <c r="D130" s="2"/>
      <c r="E130" s="3"/>
      <c r="F130" s="525">
        <f>SUM(F128:F129)</f>
        <v>296.565795</v>
      </c>
    </row>
    <row r="131">
      <c r="A131" s="15"/>
      <c r="B131" s="80" t="s">
        <v>552</v>
      </c>
      <c r="C131" s="2"/>
      <c r="D131" s="2"/>
      <c r="E131" s="3"/>
      <c r="F131" s="525">
        <f>F130</f>
        <v>296.565795</v>
      </c>
    </row>
    <row r="132">
      <c r="A132" s="15"/>
      <c r="B132" s="80" t="s">
        <v>76</v>
      </c>
      <c r="C132" s="2"/>
      <c r="D132" s="2"/>
      <c r="E132" s="3"/>
      <c r="F132" s="526">
        <f>round(F131/10,2)</f>
        <v>29.66</v>
      </c>
    </row>
    <row r="133">
      <c r="A133" s="36" t="str">
        <f>CONCATENATE("Say ₹ ",F123," + ",F132," x Cost Index")</f>
        <v>Say ₹ 112.2 + 29.66 x Cost Index</v>
      </c>
      <c r="B133" s="2"/>
      <c r="C133" s="2"/>
      <c r="D133" s="2"/>
      <c r="E133" s="2"/>
      <c r="F133" s="3"/>
    </row>
    <row r="134">
      <c r="A134" s="527">
        <v>0.0</v>
      </c>
      <c r="B134" s="528" t="s">
        <v>1819</v>
      </c>
      <c r="C134" s="2"/>
      <c r="D134" s="2"/>
      <c r="E134" s="2"/>
      <c r="F134" s="3"/>
    </row>
    <row r="135">
      <c r="A135" s="529" t="s">
        <v>4</v>
      </c>
      <c r="B135" s="529" t="s">
        <v>6</v>
      </c>
      <c r="C135" s="529" t="s">
        <v>8</v>
      </c>
      <c r="D135" s="529" t="s">
        <v>9</v>
      </c>
      <c r="E135" s="529" t="s">
        <v>10</v>
      </c>
      <c r="F135" s="529" t="s">
        <v>11</v>
      </c>
    </row>
    <row r="136">
      <c r="A136" s="530"/>
      <c r="B136" s="531" t="s">
        <v>519</v>
      </c>
      <c r="C136" s="530"/>
      <c r="D136" s="530"/>
      <c r="E136" s="530"/>
      <c r="F136" s="530"/>
    </row>
    <row r="137">
      <c r="A137" s="20"/>
      <c r="B137" s="531" t="s">
        <v>838</v>
      </c>
      <c r="C137" s="20"/>
      <c r="D137" s="20"/>
      <c r="E137" s="20"/>
      <c r="F137" s="20"/>
    </row>
    <row r="138">
      <c r="A138" s="532" t="s">
        <v>1799</v>
      </c>
      <c r="B138" s="531" t="s">
        <v>1821</v>
      </c>
      <c r="C138" s="533" t="s">
        <v>22</v>
      </c>
      <c r="D138" s="533">
        <v>11.5</v>
      </c>
      <c r="E138" s="533">
        <v>60.0</v>
      </c>
      <c r="F138" s="543">
        <f>D138*E138</f>
        <v>690</v>
      </c>
    </row>
    <row r="139">
      <c r="A139" s="20"/>
      <c r="B139" s="531" t="s">
        <v>915</v>
      </c>
      <c r="C139" s="20"/>
      <c r="D139" s="20"/>
      <c r="E139" s="20"/>
      <c r="F139" s="20"/>
    </row>
    <row r="140">
      <c r="A140" s="531"/>
      <c r="B140" s="535" t="s">
        <v>40</v>
      </c>
      <c r="C140" s="2"/>
      <c r="D140" s="2"/>
      <c r="E140" s="3"/>
      <c r="F140" s="536">
        <f>F138*0.01</f>
        <v>6.9</v>
      </c>
    </row>
    <row r="141">
      <c r="A141" s="531"/>
      <c r="B141" s="535" t="s">
        <v>42</v>
      </c>
      <c r="C141" s="2"/>
      <c r="D141" s="2"/>
      <c r="E141" s="3"/>
      <c r="F141" s="536">
        <f>SUM(F138:F140)</f>
        <v>696.9</v>
      </c>
    </row>
    <row r="142">
      <c r="A142" s="531"/>
      <c r="B142" s="535" t="s">
        <v>47</v>
      </c>
      <c r="C142" s="2"/>
      <c r="D142" s="2"/>
      <c r="E142" s="3"/>
      <c r="F142" s="536">
        <f>F141*0.15</f>
        <v>104.535</v>
      </c>
    </row>
    <row r="143">
      <c r="A143" s="531"/>
      <c r="B143" s="535" t="s">
        <v>42</v>
      </c>
      <c r="C143" s="2"/>
      <c r="D143" s="2"/>
      <c r="E143" s="3"/>
      <c r="F143" s="536">
        <f>SUM(F141:F142)</f>
        <v>801.435</v>
      </c>
    </row>
    <row r="144">
      <c r="A144" s="531"/>
      <c r="B144" s="535" t="s">
        <v>552</v>
      </c>
      <c r="C144" s="2"/>
      <c r="D144" s="2"/>
      <c r="E144" s="3"/>
      <c r="F144" s="536">
        <f>F143</f>
        <v>801.435</v>
      </c>
    </row>
    <row r="145">
      <c r="A145" s="531"/>
      <c r="B145" s="535" t="s">
        <v>76</v>
      </c>
      <c r="C145" s="2"/>
      <c r="D145" s="2"/>
      <c r="E145" s="3"/>
      <c r="F145" s="537">
        <f>round(F144/10,2)</f>
        <v>80.14</v>
      </c>
    </row>
    <row r="146">
      <c r="A146" s="538">
        <v>116.0</v>
      </c>
      <c r="B146" s="531" t="s">
        <v>535</v>
      </c>
      <c r="C146" s="538" t="s">
        <v>27</v>
      </c>
      <c r="D146" s="538">
        <v>0.12</v>
      </c>
      <c r="E146" s="539">
        <v>784.0</v>
      </c>
      <c r="F146" s="536">
        <f t="shared" ref="F146:F147" si="7">D146*E146</f>
        <v>94.08</v>
      </c>
    </row>
    <row r="147">
      <c r="A147" s="538">
        <v>114.0</v>
      </c>
      <c r="B147" s="531" t="s">
        <v>97</v>
      </c>
      <c r="C147" s="538" t="s">
        <v>27</v>
      </c>
      <c r="D147" s="538">
        <v>0.25</v>
      </c>
      <c r="E147" s="539">
        <v>645.0</v>
      </c>
      <c r="F147" s="536">
        <f t="shared" si="7"/>
        <v>161.25</v>
      </c>
    </row>
    <row r="148">
      <c r="A148" s="531"/>
      <c r="B148" s="535" t="s">
        <v>31</v>
      </c>
      <c r="C148" s="2"/>
      <c r="D148" s="2"/>
      <c r="E148" s="3"/>
      <c r="F148" s="536">
        <f>SUM(F146:F147)</f>
        <v>255.33</v>
      </c>
    </row>
    <row r="149">
      <c r="A149" s="531"/>
      <c r="B149" s="535" t="s">
        <v>40</v>
      </c>
      <c r="C149" s="2"/>
      <c r="D149" s="2"/>
      <c r="E149" s="3"/>
      <c r="F149" s="536">
        <f>F148*0.01</f>
        <v>2.5533</v>
      </c>
    </row>
    <row r="150">
      <c r="A150" s="531"/>
      <c r="B150" s="535" t="s">
        <v>42</v>
      </c>
      <c r="C150" s="2"/>
      <c r="D150" s="2"/>
      <c r="E150" s="3"/>
      <c r="F150" s="536">
        <f>SUM(F148:F149)</f>
        <v>257.8833</v>
      </c>
    </row>
    <row r="151">
      <c r="A151" s="531"/>
      <c r="B151" s="535" t="s">
        <v>47</v>
      </c>
      <c r="C151" s="2"/>
      <c r="D151" s="2"/>
      <c r="E151" s="3"/>
      <c r="F151" s="536">
        <f>F150*0.15</f>
        <v>38.682495</v>
      </c>
    </row>
    <row r="152">
      <c r="A152" s="531"/>
      <c r="B152" s="535" t="s">
        <v>42</v>
      </c>
      <c r="C152" s="2"/>
      <c r="D152" s="2"/>
      <c r="E152" s="3"/>
      <c r="F152" s="536">
        <f>SUM(F150:F151)</f>
        <v>296.565795</v>
      </c>
    </row>
    <row r="153">
      <c r="A153" s="531"/>
      <c r="B153" s="535" t="s">
        <v>552</v>
      </c>
      <c r="C153" s="2"/>
      <c r="D153" s="2"/>
      <c r="E153" s="3"/>
      <c r="F153" s="536">
        <f>F152</f>
        <v>296.565795</v>
      </c>
    </row>
    <row r="154">
      <c r="A154" s="531"/>
      <c r="B154" s="535" t="s">
        <v>76</v>
      </c>
      <c r="C154" s="2"/>
      <c r="D154" s="2"/>
      <c r="E154" s="3"/>
      <c r="F154" s="537">
        <f>round(F153/10,2)</f>
        <v>29.66</v>
      </c>
    </row>
    <row r="155">
      <c r="A155" s="540" t="str">
        <f>CONCATENATE("Say ₹ ",F145," + ",F154," x Cost Index")</f>
        <v>Say ₹ 80.14 + 29.66 x Cost Index</v>
      </c>
      <c r="B155" s="2"/>
      <c r="C155" s="2"/>
      <c r="D155" s="2"/>
      <c r="E155" s="2"/>
      <c r="F155" s="3"/>
    </row>
    <row r="156">
      <c r="A156" s="235">
        <v>0.0</v>
      </c>
      <c r="B156" s="5" t="s">
        <v>1826</v>
      </c>
      <c r="C156" s="2"/>
      <c r="D156" s="2"/>
      <c r="E156" s="2"/>
      <c r="F156" s="3"/>
    </row>
    <row r="157">
      <c r="A157" s="4" t="s">
        <v>4</v>
      </c>
      <c r="B157" s="4" t="s">
        <v>6</v>
      </c>
      <c r="C157" s="4" t="s">
        <v>8</v>
      </c>
      <c r="D157" s="4" t="s">
        <v>9</v>
      </c>
      <c r="E157" s="4" t="s">
        <v>10</v>
      </c>
      <c r="F157" s="4" t="s">
        <v>11</v>
      </c>
    </row>
    <row r="158">
      <c r="A158" s="523"/>
      <c r="B158" s="15" t="s">
        <v>519</v>
      </c>
      <c r="C158" s="523"/>
      <c r="D158" s="523"/>
      <c r="E158" s="523"/>
      <c r="F158" s="523"/>
    </row>
    <row r="159">
      <c r="A159" s="20"/>
      <c r="B159" s="15" t="s">
        <v>838</v>
      </c>
      <c r="C159" s="20"/>
      <c r="D159" s="20"/>
      <c r="E159" s="20"/>
      <c r="F159" s="20"/>
    </row>
    <row r="160">
      <c r="A160" s="76" t="s">
        <v>1789</v>
      </c>
      <c r="B160" s="15" t="s">
        <v>1827</v>
      </c>
      <c r="C160" s="11" t="s">
        <v>22</v>
      </c>
      <c r="D160" s="11">
        <v>11.5</v>
      </c>
      <c r="E160" s="76">
        <v>90.0</v>
      </c>
      <c r="F160" s="524">
        <f>D160*E160</f>
        <v>1035</v>
      </c>
    </row>
    <row r="161">
      <c r="A161" s="20"/>
      <c r="B161" s="15" t="s">
        <v>915</v>
      </c>
      <c r="C161" s="20"/>
      <c r="D161" s="20"/>
      <c r="E161" s="20"/>
      <c r="F161" s="20"/>
    </row>
    <row r="162">
      <c r="A162" s="15"/>
      <c r="B162" s="80" t="s">
        <v>40</v>
      </c>
      <c r="C162" s="2"/>
      <c r="D162" s="2"/>
      <c r="E162" s="3"/>
      <c r="F162" s="525">
        <f>F160*0.01</f>
        <v>10.35</v>
      </c>
    </row>
    <row r="163">
      <c r="A163" s="15"/>
      <c r="B163" s="80" t="s">
        <v>42</v>
      </c>
      <c r="C163" s="2"/>
      <c r="D163" s="2"/>
      <c r="E163" s="3"/>
      <c r="F163" s="525">
        <f>SUM(F160:F162)</f>
        <v>1045.35</v>
      </c>
    </row>
    <row r="164">
      <c r="A164" s="15"/>
      <c r="B164" s="80" t="s">
        <v>47</v>
      </c>
      <c r="C164" s="2"/>
      <c r="D164" s="2"/>
      <c r="E164" s="3"/>
      <c r="F164" s="525">
        <f>F163*0.15</f>
        <v>156.8025</v>
      </c>
    </row>
    <row r="165">
      <c r="A165" s="15"/>
      <c r="B165" s="80" t="s">
        <v>42</v>
      </c>
      <c r="C165" s="2"/>
      <c r="D165" s="2"/>
      <c r="E165" s="3"/>
      <c r="F165" s="525">
        <f>SUM(F163:F164)</f>
        <v>1202.1525</v>
      </c>
    </row>
    <row r="166">
      <c r="A166" s="15"/>
      <c r="B166" s="80" t="s">
        <v>552</v>
      </c>
      <c r="C166" s="2"/>
      <c r="D166" s="2"/>
      <c r="E166" s="3"/>
      <c r="F166" s="525">
        <f>F165</f>
        <v>1202.1525</v>
      </c>
    </row>
    <row r="167">
      <c r="A167" s="15"/>
      <c r="B167" s="80" t="s">
        <v>76</v>
      </c>
      <c r="C167" s="2"/>
      <c r="D167" s="2"/>
      <c r="E167" s="3"/>
      <c r="F167" s="526">
        <f>round(F166/10,2)</f>
        <v>120.22</v>
      </c>
    </row>
    <row r="168">
      <c r="A168" s="23">
        <v>116.0</v>
      </c>
      <c r="B168" s="15" t="s">
        <v>535</v>
      </c>
      <c r="C168" s="23" t="s">
        <v>27</v>
      </c>
      <c r="D168" s="23">
        <v>0.12</v>
      </c>
      <c r="E168" s="22">
        <v>784.0</v>
      </c>
      <c r="F168" s="525">
        <f t="shared" ref="F168:F169" si="8">D168*E168</f>
        <v>94.08</v>
      </c>
    </row>
    <row r="169">
      <c r="A169" s="23">
        <v>114.0</v>
      </c>
      <c r="B169" s="15" t="s">
        <v>97</v>
      </c>
      <c r="C169" s="23" t="s">
        <v>27</v>
      </c>
      <c r="D169" s="23">
        <v>0.25</v>
      </c>
      <c r="E169" s="22">
        <v>645.0</v>
      </c>
      <c r="F169" s="525">
        <f t="shared" si="8"/>
        <v>161.25</v>
      </c>
    </row>
    <row r="170">
      <c r="A170" s="15"/>
      <c r="B170" s="80" t="s">
        <v>31</v>
      </c>
      <c r="C170" s="2"/>
      <c r="D170" s="2"/>
      <c r="E170" s="3"/>
      <c r="F170" s="525">
        <f>SUM(F168:F169)</f>
        <v>255.33</v>
      </c>
    </row>
    <row r="171">
      <c r="A171" s="15"/>
      <c r="B171" s="80" t="s">
        <v>40</v>
      </c>
      <c r="C171" s="2"/>
      <c r="D171" s="2"/>
      <c r="E171" s="3"/>
      <c r="F171" s="525">
        <f>F170*0.01</f>
        <v>2.5533</v>
      </c>
    </row>
    <row r="172">
      <c r="A172" s="15"/>
      <c r="B172" s="80" t="s">
        <v>42</v>
      </c>
      <c r="C172" s="2"/>
      <c r="D172" s="2"/>
      <c r="E172" s="3"/>
      <c r="F172" s="525">
        <f>SUM(F170:F171)</f>
        <v>257.8833</v>
      </c>
    </row>
    <row r="173">
      <c r="A173" s="15"/>
      <c r="B173" s="80" t="s">
        <v>47</v>
      </c>
      <c r="C173" s="2"/>
      <c r="D173" s="2"/>
      <c r="E173" s="3"/>
      <c r="F173" s="525">
        <f>F172*0.15</f>
        <v>38.682495</v>
      </c>
    </row>
    <row r="174">
      <c r="A174" s="15"/>
      <c r="B174" s="80" t="s">
        <v>42</v>
      </c>
      <c r="C174" s="2"/>
      <c r="D174" s="2"/>
      <c r="E174" s="3"/>
      <c r="F174" s="525">
        <f>SUM(F172:F173)</f>
        <v>296.565795</v>
      </c>
    </row>
    <row r="175">
      <c r="A175" s="15"/>
      <c r="B175" s="80" t="s">
        <v>552</v>
      </c>
      <c r="C175" s="2"/>
      <c r="D175" s="2"/>
      <c r="E175" s="3"/>
      <c r="F175" s="525">
        <f>F174</f>
        <v>296.565795</v>
      </c>
    </row>
    <row r="176">
      <c r="A176" s="15"/>
      <c r="B176" s="80" t="s">
        <v>76</v>
      </c>
      <c r="C176" s="2"/>
      <c r="D176" s="2"/>
      <c r="E176" s="3"/>
      <c r="F176" s="526">
        <f>round(F175/10,2)</f>
        <v>29.66</v>
      </c>
    </row>
    <row r="177">
      <c r="A177" s="36" t="str">
        <f>CONCATENATE("Say ₹ ",F167," + ",F176," x Cost Index")</f>
        <v>Say ₹ 120.22 + 29.66 x Cost Index</v>
      </c>
      <c r="B177" s="2"/>
      <c r="C177" s="2"/>
      <c r="D177" s="2"/>
      <c r="E177" s="2"/>
      <c r="F177" s="3"/>
    </row>
    <row r="178">
      <c r="A178" s="527">
        <v>0.0</v>
      </c>
      <c r="B178" s="528" t="s">
        <v>1829</v>
      </c>
      <c r="C178" s="2"/>
      <c r="D178" s="2"/>
      <c r="E178" s="2"/>
      <c r="F178" s="3"/>
    </row>
    <row r="179">
      <c r="A179" s="529" t="s">
        <v>4</v>
      </c>
      <c r="B179" s="529" t="s">
        <v>6</v>
      </c>
      <c r="C179" s="529" t="s">
        <v>8</v>
      </c>
      <c r="D179" s="529" t="s">
        <v>9</v>
      </c>
      <c r="E179" s="529" t="s">
        <v>10</v>
      </c>
      <c r="F179" s="529" t="s">
        <v>11</v>
      </c>
    </row>
    <row r="180">
      <c r="A180" s="530"/>
      <c r="B180" s="531" t="s">
        <v>519</v>
      </c>
      <c r="C180" s="530"/>
      <c r="D180" s="530"/>
      <c r="E180" s="530"/>
      <c r="F180" s="530"/>
    </row>
    <row r="181">
      <c r="A181" s="20"/>
      <c r="B181" s="531" t="s">
        <v>838</v>
      </c>
      <c r="C181" s="20"/>
      <c r="D181" s="20"/>
      <c r="E181" s="20"/>
      <c r="F181" s="20"/>
    </row>
    <row r="182">
      <c r="A182" s="532" t="s">
        <v>1810</v>
      </c>
      <c r="B182" s="531" t="s">
        <v>1832</v>
      </c>
      <c r="C182" s="533" t="s">
        <v>22</v>
      </c>
      <c r="D182" s="533">
        <v>11.5</v>
      </c>
      <c r="E182" s="532">
        <v>118.0</v>
      </c>
      <c r="F182" s="543">
        <f>D182*E182</f>
        <v>1357</v>
      </c>
    </row>
    <row r="183">
      <c r="A183" s="20"/>
      <c r="B183" s="531" t="s">
        <v>915</v>
      </c>
      <c r="C183" s="20"/>
      <c r="D183" s="20"/>
      <c r="E183" s="20"/>
      <c r="F183" s="20"/>
    </row>
    <row r="184">
      <c r="A184" s="531"/>
      <c r="B184" s="535" t="s">
        <v>40</v>
      </c>
      <c r="C184" s="2"/>
      <c r="D184" s="2"/>
      <c r="E184" s="3"/>
      <c r="F184" s="536">
        <f>F182*0.01</f>
        <v>13.57</v>
      </c>
    </row>
    <row r="185">
      <c r="A185" s="531"/>
      <c r="B185" s="535" t="s">
        <v>42</v>
      </c>
      <c r="C185" s="2"/>
      <c r="D185" s="2"/>
      <c r="E185" s="3"/>
      <c r="F185" s="536">
        <f>SUM(F182:F184)</f>
        <v>1370.57</v>
      </c>
    </row>
    <row r="186">
      <c r="A186" s="531"/>
      <c r="B186" s="535" t="s">
        <v>47</v>
      </c>
      <c r="C186" s="2"/>
      <c r="D186" s="2"/>
      <c r="E186" s="3"/>
      <c r="F186" s="536">
        <f>F185*0.15</f>
        <v>205.5855</v>
      </c>
    </row>
    <row r="187">
      <c r="A187" s="531"/>
      <c r="B187" s="535" t="s">
        <v>42</v>
      </c>
      <c r="C187" s="2"/>
      <c r="D187" s="2"/>
      <c r="E187" s="3"/>
      <c r="F187" s="536">
        <f>SUM(F185:F186)</f>
        <v>1576.1555</v>
      </c>
    </row>
    <row r="188">
      <c r="A188" s="531"/>
      <c r="B188" s="535" t="s">
        <v>552</v>
      </c>
      <c r="C188" s="2"/>
      <c r="D188" s="2"/>
      <c r="E188" s="3"/>
      <c r="F188" s="536">
        <f>F187</f>
        <v>1576.1555</v>
      </c>
    </row>
    <row r="189">
      <c r="A189" s="531"/>
      <c r="B189" s="535" t="s">
        <v>76</v>
      </c>
      <c r="C189" s="2"/>
      <c r="D189" s="2"/>
      <c r="E189" s="3"/>
      <c r="F189" s="537">
        <f>round(F188/10,2)</f>
        <v>157.62</v>
      </c>
    </row>
    <row r="190">
      <c r="A190" s="538">
        <v>116.0</v>
      </c>
      <c r="B190" s="531" t="s">
        <v>535</v>
      </c>
      <c r="C190" s="538" t="s">
        <v>27</v>
      </c>
      <c r="D190" s="538">
        <v>0.12</v>
      </c>
      <c r="E190" s="539">
        <v>784.0</v>
      </c>
      <c r="F190" s="536">
        <f t="shared" ref="F190:F191" si="9">D190*E190</f>
        <v>94.08</v>
      </c>
    </row>
    <row r="191">
      <c r="A191" s="538">
        <v>114.0</v>
      </c>
      <c r="B191" s="531" t="s">
        <v>97</v>
      </c>
      <c r="C191" s="538" t="s">
        <v>27</v>
      </c>
      <c r="D191" s="538">
        <v>0.25</v>
      </c>
      <c r="E191" s="539">
        <v>645.0</v>
      </c>
      <c r="F191" s="536">
        <f t="shared" si="9"/>
        <v>161.25</v>
      </c>
    </row>
    <row r="192">
      <c r="A192" s="531"/>
      <c r="B192" s="535" t="s">
        <v>31</v>
      </c>
      <c r="C192" s="2"/>
      <c r="D192" s="2"/>
      <c r="E192" s="3"/>
      <c r="F192" s="536">
        <f>SUM(F190:F191)</f>
        <v>255.33</v>
      </c>
    </row>
    <row r="193">
      <c r="A193" s="531"/>
      <c r="B193" s="535" t="s">
        <v>40</v>
      </c>
      <c r="C193" s="2"/>
      <c r="D193" s="2"/>
      <c r="E193" s="3"/>
      <c r="F193" s="536">
        <f>F192*0.01</f>
        <v>2.5533</v>
      </c>
    </row>
    <row r="194">
      <c r="A194" s="531"/>
      <c r="B194" s="535" t="s">
        <v>42</v>
      </c>
      <c r="C194" s="2"/>
      <c r="D194" s="2"/>
      <c r="E194" s="3"/>
      <c r="F194" s="536">
        <f>SUM(F192:F193)</f>
        <v>257.8833</v>
      </c>
    </row>
    <row r="195">
      <c r="A195" s="531"/>
      <c r="B195" s="535" t="s">
        <v>47</v>
      </c>
      <c r="C195" s="2"/>
      <c r="D195" s="2"/>
      <c r="E195" s="3"/>
      <c r="F195" s="536">
        <f>F194*0.15</f>
        <v>38.682495</v>
      </c>
    </row>
    <row r="196">
      <c r="A196" s="531"/>
      <c r="B196" s="535" t="s">
        <v>42</v>
      </c>
      <c r="C196" s="2"/>
      <c r="D196" s="2"/>
      <c r="E196" s="3"/>
      <c r="F196" s="536">
        <f>SUM(F194:F195)</f>
        <v>296.565795</v>
      </c>
    </row>
    <row r="197">
      <c r="A197" s="531"/>
      <c r="B197" s="535" t="s">
        <v>552</v>
      </c>
      <c r="C197" s="2"/>
      <c r="D197" s="2"/>
      <c r="E197" s="3"/>
      <c r="F197" s="536">
        <f>F196</f>
        <v>296.565795</v>
      </c>
    </row>
    <row r="198">
      <c r="A198" s="531"/>
      <c r="B198" s="535" t="s">
        <v>76</v>
      </c>
      <c r="C198" s="2"/>
      <c r="D198" s="2"/>
      <c r="E198" s="3"/>
      <c r="F198" s="537">
        <f>round(F197/10,2)</f>
        <v>29.66</v>
      </c>
    </row>
    <row r="199">
      <c r="A199" s="540" t="str">
        <f>CONCATENATE("Say ₹ ",F189," + ",F198," x Cost Index")</f>
        <v>Say ₹ 157.62 + 29.66 x Cost Index</v>
      </c>
      <c r="B199" s="2"/>
      <c r="C199" s="2"/>
      <c r="D199" s="2"/>
      <c r="E199" s="2"/>
      <c r="F199" s="3"/>
    </row>
    <row r="200">
      <c r="A200" s="235">
        <v>0.0</v>
      </c>
      <c r="B200" s="5" t="s">
        <v>1838</v>
      </c>
      <c r="C200" s="2"/>
      <c r="D200" s="2"/>
      <c r="E200" s="2"/>
      <c r="F200" s="3"/>
    </row>
    <row r="201">
      <c r="A201" s="4" t="s">
        <v>4</v>
      </c>
      <c r="B201" s="4" t="s">
        <v>6</v>
      </c>
      <c r="C201" s="4" t="s">
        <v>8</v>
      </c>
      <c r="D201" s="4" t="s">
        <v>9</v>
      </c>
      <c r="E201" s="4" t="s">
        <v>10</v>
      </c>
      <c r="F201" s="4" t="s">
        <v>11</v>
      </c>
    </row>
    <row r="202">
      <c r="A202" s="523"/>
      <c r="B202" s="15" t="s">
        <v>519</v>
      </c>
      <c r="C202" s="523"/>
      <c r="D202" s="523"/>
      <c r="E202" s="523"/>
      <c r="F202" s="523"/>
    </row>
    <row r="203">
      <c r="A203" s="20"/>
      <c r="B203" s="15" t="s">
        <v>838</v>
      </c>
      <c r="C203" s="20"/>
      <c r="D203" s="20"/>
      <c r="E203" s="20"/>
      <c r="F203" s="20"/>
    </row>
    <row r="204">
      <c r="A204" s="76" t="s">
        <v>1830</v>
      </c>
      <c r="B204" s="15" t="s">
        <v>1839</v>
      </c>
      <c r="C204" s="11" t="s">
        <v>22</v>
      </c>
      <c r="D204" s="11">
        <v>11.5</v>
      </c>
      <c r="E204" s="76">
        <v>129.0</v>
      </c>
      <c r="F204" s="524">
        <f>D204*E204</f>
        <v>1483.5</v>
      </c>
    </row>
    <row r="205">
      <c r="A205" s="20"/>
      <c r="B205" s="15" t="s">
        <v>915</v>
      </c>
      <c r="C205" s="20"/>
      <c r="D205" s="20"/>
      <c r="E205" s="20"/>
      <c r="F205" s="20"/>
    </row>
    <row r="206">
      <c r="A206" s="15"/>
      <c r="B206" s="80" t="s">
        <v>40</v>
      </c>
      <c r="C206" s="2"/>
      <c r="D206" s="2"/>
      <c r="E206" s="3"/>
      <c r="F206" s="525">
        <f>F204*0.01</f>
        <v>14.835</v>
      </c>
    </row>
    <row r="207">
      <c r="A207" s="15"/>
      <c r="B207" s="80" t="s">
        <v>42</v>
      </c>
      <c r="C207" s="2"/>
      <c r="D207" s="2"/>
      <c r="E207" s="3"/>
      <c r="F207" s="525">
        <f>SUM(F204:F206)</f>
        <v>1498.335</v>
      </c>
    </row>
    <row r="208">
      <c r="A208" s="15"/>
      <c r="B208" s="80" t="s">
        <v>47</v>
      </c>
      <c r="C208" s="2"/>
      <c r="D208" s="2"/>
      <c r="E208" s="3"/>
      <c r="F208" s="525">
        <f>F207*0.15</f>
        <v>224.75025</v>
      </c>
    </row>
    <row r="209">
      <c r="A209" s="15"/>
      <c r="B209" s="80" t="s">
        <v>42</v>
      </c>
      <c r="C209" s="2"/>
      <c r="D209" s="2"/>
      <c r="E209" s="3"/>
      <c r="F209" s="525">
        <f>SUM(F207:F208)</f>
        <v>1723.08525</v>
      </c>
    </row>
    <row r="210">
      <c r="A210" s="15"/>
      <c r="B210" s="80" t="s">
        <v>552</v>
      </c>
      <c r="C210" s="2"/>
      <c r="D210" s="2"/>
      <c r="E210" s="3"/>
      <c r="F210" s="525">
        <f>F209</f>
        <v>1723.08525</v>
      </c>
    </row>
    <row r="211">
      <c r="A211" s="15"/>
      <c r="B211" s="80" t="s">
        <v>76</v>
      </c>
      <c r="C211" s="2"/>
      <c r="D211" s="2"/>
      <c r="E211" s="3"/>
      <c r="F211" s="526">
        <f>round(F210/10,2)</f>
        <v>172.31</v>
      </c>
    </row>
    <row r="212">
      <c r="A212" s="23">
        <v>116.0</v>
      </c>
      <c r="B212" s="15" t="s">
        <v>535</v>
      </c>
      <c r="C212" s="23" t="s">
        <v>27</v>
      </c>
      <c r="D212" s="23">
        <v>0.12</v>
      </c>
      <c r="E212" s="22">
        <v>784.0</v>
      </c>
      <c r="F212" s="525">
        <f t="shared" ref="F212:F213" si="10">D212*E212</f>
        <v>94.08</v>
      </c>
    </row>
    <row r="213">
      <c r="A213" s="23">
        <v>114.0</v>
      </c>
      <c r="B213" s="15" t="s">
        <v>97</v>
      </c>
      <c r="C213" s="23" t="s">
        <v>27</v>
      </c>
      <c r="D213" s="23">
        <v>0.25</v>
      </c>
      <c r="E213" s="22">
        <v>645.0</v>
      </c>
      <c r="F213" s="525">
        <f t="shared" si="10"/>
        <v>161.25</v>
      </c>
    </row>
    <row r="214">
      <c r="A214" s="15"/>
      <c r="B214" s="80" t="s">
        <v>31</v>
      </c>
      <c r="C214" s="2"/>
      <c r="D214" s="2"/>
      <c r="E214" s="3"/>
      <c r="F214" s="525">
        <f>SUM(F212:F213)</f>
        <v>255.33</v>
      </c>
    </row>
    <row r="215">
      <c r="A215" s="15"/>
      <c r="B215" s="80" t="s">
        <v>40</v>
      </c>
      <c r="C215" s="2"/>
      <c r="D215" s="2"/>
      <c r="E215" s="3"/>
      <c r="F215" s="525">
        <f>F214*0.01</f>
        <v>2.5533</v>
      </c>
    </row>
    <row r="216">
      <c r="A216" s="15"/>
      <c r="B216" s="80" t="s">
        <v>42</v>
      </c>
      <c r="C216" s="2"/>
      <c r="D216" s="2"/>
      <c r="E216" s="3"/>
      <c r="F216" s="525">
        <f>SUM(F214:F215)</f>
        <v>257.8833</v>
      </c>
    </row>
    <row r="217">
      <c r="A217" s="15"/>
      <c r="B217" s="80" t="s">
        <v>47</v>
      </c>
      <c r="C217" s="2"/>
      <c r="D217" s="2"/>
      <c r="E217" s="3"/>
      <c r="F217" s="525">
        <f>F216*0.15</f>
        <v>38.682495</v>
      </c>
    </row>
    <row r="218">
      <c r="A218" s="15"/>
      <c r="B218" s="80" t="s">
        <v>42</v>
      </c>
      <c r="C218" s="2"/>
      <c r="D218" s="2"/>
      <c r="E218" s="3"/>
      <c r="F218" s="525">
        <f>SUM(F216:F217)</f>
        <v>296.565795</v>
      </c>
    </row>
    <row r="219">
      <c r="A219" s="15"/>
      <c r="B219" s="80" t="s">
        <v>552</v>
      </c>
      <c r="C219" s="2"/>
      <c r="D219" s="2"/>
      <c r="E219" s="3"/>
      <c r="F219" s="525">
        <f>F218</f>
        <v>296.565795</v>
      </c>
    </row>
    <row r="220">
      <c r="A220" s="15"/>
      <c r="B220" s="80" t="s">
        <v>76</v>
      </c>
      <c r="C220" s="2"/>
      <c r="D220" s="2"/>
      <c r="E220" s="3"/>
      <c r="F220" s="526">
        <f>round(F219/10,2)</f>
        <v>29.66</v>
      </c>
    </row>
    <row r="221">
      <c r="A221" s="36" t="str">
        <f>CONCATENATE("Say ₹ ",F211," + ",F220," x Cost Index")</f>
        <v>Say ₹ 172.31 + 29.66 x Cost Index</v>
      </c>
      <c r="B221" s="2"/>
      <c r="C221" s="2"/>
      <c r="D221" s="2"/>
      <c r="E221" s="2"/>
      <c r="F221" s="3"/>
    </row>
    <row r="222">
      <c r="A222" s="527">
        <v>0.0</v>
      </c>
      <c r="B222" s="528" t="s">
        <v>1843</v>
      </c>
      <c r="C222" s="2"/>
      <c r="D222" s="2"/>
      <c r="E222" s="2"/>
      <c r="F222" s="3"/>
    </row>
    <row r="223">
      <c r="A223" s="529" t="s">
        <v>4</v>
      </c>
      <c r="B223" s="529" t="s">
        <v>6</v>
      </c>
      <c r="C223" s="529" t="s">
        <v>8</v>
      </c>
      <c r="D223" s="529" t="s">
        <v>9</v>
      </c>
      <c r="E223" s="529" t="s">
        <v>10</v>
      </c>
      <c r="F223" s="529" t="s">
        <v>11</v>
      </c>
    </row>
    <row r="224">
      <c r="A224" s="530"/>
      <c r="B224" s="531" t="s">
        <v>519</v>
      </c>
      <c r="C224" s="530"/>
      <c r="D224" s="530"/>
      <c r="E224" s="530"/>
      <c r="F224" s="530"/>
    </row>
    <row r="225">
      <c r="A225" s="20"/>
      <c r="B225" s="531" t="s">
        <v>838</v>
      </c>
      <c r="C225" s="20"/>
      <c r="D225" s="20"/>
      <c r="E225" s="20"/>
      <c r="F225" s="20"/>
    </row>
    <row r="226">
      <c r="A226" s="532" t="s">
        <v>1844</v>
      </c>
      <c r="B226" s="531" t="s">
        <v>1845</v>
      </c>
      <c r="C226" s="533" t="s">
        <v>22</v>
      </c>
      <c r="D226" s="533">
        <v>11.5</v>
      </c>
      <c r="E226" s="532">
        <v>211.0</v>
      </c>
      <c r="F226" s="543">
        <f>D226*E226</f>
        <v>2426.5</v>
      </c>
    </row>
    <row r="227">
      <c r="A227" s="20"/>
      <c r="B227" s="531" t="s">
        <v>915</v>
      </c>
      <c r="C227" s="20"/>
      <c r="D227" s="20"/>
      <c r="E227" s="20"/>
      <c r="F227" s="20"/>
    </row>
    <row r="228">
      <c r="A228" s="531"/>
      <c r="B228" s="535" t="s">
        <v>40</v>
      </c>
      <c r="C228" s="2"/>
      <c r="D228" s="2"/>
      <c r="E228" s="3"/>
      <c r="F228" s="536">
        <f>F226*0.01</f>
        <v>24.265</v>
      </c>
    </row>
    <row r="229">
      <c r="A229" s="531"/>
      <c r="B229" s="535" t="s">
        <v>42</v>
      </c>
      <c r="C229" s="2"/>
      <c r="D229" s="2"/>
      <c r="E229" s="3"/>
      <c r="F229" s="536">
        <f>SUM(F226:F228)</f>
        <v>2450.765</v>
      </c>
    </row>
    <row r="230">
      <c r="A230" s="531"/>
      <c r="B230" s="535" t="s">
        <v>47</v>
      </c>
      <c r="C230" s="2"/>
      <c r="D230" s="2"/>
      <c r="E230" s="3"/>
      <c r="F230" s="536">
        <f>F229*0.15</f>
        <v>367.61475</v>
      </c>
    </row>
    <row r="231">
      <c r="A231" s="531"/>
      <c r="B231" s="535" t="s">
        <v>42</v>
      </c>
      <c r="C231" s="2"/>
      <c r="D231" s="2"/>
      <c r="E231" s="3"/>
      <c r="F231" s="536">
        <f>SUM(F229:F230)</f>
        <v>2818.37975</v>
      </c>
    </row>
    <row r="232">
      <c r="A232" s="531"/>
      <c r="B232" s="535" t="s">
        <v>552</v>
      </c>
      <c r="C232" s="2"/>
      <c r="D232" s="2"/>
      <c r="E232" s="3"/>
      <c r="F232" s="536">
        <f>F231</f>
        <v>2818.37975</v>
      </c>
    </row>
    <row r="233">
      <c r="A233" s="531"/>
      <c r="B233" s="535" t="s">
        <v>76</v>
      </c>
      <c r="C233" s="2"/>
      <c r="D233" s="2"/>
      <c r="E233" s="3"/>
      <c r="F233" s="537">
        <f>round(F232/10,2)</f>
        <v>281.84</v>
      </c>
    </row>
    <row r="234">
      <c r="A234" s="538">
        <v>116.0</v>
      </c>
      <c r="B234" s="531" t="s">
        <v>535</v>
      </c>
      <c r="C234" s="538" t="s">
        <v>27</v>
      </c>
      <c r="D234" s="538">
        <v>0.12</v>
      </c>
      <c r="E234" s="539">
        <v>784.0</v>
      </c>
      <c r="F234" s="536">
        <f t="shared" ref="F234:F235" si="11">D234*E234</f>
        <v>94.08</v>
      </c>
    </row>
    <row r="235">
      <c r="A235" s="538">
        <v>114.0</v>
      </c>
      <c r="B235" s="531" t="s">
        <v>97</v>
      </c>
      <c r="C235" s="538" t="s">
        <v>27</v>
      </c>
      <c r="D235" s="538">
        <v>0.25</v>
      </c>
      <c r="E235" s="539">
        <v>645.0</v>
      </c>
      <c r="F235" s="536">
        <f t="shared" si="11"/>
        <v>161.25</v>
      </c>
    </row>
    <row r="236">
      <c r="A236" s="531"/>
      <c r="B236" s="535" t="s">
        <v>31</v>
      </c>
      <c r="C236" s="2"/>
      <c r="D236" s="2"/>
      <c r="E236" s="3"/>
      <c r="F236" s="536">
        <f>SUM(F234:F235)</f>
        <v>255.33</v>
      </c>
    </row>
    <row r="237">
      <c r="A237" s="531"/>
      <c r="B237" s="535" t="s">
        <v>40</v>
      </c>
      <c r="C237" s="2"/>
      <c r="D237" s="2"/>
      <c r="E237" s="3"/>
      <c r="F237" s="536">
        <f>F236*0.01</f>
        <v>2.5533</v>
      </c>
    </row>
    <row r="238">
      <c r="A238" s="531"/>
      <c r="B238" s="535" t="s">
        <v>42</v>
      </c>
      <c r="C238" s="2"/>
      <c r="D238" s="2"/>
      <c r="E238" s="3"/>
      <c r="F238" s="536">
        <f>SUM(F236:F237)</f>
        <v>257.8833</v>
      </c>
    </row>
    <row r="239">
      <c r="A239" s="531"/>
      <c r="B239" s="535" t="s">
        <v>47</v>
      </c>
      <c r="C239" s="2"/>
      <c r="D239" s="2"/>
      <c r="E239" s="3"/>
      <c r="F239" s="536">
        <f>F238*0.15</f>
        <v>38.682495</v>
      </c>
    </row>
    <row r="240">
      <c r="A240" s="531"/>
      <c r="B240" s="535" t="s">
        <v>42</v>
      </c>
      <c r="C240" s="2"/>
      <c r="D240" s="2"/>
      <c r="E240" s="3"/>
      <c r="F240" s="536">
        <f>SUM(F238:F239)</f>
        <v>296.565795</v>
      </c>
    </row>
    <row r="241">
      <c r="A241" s="531"/>
      <c r="B241" s="535" t="s">
        <v>552</v>
      </c>
      <c r="C241" s="2"/>
      <c r="D241" s="2"/>
      <c r="E241" s="3"/>
      <c r="F241" s="536">
        <f>F240</f>
        <v>296.565795</v>
      </c>
    </row>
    <row r="242">
      <c r="A242" s="531"/>
      <c r="B242" s="535" t="s">
        <v>76</v>
      </c>
      <c r="C242" s="2"/>
      <c r="D242" s="2"/>
      <c r="E242" s="3"/>
      <c r="F242" s="537">
        <f>round(F241/10,2)</f>
        <v>29.66</v>
      </c>
    </row>
    <row r="243">
      <c r="A243" s="540" t="str">
        <f>CONCATENATE("Say ₹ ",F233," + ",F242," x Cost Index")</f>
        <v>Say ₹ 281.84 + 29.66 x Cost Index</v>
      </c>
      <c r="B243" s="2"/>
      <c r="C243" s="2"/>
      <c r="D243" s="2"/>
      <c r="E243" s="2"/>
      <c r="F243" s="3"/>
    </row>
    <row r="244">
      <c r="A244" s="235">
        <v>0.0</v>
      </c>
      <c r="B244" s="5" t="s">
        <v>1849</v>
      </c>
      <c r="C244" s="2"/>
      <c r="D244" s="2"/>
      <c r="E244" s="2"/>
      <c r="F244" s="3"/>
    </row>
    <row r="245">
      <c r="A245" s="4" t="s">
        <v>4</v>
      </c>
      <c r="B245" s="4" t="s">
        <v>6</v>
      </c>
      <c r="C245" s="4" t="s">
        <v>8</v>
      </c>
      <c r="D245" s="4" t="s">
        <v>9</v>
      </c>
      <c r="E245" s="4" t="s">
        <v>10</v>
      </c>
      <c r="F245" s="4" t="s">
        <v>11</v>
      </c>
    </row>
    <row r="246">
      <c r="A246" s="523"/>
      <c r="B246" s="15" t="s">
        <v>519</v>
      </c>
      <c r="C246" s="523"/>
      <c r="D246" s="523"/>
      <c r="E246" s="523"/>
      <c r="F246" s="523"/>
    </row>
    <row r="247">
      <c r="A247" s="20"/>
      <c r="B247" s="15" t="s">
        <v>838</v>
      </c>
      <c r="C247" s="20"/>
      <c r="D247" s="20"/>
      <c r="E247" s="20"/>
      <c r="F247" s="20"/>
    </row>
    <row r="248">
      <c r="A248" s="76" t="s">
        <v>1850</v>
      </c>
      <c r="B248" s="15" t="s">
        <v>1851</v>
      </c>
      <c r="C248" s="11" t="s">
        <v>22</v>
      </c>
      <c r="D248" s="11">
        <v>11.5</v>
      </c>
      <c r="E248" s="76">
        <v>520.0</v>
      </c>
      <c r="F248" s="524">
        <f>D248*E248</f>
        <v>5980</v>
      </c>
    </row>
    <row r="249">
      <c r="A249" s="20"/>
      <c r="B249" s="15" t="s">
        <v>915</v>
      </c>
      <c r="C249" s="20"/>
      <c r="D249" s="20"/>
      <c r="E249" s="20"/>
      <c r="F249" s="20"/>
    </row>
    <row r="250">
      <c r="A250" s="15"/>
      <c r="B250" s="80" t="s">
        <v>40</v>
      </c>
      <c r="C250" s="2"/>
      <c r="D250" s="2"/>
      <c r="E250" s="3"/>
      <c r="F250" s="525">
        <f>F248*0.01</f>
        <v>59.8</v>
      </c>
    </row>
    <row r="251">
      <c r="A251" s="15"/>
      <c r="B251" s="80" t="s">
        <v>42</v>
      </c>
      <c r="C251" s="2"/>
      <c r="D251" s="2"/>
      <c r="E251" s="3"/>
      <c r="F251" s="525">
        <f>SUM(F248:F250)</f>
        <v>6039.8</v>
      </c>
    </row>
    <row r="252">
      <c r="A252" s="15"/>
      <c r="B252" s="80" t="s">
        <v>47</v>
      </c>
      <c r="C252" s="2"/>
      <c r="D252" s="2"/>
      <c r="E252" s="3"/>
      <c r="F252" s="525">
        <f>F251*0.15</f>
        <v>905.97</v>
      </c>
    </row>
    <row r="253">
      <c r="A253" s="15"/>
      <c r="B253" s="80" t="s">
        <v>42</v>
      </c>
      <c r="C253" s="2"/>
      <c r="D253" s="2"/>
      <c r="E253" s="3"/>
      <c r="F253" s="525">
        <f>SUM(F251:F252)</f>
        <v>6945.77</v>
      </c>
    </row>
    <row r="254">
      <c r="A254" s="15"/>
      <c r="B254" s="80" t="s">
        <v>552</v>
      </c>
      <c r="C254" s="2"/>
      <c r="D254" s="2"/>
      <c r="E254" s="3"/>
      <c r="F254" s="525">
        <f>F253</f>
        <v>6945.77</v>
      </c>
    </row>
    <row r="255">
      <c r="A255" s="15"/>
      <c r="B255" s="80" t="s">
        <v>76</v>
      </c>
      <c r="C255" s="2"/>
      <c r="D255" s="2"/>
      <c r="E255" s="3"/>
      <c r="F255" s="526">
        <f>round(F254/10,2)</f>
        <v>694.58</v>
      </c>
    </row>
    <row r="256">
      <c r="A256" s="23">
        <v>116.0</v>
      </c>
      <c r="B256" s="15" t="s">
        <v>535</v>
      </c>
      <c r="C256" s="23" t="s">
        <v>27</v>
      </c>
      <c r="D256" s="23">
        <v>0.12</v>
      </c>
      <c r="E256" s="22">
        <v>784.0</v>
      </c>
      <c r="F256" s="525">
        <f t="shared" ref="F256:F257" si="12">D256*E256</f>
        <v>94.08</v>
      </c>
    </row>
    <row r="257">
      <c r="A257" s="23">
        <v>114.0</v>
      </c>
      <c r="B257" s="15" t="s">
        <v>97</v>
      </c>
      <c r="C257" s="23" t="s">
        <v>27</v>
      </c>
      <c r="D257" s="23">
        <v>0.25</v>
      </c>
      <c r="E257" s="22">
        <v>645.0</v>
      </c>
      <c r="F257" s="525">
        <f t="shared" si="12"/>
        <v>161.25</v>
      </c>
    </row>
    <row r="258">
      <c r="A258" s="15"/>
      <c r="B258" s="80" t="s">
        <v>31</v>
      </c>
      <c r="C258" s="2"/>
      <c r="D258" s="2"/>
      <c r="E258" s="3"/>
      <c r="F258" s="525">
        <f>SUM(F256:F257)</f>
        <v>255.33</v>
      </c>
    </row>
    <row r="259">
      <c r="A259" s="15"/>
      <c r="B259" s="80" t="s">
        <v>40</v>
      </c>
      <c r="C259" s="2"/>
      <c r="D259" s="2"/>
      <c r="E259" s="3"/>
      <c r="F259" s="525">
        <f>F258*0.01</f>
        <v>2.5533</v>
      </c>
    </row>
    <row r="260">
      <c r="A260" s="15"/>
      <c r="B260" s="80" t="s">
        <v>42</v>
      </c>
      <c r="C260" s="2"/>
      <c r="D260" s="2"/>
      <c r="E260" s="3"/>
      <c r="F260" s="525">
        <f>SUM(F258:F259)</f>
        <v>257.8833</v>
      </c>
    </row>
    <row r="261">
      <c r="A261" s="15"/>
      <c r="B261" s="80" t="s">
        <v>47</v>
      </c>
      <c r="C261" s="2"/>
      <c r="D261" s="2"/>
      <c r="E261" s="3"/>
      <c r="F261" s="525">
        <f>F260*0.15</f>
        <v>38.682495</v>
      </c>
    </row>
    <row r="262">
      <c r="A262" s="15"/>
      <c r="B262" s="80" t="s">
        <v>42</v>
      </c>
      <c r="C262" s="2"/>
      <c r="D262" s="2"/>
      <c r="E262" s="3"/>
      <c r="F262" s="525">
        <f>SUM(F260:F261)</f>
        <v>296.565795</v>
      </c>
    </row>
    <row r="263">
      <c r="A263" s="15"/>
      <c r="B263" s="80" t="s">
        <v>552</v>
      </c>
      <c r="C263" s="2"/>
      <c r="D263" s="2"/>
      <c r="E263" s="3"/>
      <c r="F263" s="525">
        <f>F262</f>
        <v>296.565795</v>
      </c>
    </row>
    <row r="264">
      <c r="A264" s="15"/>
      <c r="B264" s="80" t="s">
        <v>76</v>
      </c>
      <c r="C264" s="2"/>
      <c r="D264" s="2"/>
      <c r="E264" s="3"/>
      <c r="F264" s="526">
        <f>round(F263/10,2)</f>
        <v>29.66</v>
      </c>
    </row>
    <row r="265">
      <c r="A265" s="36" t="str">
        <f>CONCATENATE("Say ₹ ",F255," + ",F264," x Cost Index")</f>
        <v>Say ₹ 694.58 + 29.66 x Cost Index</v>
      </c>
      <c r="B265" s="2"/>
      <c r="C265" s="2"/>
      <c r="D265" s="2"/>
      <c r="E265" s="2"/>
      <c r="F265" s="3"/>
    </row>
  </sheetData>
  <mergeCells count="301">
    <mergeCell ref="B128:E128"/>
    <mergeCell ref="B129:E129"/>
    <mergeCell ref="B130:E130"/>
    <mergeCell ref="B131:E131"/>
    <mergeCell ref="B132:E132"/>
    <mergeCell ref="A133:F133"/>
    <mergeCell ref="B134:F134"/>
    <mergeCell ref="D138:D139"/>
    <mergeCell ref="E138:E139"/>
    <mergeCell ref="A136:A137"/>
    <mergeCell ref="C136:C137"/>
    <mergeCell ref="D136:D137"/>
    <mergeCell ref="E136:E137"/>
    <mergeCell ref="F136:F137"/>
    <mergeCell ref="A138:A139"/>
    <mergeCell ref="F138:F139"/>
    <mergeCell ref="C138:C139"/>
    <mergeCell ref="B140:E140"/>
    <mergeCell ref="B141:E141"/>
    <mergeCell ref="B142:E142"/>
    <mergeCell ref="B143:E143"/>
    <mergeCell ref="B144:E144"/>
    <mergeCell ref="B145:E145"/>
    <mergeCell ref="B148:E148"/>
    <mergeCell ref="B149:E149"/>
    <mergeCell ref="B150:E150"/>
    <mergeCell ref="B151:E151"/>
    <mergeCell ref="B152:E152"/>
    <mergeCell ref="B153:E153"/>
    <mergeCell ref="B154:E154"/>
    <mergeCell ref="C158:C159"/>
    <mergeCell ref="C160:C161"/>
    <mergeCell ref="D160:D161"/>
    <mergeCell ref="E160:E161"/>
    <mergeCell ref="A155:F155"/>
    <mergeCell ref="B156:F156"/>
    <mergeCell ref="A158:A159"/>
    <mergeCell ref="D158:D159"/>
    <mergeCell ref="E158:E159"/>
    <mergeCell ref="F158:F159"/>
    <mergeCell ref="A160:A161"/>
    <mergeCell ref="F160:F161"/>
    <mergeCell ref="B162:E162"/>
    <mergeCell ref="B163:E163"/>
    <mergeCell ref="B164:E164"/>
    <mergeCell ref="B165:E165"/>
    <mergeCell ref="B166:E166"/>
    <mergeCell ref="B167:E167"/>
    <mergeCell ref="B170:E170"/>
    <mergeCell ref="B171:E171"/>
    <mergeCell ref="B172:E172"/>
    <mergeCell ref="B173:E173"/>
    <mergeCell ref="B174:E174"/>
    <mergeCell ref="B175:E175"/>
    <mergeCell ref="B176:E176"/>
    <mergeCell ref="C180:C181"/>
    <mergeCell ref="C182:C183"/>
    <mergeCell ref="D182:D183"/>
    <mergeCell ref="E182:E183"/>
    <mergeCell ref="A177:F177"/>
    <mergeCell ref="B178:F178"/>
    <mergeCell ref="A180:A181"/>
    <mergeCell ref="D180:D181"/>
    <mergeCell ref="E180:E181"/>
    <mergeCell ref="F180:F181"/>
    <mergeCell ref="A182:A183"/>
    <mergeCell ref="F182:F183"/>
    <mergeCell ref="B184:E184"/>
    <mergeCell ref="B185:E185"/>
    <mergeCell ref="B186:E186"/>
    <mergeCell ref="B187:E187"/>
    <mergeCell ref="B188:E188"/>
    <mergeCell ref="B189:E189"/>
    <mergeCell ref="C224:C225"/>
    <mergeCell ref="C226:C227"/>
    <mergeCell ref="B228:E228"/>
    <mergeCell ref="B229:E229"/>
    <mergeCell ref="B230:E230"/>
    <mergeCell ref="B231:E231"/>
    <mergeCell ref="B232:E232"/>
    <mergeCell ref="B233:E233"/>
    <mergeCell ref="B236:E236"/>
    <mergeCell ref="B237:E237"/>
    <mergeCell ref="B238:E238"/>
    <mergeCell ref="B239:E239"/>
    <mergeCell ref="B240:E240"/>
    <mergeCell ref="B241:E241"/>
    <mergeCell ref="B242:E242"/>
    <mergeCell ref="A243:F243"/>
    <mergeCell ref="B244:F244"/>
    <mergeCell ref="C246:C247"/>
    <mergeCell ref="D246:D247"/>
    <mergeCell ref="E246:E247"/>
    <mergeCell ref="F246:F247"/>
    <mergeCell ref="A246:A247"/>
    <mergeCell ref="A248:A249"/>
    <mergeCell ref="C248:C249"/>
    <mergeCell ref="D248:D249"/>
    <mergeCell ref="E248:E249"/>
    <mergeCell ref="F248:F249"/>
    <mergeCell ref="B250:E250"/>
    <mergeCell ref="B192:E192"/>
    <mergeCell ref="B193:E193"/>
    <mergeCell ref="B194:E194"/>
    <mergeCell ref="B195:E195"/>
    <mergeCell ref="B196:E196"/>
    <mergeCell ref="B197:E197"/>
    <mergeCell ref="B198:E198"/>
    <mergeCell ref="C202:C203"/>
    <mergeCell ref="C204:C205"/>
    <mergeCell ref="D204:D205"/>
    <mergeCell ref="E204:E205"/>
    <mergeCell ref="A199:F199"/>
    <mergeCell ref="B200:F200"/>
    <mergeCell ref="A202:A203"/>
    <mergeCell ref="D202:D203"/>
    <mergeCell ref="E202:E203"/>
    <mergeCell ref="F202:F203"/>
    <mergeCell ref="A204:A205"/>
    <mergeCell ref="F204:F205"/>
    <mergeCell ref="B206:E206"/>
    <mergeCell ref="B207:E207"/>
    <mergeCell ref="B208:E208"/>
    <mergeCell ref="B209:E209"/>
    <mergeCell ref="B210:E210"/>
    <mergeCell ref="B211:E211"/>
    <mergeCell ref="B214:E214"/>
    <mergeCell ref="B215:E215"/>
    <mergeCell ref="B216:E216"/>
    <mergeCell ref="B217:E217"/>
    <mergeCell ref="B218:E218"/>
    <mergeCell ref="B219:E219"/>
    <mergeCell ref="B220:E220"/>
    <mergeCell ref="B260:E260"/>
    <mergeCell ref="B261:E261"/>
    <mergeCell ref="B262:E262"/>
    <mergeCell ref="B263:E263"/>
    <mergeCell ref="B264:E264"/>
    <mergeCell ref="A265:F265"/>
    <mergeCell ref="B251:E251"/>
    <mergeCell ref="B252:E252"/>
    <mergeCell ref="B253:E253"/>
    <mergeCell ref="B254:E254"/>
    <mergeCell ref="B255:E255"/>
    <mergeCell ref="B258:E258"/>
    <mergeCell ref="B259:E259"/>
    <mergeCell ref="C4:C5"/>
    <mergeCell ref="C6:C7"/>
    <mergeCell ref="D6:D7"/>
    <mergeCell ref="E6:E7"/>
    <mergeCell ref="A1:F1"/>
    <mergeCell ref="B2:F2"/>
    <mergeCell ref="A4:A5"/>
    <mergeCell ref="D4:D5"/>
    <mergeCell ref="E4:E5"/>
    <mergeCell ref="F4:F5"/>
    <mergeCell ref="A6:A7"/>
    <mergeCell ref="F6:F7"/>
    <mergeCell ref="B8:E8"/>
    <mergeCell ref="B9:E9"/>
    <mergeCell ref="B10:E10"/>
    <mergeCell ref="B11:E11"/>
    <mergeCell ref="B12:E12"/>
    <mergeCell ref="B13:E13"/>
    <mergeCell ref="B16:E16"/>
    <mergeCell ref="B17:E17"/>
    <mergeCell ref="B18:E18"/>
    <mergeCell ref="B19:E19"/>
    <mergeCell ref="B20:E20"/>
    <mergeCell ref="B21:E21"/>
    <mergeCell ref="B22:E22"/>
    <mergeCell ref="C26:C27"/>
    <mergeCell ref="C28:C29"/>
    <mergeCell ref="D28:D29"/>
    <mergeCell ref="E28:E29"/>
    <mergeCell ref="A23:F23"/>
    <mergeCell ref="B24:F24"/>
    <mergeCell ref="A26:A27"/>
    <mergeCell ref="D26:D27"/>
    <mergeCell ref="E26:E27"/>
    <mergeCell ref="F26:F27"/>
    <mergeCell ref="A28:A29"/>
    <mergeCell ref="F28:F29"/>
    <mergeCell ref="B30:E30"/>
    <mergeCell ref="B31:E31"/>
    <mergeCell ref="B32:E32"/>
    <mergeCell ref="B33:E33"/>
    <mergeCell ref="B34:E34"/>
    <mergeCell ref="B35:E35"/>
    <mergeCell ref="B38:E38"/>
    <mergeCell ref="B39:E39"/>
    <mergeCell ref="B40:E40"/>
    <mergeCell ref="B41:E41"/>
    <mergeCell ref="B42:E42"/>
    <mergeCell ref="B43:E43"/>
    <mergeCell ref="B44:E44"/>
    <mergeCell ref="C48:C49"/>
    <mergeCell ref="C50:C51"/>
    <mergeCell ref="D50:D51"/>
    <mergeCell ref="E50:E51"/>
    <mergeCell ref="A45:F45"/>
    <mergeCell ref="B46:F46"/>
    <mergeCell ref="A48:A49"/>
    <mergeCell ref="D48:D49"/>
    <mergeCell ref="E48:E49"/>
    <mergeCell ref="F48:F49"/>
    <mergeCell ref="A50:A51"/>
    <mergeCell ref="F50:F51"/>
    <mergeCell ref="B52:E52"/>
    <mergeCell ref="B53:E53"/>
    <mergeCell ref="B54:E54"/>
    <mergeCell ref="B55:E55"/>
    <mergeCell ref="B56:E56"/>
    <mergeCell ref="B57:E57"/>
    <mergeCell ref="D94:D95"/>
    <mergeCell ref="E94:E95"/>
    <mergeCell ref="A89:F89"/>
    <mergeCell ref="B90:F90"/>
    <mergeCell ref="A92:A93"/>
    <mergeCell ref="D92:D93"/>
    <mergeCell ref="E92:E93"/>
    <mergeCell ref="F92:F93"/>
    <mergeCell ref="A94:A95"/>
    <mergeCell ref="F94:F95"/>
    <mergeCell ref="C92:C93"/>
    <mergeCell ref="C94:C95"/>
    <mergeCell ref="B96:E96"/>
    <mergeCell ref="B97:E97"/>
    <mergeCell ref="B98:E98"/>
    <mergeCell ref="B99:E99"/>
    <mergeCell ref="B100:E100"/>
    <mergeCell ref="B101:E101"/>
    <mergeCell ref="B104:E104"/>
    <mergeCell ref="B105:E105"/>
    <mergeCell ref="B106:E106"/>
    <mergeCell ref="B107:E107"/>
    <mergeCell ref="B108:E108"/>
    <mergeCell ref="B109:E109"/>
    <mergeCell ref="B110:E110"/>
    <mergeCell ref="A111:F111"/>
    <mergeCell ref="B112:F112"/>
    <mergeCell ref="C114:C115"/>
    <mergeCell ref="D114:D115"/>
    <mergeCell ref="E114:E115"/>
    <mergeCell ref="F114:F115"/>
    <mergeCell ref="A114:A115"/>
    <mergeCell ref="A116:A117"/>
    <mergeCell ref="C116:C117"/>
    <mergeCell ref="D116:D117"/>
    <mergeCell ref="E116:E117"/>
    <mergeCell ref="F116:F117"/>
    <mergeCell ref="B118:E118"/>
    <mergeCell ref="B60:E60"/>
    <mergeCell ref="B61:E61"/>
    <mergeCell ref="B62:E62"/>
    <mergeCell ref="B63:E63"/>
    <mergeCell ref="B64:E64"/>
    <mergeCell ref="B65:E65"/>
    <mergeCell ref="B66:E66"/>
    <mergeCell ref="C70:C71"/>
    <mergeCell ref="C72:C73"/>
    <mergeCell ref="D72:D73"/>
    <mergeCell ref="E72:E73"/>
    <mergeCell ref="A67:F67"/>
    <mergeCell ref="B68:F68"/>
    <mergeCell ref="A70:A71"/>
    <mergeCell ref="D70:D71"/>
    <mergeCell ref="E70:E71"/>
    <mergeCell ref="F70:F71"/>
    <mergeCell ref="A72:A73"/>
    <mergeCell ref="F72:F73"/>
    <mergeCell ref="B74:E74"/>
    <mergeCell ref="B75:E75"/>
    <mergeCell ref="B76:E76"/>
    <mergeCell ref="B77:E77"/>
    <mergeCell ref="B78:E78"/>
    <mergeCell ref="B79:E79"/>
    <mergeCell ref="B82:E82"/>
    <mergeCell ref="B83:E83"/>
    <mergeCell ref="B84:E84"/>
    <mergeCell ref="B85:E85"/>
    <mergeCell ref="B86:E86"/>
    <mergeCell ref="B87:E87"/>
    <mergeCell ref="B88:E88"/>
    <mergeCell ref="B119:E119"/>
    <mergeCell ref="B120:E120"/>
    <mergeCell ref="B121:E121"/>
    <mergeCell ref="B122:E122"/>
    <mergeCell ref="B123:E123"/>
    <mergeCell ref="B126:E126"/>
    <mergeCell ref="B127:E127"/>
    <mergeCell ref="D226:D227"/>
    <mergeCell ref="E226:E227"/>
    <mergeCell ref="A221:F221"/>
    <mergeCell ref="B222:F222"/>
    <mergeCell ref="A224:A225"/>
    <mergeCell ref="D224:D225"/>
    <mergeCell ref="E224:E225"/>
    <mergeCell ref="F224:F225"/>
    <mergeCell ref="A226:A227"/>
    <mergeCell ref="F226:F227"/>
  </mergeCells>
  <printOptions/>
  <pageMargins bottom="0.75" footer="0.0" header="0.0" left="0.7" right="0.7" top="0.75"/>
  <pageSetup orientation="landscape"/>
  <drawing r:id="rId1"/>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sheetData>
    <row r="1">
      <c r="A1" s="529">
        <v>0.0</v>
      </c>
      <c r="B1" s="528" t="s">
        <v>1861</v>
      </c>
      <c r="C1" s="2"/>
      <c r="D1" s="2"/>
      <c r="E1" s="2"/>
      <c r="F1" s="3"/>
    </row>
    <row r="2">
      <c r="A2" s="529" t="s">
        <v>4</v>
      </c>
      <c r="B2" s="529" t="s">
        <v>6</v>
      </c>
      <c r="C2" s="529" t="s">
        <v>8</v>
      </c>
      <c r="D2" s="529" t="s">
        <v>9</v>
      </c>
      <c r="E2" s="529" t="s">
        <v>10</v>
      </c>
      <c r="F2" s="529" t="s">
        <v>11</v>
      </c>
    </row>
    <row r="3">
      <c r="A3" s="530"/>
      <c r="B3" s="531" t="s">
        <v>519</v>
      </c>
      <c r="C3" s="530"/>
      <c r="D3" s="530"/>
      <c r="E3" s="530"/>
      <c r="F3" s="530"/>
    </row>
    <row r="4">
      <c r="A4" s="20"/>
      <c r="B4" s="531" t="s">
        <v>838</v>
      </c>
      <c r="C4" s="20"/>
      <c r="D4" s="20"/>
      <c r="E4" s="20"/>
      <c r="F4" s="20"/>
    </row>
    <row r="5">
      <c r="A5" s="532" t="s">
        <v>18</v>
      </c>
      <c r="B5" s="544" t="s">
        <v>19</v>
      </c>
      <c r="C5" s="533" t="s">
        <v>22</v>
      </c>
      <c r="D5" s="533">
        <v>11.5</v>
      </c>
      <c r="E5" s="532">
        <f t="array" ref="E5">IFERROR(INDEX(LMRRates,MATCH(A5,LMRCodes,0), ), )</f>
        <v>281</v>
      </c>
      <c r="F5" s="543">
        <f>D5*E5</f>
        <v>3231.5</v>
      </c>
    </row>
    <row r="6">
      <c r="A6" s="20"/>
      <c r="B6" s="531" t="s">
        <v>915</v>
      </c>
      <c r="C6" s="20"/>
      <c r="D6" s="20"/>
      <c r="E6" s="20"/>
      <c r="F6" s="20"/>
    </row>
    <row r="7">
      <c r="A7" s="531"/>
      <c r="B7" s="535" t="s">
        <v>40</v>
      </c>
      <c r="C7" s="2"/>
      <c r="D7" s="2"/>
      <c r="E7" s="3"/>
      <c r="F7" s="536">
        <f>F5*0.01</f>
        <v>32.315</v>
      </c>
    </row>
    <row r="8">
      <c r="A8" s="531"/>
      <c r="B8" s="535" t="s">
        <v>42</v>
      </c>
      <c r="C8" s="2"/>
      <c r="D8" s="2"/>
      <c r="E8" s="3"/>
      <c r="F8" s="536">
        <f>SUM(F5:F7)</f>
        <v>3263.815</v>
      </c>
    </row>
    <row r="9">
      <c r="A9" s="531"/>
      <c r="B9" s="535" t="s">
        <v>47</v>
      </c>
      <c r="C9" s="2"/>
      <c r="D9" s="2"/>
      <c r="E9" s="3"/>
      <c r="F9" s="536">
        <f>F8*0.15</f>
        <v>489.57225</v>
      </c>
    </row>
    <row r="10">
      <c r="A10" s="531"/>
      <c r="B10" s="535" t="s">
        <v>42</v>
      </c>
      <c r="C10" s="2"/>
      <c r="D10" s="2"/>
      <c r="E10" s="3"/>
      <c r="F10" s="536">
        <f>SUM(F8:F9)</f>
        <v>3753.38725</v>
      </c>
    </row>
    <row r="11">
      <c r="A11" s="531"/>
      <c r="B11" s="535" t="s">
        <v>552</v>
      </c>
      <c r="C11" s="2"/>
      <c r="D11" s="2"/>
      <c r="E11" s="3"/>
      <c r="F11" s="536">
        <f>F10</f>
        <v>3753.38725</v>
      </c>
    </row>
    <row r="12">
      <c r="A12" s="531"/>
      <c r="B12" s="535" t="s">
        <v>76</v>
      </c>
      <c r="C12" s="2"/>
      <c r="D12" s="2"/>
      <c r="E12" s="3"/>
      <c r="F12" s="537">
        <f>round(F11/10,2)</f>
        <v>375.34</v>
      </c>
    </row>
    <row r="13">
      <c r="A13" s="538">
        <v>116.0</v>
      </c>
      <c r="B13" s="531" t="s">
        <v>535</v>
      </c>
      <c r="C13" s="538" t="s">
        <v>27</v>
      </c>
      <c r="D13" s="539">
        <v>0.37</v>
      </c>
      <c r="E13" s="539">
        <v>784.0</v>
      </c>
      <c r="F13" s="536">
        <f t="shared" ref="F13:F14" si="1">D13*E13</f>
        <v>290.08</v>
      </c>
    </row>
    <row r="14">
      <c r="A14" s="538">
        <v>114.0</v>
      </c>
      <c r="B14" s="531" t="s">
        <v>97</v>
      </c>
      <c r="C14" s="538" t="s">
        <v>27</v>
      </c>
      <c r="D14" s="539">
        <v>0.8</v>
      </c>
      <c r="E14" s="539">
        <v>645.0</v>
      </c>
      <c r="F14" s="536">
        <f t="shared" si="1"/>
        <v>516</v>
      </c>
    </row>
    <row r="15">
      <c r="A15" s="531"/>
      <c r="B15" s="535" t="s">
        <v>31</v>
      </c>
      <c r="C15" s="2"/>
      <c r="D15" s="2"/>
      <c r="E15" s="3"/>
      <c r="F15" s="536">
        <f>SUM(F13:F14)</f>
        <v>806.08</v>
      </c>
    </row>
    <row r="16">
      <c r="A16" s="531"/>
      <c r="B16" s="535" t="s">
        <v>40</v>
      </c>
      <c r="C16" s="2"/>
      <c r="D16" s="2"/>
      <c r="E16" s="3"/>
      <c r="F16" s="536">
        <f>F15*0.01</f>
        <v>8.0608</v>
      </c>
    </row>
    <row r="17">
      <c r="A17" s="531"/>
      <c r="B17" s="535" t="s">
        <v>42</v>
      </c>
      <c r="C17" s="2"/>
      <c r="D17" s="2"/>
      <c r="E17" s="3"/>
      <c r="F17" s="536">
        <f>SUM(F15:F16)</f>
        <v>814.1408</v>
      </c>
    </row>
    <row r="18">
      <c r="A18" s="531"/>
      <c r="B18" s="535" t="s">
        <v>47</v>
      </c>
      <c r="C18" s="2"/>
      <c r="D18" s="2"/>
      <c r="E18" s="3"/>
      <c r="F18" s="536">
        <f>F17*0.15</f>
        <v>122.12112</v>
      </c>
    </row>
    <row r="19">
      <c r="A19" s="531"/>
      <c r="B19" s="535" t="s">
        <v>42</v>
      </c>
      <c r="C19" s="2"/>
      <c r="D19" s="2"/>
      <c r="E19" s="3"/>
      <c r="F19" s="536">
        <f>SUM(F17:F18)</f>
        <v>936.26192</v>
      </c>
    </row>
    <row r="20">
      <c r="A20" s="531"/>
      <c r="B20" s="535" t="s">
        <v>552</v>
      </c>
      <c r="C20" s="2"/>
      <c r="D20" s="2"/>
      <c r="E20" s="3"/>
      <c r="F20" s="536">
        <f>F19</f>
        <v>936.26192</v>
      </c>
    </row>
    <row r="21">
      <c r="A21" s="531"/>
      <c r="B21" s="535" t="s">
        <v>76</v>
      </c>
      <c r="C21" s="2"/>
      <c r="D21" s="2"/>
      <c r="E21" s="3"/>
      <c r="F21" s="537">
        <f>round(F20/10,2)</f>
        <v>93.63</v>
      </c>
    </row>
    <row r="22">
      <c r="A22" s="540" t="str">
        <f>CONCATENATE("Say ₹ ",F12," + ",F21," x Cost Index")</f>
        <v>Say ₹ 375.34 + 93.63 x Cost Index</v>
      </c>
      <c r="B22" s="2"/>
      <c r="C22" s="2"/>
      <c r="D22" s="2"/>
      <c r="E22" s="2"/>
      <c r="F22" s="3"/>
    </row>
    <row r="23">
      <c r="A23" s="235">
        <v>0.0</v>
      </c>
      <c r="B23" s="5" t="s">
        <v>1868</v>
      </c>
      <c r="C23" s="2"/>
      <c r="D23" s="2"/>
      <c r="E23" s="2"/>
      <c r="F23" s="3"/>
    </row>
    <row r="24">
      <c r="A24" s="4" t="s">
        <v>4</v>
      </c>
      <c r="B24" s="4" t="s">
        <v>6</v>
      </c>
      <c r="C24" s="4" t="s">
        <v>8</v>
      </c>
      <c r="D24" s="4" t="s">
        <v>9</v>
      </c>
      <c r="E24" s="4" t="s">
        <v>10</v>
      </c>
      <c r="F24" s="4" t="s">
        <v>11</v>
      </c>
    </row>
    <row r="25">
      <c r="A25" s="523"/>
      <c r="B25" s="15" t="s">
        <v>519</v>
      </c>
      <c r="C25" s="523"/>
      <c r="D25" s="523"/>
      <c r="E25" s="523"/>
      <c r="F25" s="523"/>
    </row>
    <row r="26">
      <c r="A26" s="20"/>
      <c r="B26" s="15" t="s">
        <v>838</v>
      </c>
      <c r="C26" s="20"/>
      <c r="D26" s="20"/>
      <c r="E26" s="20"/>
      <c r="F26" s="20"/>
    </row>
    <row r="27">
      <c r="A27" s="76" t="s">
        <v>1869</v>
      </c>
      <c r="B27" s="18" t="s">
        <v>1870</v>
      </c>
      <c r="C27" s="11" t="s">
        <v>22</v>
      </c>
      <c r="D27" s="11">
        <v>11.5</v>
      </c>
      <c r="E27" s="76">
        <f t="array" ref="E27">IFERROR(INDEX(LMRRates,MATCH(A27,LMRCodes,0), ), )</f>
        <v>97</v>
      </c>
      <c r="F27" s="524">
        <f>D27*E27</f>
        <v>1115.5</v>
      </c>
    </row>
    <row r="28">
      <c r="A28" s="20"/>
      <c r="B28" s="15" t="s">
        <v>915</v>
      </c>
      <c r="C28" s="20"/>
      <c r="D28" s="20"/>
      <c r="E28" s="20"/>
      <c r="F28" s="20"/>
    </row>
    <row r="29">
      <c r="A29" s="15"/>
      <c r="B29" s="80" t="s">
        <v>40</v>
      </c>
      <c r="C29" s="2"/>
      <c r="D29" s="2"/>
      <c r="E29" s="3"/>
      <c r="F29" s="525">
        <f>F27*0.01</f>
        <v>11.155</v>
      </c>
    </row>
    <row r="30">
      <c r="A30" s="15"/>
      <c r="B30" s="80" t="s">
        <v>42</v>
      </c>
      <c r="C30" s="2"/>
      <c r="D30" s="2"/>
      <c r="E30" s="3"/>
      <c r="F30" s="525">
        <f>SUM(F27:F29)</f>
        <v>1126.655</v>
      </c>
    </row>
    <row r="31">
      <c r="A31" s="15"/>
      <c r="B31" s="80" t="s">
        <v>47</v>
      </c>
      <c r="C31" s="2"/>
      <c r="D31" s="2"/>
      <c r="E31" s="3"/>
      <c r="F31" s="525">
        <f>F30*0.15</f>
        <v>168.99825</v>
      </c>
    </row>
    <row r="32">
      <c r="A32" s="15"/>
      <c r="B32" s="80" t="s">
        <v>42</v>
      </c>
      <c r="C32" s="2"/>
      <c r="D32" s="2"/>
      <c r="E32" s="3"/>
      <c r="F32" s="525">
        <f>SUM(F30:F31)</f>
        <v>1295.65325</v>
      </c>
    </row>
    <row r="33">
      <c r="A33" s="15"/>
      <c r="B33" s="80" t="s">
        <v>552</v>
      </c>
      <c r="C33" s="2"/>
      <c r="D33" s="2"/>
      <c r="E33" s="3"/>
      <c r="F33" s="525">
        <f>F32</f>
        <v>1295.65325</v>
      </c>
    </row>
    <row r="34">
      <c r="A34" s="15"/>
      <c r="B34" s="80" t="s">
        <v>76</v>
      </c>
      <c r="C34" s="2"/>
      <c r="D34" s="2"/>
      <c r="E34" s="3"/>
      <c r="F34" s="526">
        <f>round(F33/10,2)</f>
        <v>129.57</v>
      </c>
    </row>
    <row r="35">
      <c r="A35" s="23">
        <v>116.0</v>
      </c>
      <c r="B35" s="15" t="s">
        <v>535</v>
      </c>
      <c r="C35" s="23" t="s">
        <v>27</v>
      </c>
      <c r="D35" s="22">
        <v>0.25</v>
      </c>
      <c r="E35" s="22">
        <v>784.0</v>
      </c>
      <c r="F35" s="525">
        <f t="shared" ref="F35:F36" si="2">D35*E35</f>
        <v>196</v>
      </c>
    </row>
    <row r="36">
      <c r="A36" s="23">
        <v>114.0</v>
      </c>
      <c r="B36" s="15" t="s">
        <v>97</v>
      </c>
      <c r="C36" s="23" t="s">
        <v>27</v>
      </c>
      <c r="D36" s="22">
        <v>0.66</v>
      </c>
      <c r="E36" s="22">
        <v>645.0</v>
      </c>
      <c r="F36" s="525">
        <f t="shared" si="2"/>
        <v>425.7</v>
      </c>
    </row>
    <row r="37">
      <c r="A37" s="15"/>
      <c r="B37" s="80" t="s">
        <v>31</v>
      </c>
      <c r="C37" s="2"/>
      <c r="D37" s="2"/>
      <c r="E37" s="3"/>
      <c r="F37" s="525">
        <f>SUM(F35:F36)</f>
        <v>621.7</v>
      </c>
    </row>
    <row r="38">
      <c r="A38" s="15"/>
      <c r="B38" s="80" t="s">
        <v>40</v>
      </c>
      <c r="C38" s="2"/>
      <c r="D38" s="2"/>
      <c r="E38" s="3"/>
      <c r="F38" s="525">
        <f>F37*0.01</f>
        <v>6.217</v>
      </c>
    </row>
    <row r="39">
      <c r="A39" s="15"/>
      <c r="B39" s="80" t="s">
        <v>42</v>
      </c>
      <c r="C39" s="2"/>
      <c r="D39" s="2"/>
      <c r="E39" s="3"/>
      <c r="F39" s="525">
        <f>SUM(F37:F38)</f>
        <v>627.917</v>
      </c>
    </row>
    <row r="40">
      <c r="A40" s="15"/>
      <c r="B40" s="80" t="s">
        <v>47</v>
      </c>
      <c r="C40" s="2"/>
      <c r="D40" s="2"/>
      <c r="E40" s="3"/>
      <c r="F40" s="525">
        <f>F39*0.15</f>
        <v>94.18755</v>
      </c>
    </row>
    <row r="41">
      <c r="A41" s="15"/>
      <c r="B41" s="80" t="s">
        <v>42</v>
      </c>
      <c r="C41" s="2"/>
      <c r="D41" s="2"/>
      <c r="E41" s="3"/>
      <c r="F41" s="525">
        <f>SUM(F39:F40)</f>
        <v>722.10455</v>
      </c>
    </row>
    <row r="42">
      <c r="A42" s="15"/>
      <c r="B42" s="80" t="s">
        <v>552</v>
      </c>
      <c r="C42" s="2"/>
      <c r="D42" s="2"/>
      <c r="E42" s="3"/>
      <c r="F42" s="525">
        <f>F41</f>
        <v>722.10455</v>
      </c>
    </row>
    <row r="43">
      <c r="A43" s="15"/>
      <c r="B43" s="80" t="s">
        <v>76</v>
      </c>
      <c r="C43" s="2"/>
      <c r="D43" s="2"/>
      <c r="E43" s="3"/>
      <c r="F43" s="526">
        <f>round(F42/10,2)</f>
        <v>72.21</v>
      </c>
    </row>
    <row r="44">
      <c r="A44" s="36" t="str">
        <f>CONCATENATE("Say ₹ ",F34," + ",F43," x Cost Index")</f>
        <v>Say ₹ 129.57 + 72.21 x Cost Index</v>
      </c>
      <c r="B44" s="2"/>
      <c r="C44" s="2"/>
      <c r="D44" s="2"/>
      <c r="E44" s="2"/>
      <c r="F44" s="3"/>
    </row>
    <row r="45">
      <c r="A45" s="527">
        <v>0.0</v>
      </c>
      <c r="B45" s="528" t="s">
        <v>1871</v>
      </c>
      <c r="C45" s="2"/>
      <c r="D45" s="2"/>
      <c r="E45" s="2"/>
      <c r="F45" s="3"/>
    </row>
    <row r="46">
      <c r="A46" s="529" t="s">
        <v>4</v>
      </c>
      <c r="B46" s="529" t="s">
        <v>6</v>
      </c>
      <c r="C46" s="529" t="s">
        <v>8</v>
      </c>
      <c r="D46" s="529" t="s">
        <v>9</v>
      </c>
      <c r="E46" s="529" t="s">
        <v>10</v>
      </c>
      <c r="F46" s="529" t="s">
        <v>11</v>
      </c>
    </row>
    <row r="47">
      <c r="A47" s="530"/>
      <c r="B47" s="531" t="s">
        <v>519</v>
      </c>
      <c r="C47" s="530"/>
      <c r="D47" s="530"/>
      <c r="E47" s="530"/>
      <c r="F47" s="530"/>
    </row>
    <row r="48">
      <c r="A48" s="20"/>
      <c r="B48" s="531" t="s">
        <v>838</v>
      </c>
      <c r="C48" s="20"/>
      <c r="D48" s="20"/>
      <c r="E48" s="20"/>
      <c r="F48" s="20"/>
    </row>
    <row r="49">
      <c r="A49" s="532" t="s">
        <v>1872</v>
      </c>
      <c r="B49" s="544" t="s">
        <v>1873</v>
      </c>
      <c r="C49" s="533" t="s">
        <v>22</v>
      </c>
      <c r="D49" s="533">
        <v>11.5</v>
      </c>
      <c r="E49" s="532">
        <f t="array" ref="E49">IFERROR(INDEX(LMRRates,MATCH(A49,LMRCodes,0), ), )</f>
        <v>195</v>
      </c>
      <c r="F49" s="543">
        <f>D49*E49</f>
        <v>2242.5</v>
      </c>
    </row>
    <row r="50">
      <c r="A50" s="20"/>
      <c r="B50" s="531" t="s">
        <v>915</v>
      </c>
      <c r="C50" s="20"/>
      <c r="D50" s="20"/>
      <c r="E50" s="20"/>
      <c r="F50" s="20"/>
    </row>
    <row r="51">
      <c r="A51" s="531"/>
      <c r="B51" s="535" t="s">
        <v>40</v>
      </c>
      <c r="C51" s="2"/>
      <c r="D51" s="2"/>
      <c r="E51" s="3"/>
      <c r="F51" s="536">
        <f>F49*0.01</f>
        <v>22.425</v>
      </c>
    </row>
    <row r="52">
      <c r="A52" s="531"/>
      <c r="B52" s="535" t="s">
        <v>42</v>
      </c>
      <c r="C52" s="2"/>
      <c r="D52" s="2"/>
      <c r="E52" s="3"/>
      <c r="F52" s="536">
        <f>SUM(F49:F51)</f>
        <v>2264.925</v>
      </c>
    </row>
    <row r="53">
      <c r="A53" s="531"/>
      <c r="B53" s="535" t="s">
        <v>47</v>
      </c>
      <c r="C53" s="2"/>
      <c r="D53" s="2"/>
      <c r="E53" s="3"/>
      <c r="F53" s="536">
        <f>F52*0.15</f>
        <v>339.73875</v>
      </c>
    </row>
    <row r="54">
      <c r="A54" s="531"/>
      <c r="B54" s="535" t="s">
        <v>42</v>
      </c>
      <c r="C54" s="2"/>
      <c r="D54" s="2"/>
      <c r="E54" s="3"/>
      <c r="F54" s="536">
        <f>SUM(F52:F53)</f>
        <v>2604.66375</v>
      </c>
    </row>
    <row r="55">
      <c r="A55" s="531"/>
      <c r="B55" s="535" t="s">
        <v>552</v>
      </c>
      <c r="C55" s="2"/>
      <c r="D55" s="2"/>
      <c r="E55" s="3"/>
      <c r="F55" s="536">
        <f>F54</f>
        <v>2604.66375</v>
      </c>
    </row>
    <row r="56">
      <c r="A56" s="531"/>
      <c r="B56" s="535" t="s">
        <v>76</v>
      </c>
      <c r="C56" s="2"/>
      <c r="D56" s="2"/>
      <c r="E56" s="3"/>
      <c r="F56" s="537">
        <f>round(F55/10,2)</f>
        <v>260.47</v>
      </c>
    </row>
    <row r="57">
      <c r="A57" s="538">
        <v>116.0</v>
      </c>
      <c r="B57" s="531" t="s">
        <v>535</v>
      </c>
      <c r="C57" s="538" t="s">
        <v>27</v>
      </c>
      <c r="D57" s="539">
        <v>0.37</v>
      </c>
      <c r="E57" s="539">
        <v>784.0</v>
      </c>
      <c r="F57" s="536">
        <f t="shared" ref="F57:F58" si="3">D57*E57</f>
        <v>290.08</v>
      </c>
    </row>
    <row r="58">
      <c r="A58" s="538">
        <v>114.0</v>
      </c>
      <c r="B58" s="531" t="s">
        <v>97</v>
      </c>
      <c r="C58" s="538" t="s">
        <v>27</v>
      </c>
      <c r="D58" s="539">
        <v>0.8</v>
      </c>
      <c r="E58" s="539">
        <v>645.0</v>
      </c>
      <c r="F58" s="536">
        <f t="shared" si="3"/>
        <v>516</v>
      </c>
    </row>
    <row r="59">
      <c r="A59" s="531"/>
      <c r="B59" s="535" t="s">
        <v>31</v>
      </c>
      <c r="C59" s="2"/>
      <c r="D59" s="2"/>
      <c r="E59" s="3"/>
      <c r="F59" s="536">
        <f>SUM(F57:F58)</f>
        <v>806.08</v>
      </c>
    </row>
    <row r="60">
      <c r="A60" s="531"/>
      <c r="B60" s="535" t="s">
        <v>40</v>
      </c>
      <c r="C60" s="2"/>
      <c r="D60" s="2"/>
      <c r="E60" s="3"/>
      <c r="F60" s="536">
        <f>F59*0.01</f>
        <v>8.0608</v>
      </c>
    </row>
    <row r="61">
      <c r="A61" s="531"/>
      <c r="B61" s="535" t="s">
        <v>42</v>
      </c>
      <c r="C61" s="2"/>
      <c r="D61" s="2"/>
      <c r="E61" s="3"/>
      <c r="F61" s="536">
        <f>SUM(F59:F60)</f>
        <v>814.1408</v>
      </c>
    </row>
    <row r="62">
      <c r="A62" s="531"/>
      <c r="B62" s="535" t="s">
        <v>47</v>
      </c>
      <c r="C62" s="2"/>
      <c r="D62" s="2"/>
      <c r="E62" s="3"/>
      <c r="F62" s="536">
        <f>F61*0.15</f>
        <v>122.12112</v>
      </c>
    </row>
    <row r="63">
      <c r="A63" s="531"/>
      <c r="B63" s="535" t="s">
        <v>42</v>
      </c>
      <c r="C63" s="2"/>
      <c r="D63" s="2"/>
      <c r="E63" s="3"/>
      <c r="F63" s="536">
        <f>SUM(F61:F62)</f>
        <v>936.26192</v>
      </c>
    </row>
    <row r="64">
      <c r="A64" s="531"/>
      <c r="B64" s="535" t="s">
        <v>552</v>
      </c>
      <c r="C64" s="2"/>
      <c r="D64" s="2"/>
      <c r="E64" s="3"/>
      <c r="F64" s="536">
        <f>F63</f>
        <v>936.26192</v>
      </c>
    </row>
    <row r="65">
      <c r="A65" s="531"/>
      <c r="B65" s="535" t="s">
        <v>76</v>
      </c>
      <c r="C65" s="2"/>
      <c r="D65" s="2"/>
      <c r="E65" s="3"/>
      <c r="F65" s="537">
        <f>round(F64/10,2)</f>
        <v>93.63</v>
      </c>
    </row>
    <row r="66">
      <c r="A66" s="540" t="str">
        <f>CONCATENATE("Say ₹ ",F56," + ",F65," x Cost Index")</f>
        <v>Say ₹ 260.47 + 93.63 x Cost Index</v>
      </c>
      <c r="B66" s="2"/>
      <c r="C66" s="2"/>
      <c r="D66" s="2"/>
      <c r="E66" s="2"/>
      <c r="F66" s="3"/>
    </row>
    <row r="67">
      <c r="A67" s="235">
        <v>0.0</v>
      </c>
      <c r="B67" s="5" t="s">
        <v>1879</v>
      </c>
      <c r="C67" s="2"/>
      <c r="D67" s="2"/>
      <c r="E67" s="2"/>
      <c r="F67" s="3"/>
    </row>
    <row r="68">
      <c r="A68" s="4" t="s">
        <v>4</v>
      </c>
      <c r="B68" s="4" t="s">
        <v>6</v>
      </c>
      <c r="C68" s="4" t="s">
        <v>8</v>
      </c>
      <c r="D68" s="4" t="s">
        <v>9</v>
      </c>
      <c r="E68" s="4" t="s">
        <v>10</v>
      </c>
      <c r="F68" s="4" t="s">
        <v>11</v>
      </c>
    </row>
    <row r="69">
      <c r="A69" s="523"/>
      <c r="B69" s="15" t="s">
        <v>519</v>
      </c>
      <c r="C69" s="523"/>
      <c r="D69" s="523"/>
      <c r="E69" s="523"/>
      <c r="F69" s="523"/>
    </row>
    <row r="70">
      <c r="A70" s="20"/>
      <c r="B70" s="15" t="s">
        <v>838</v>
      </c>
      <c r="C70" s="20"/>
      <c r="D70" s="20"/>
      <c r="E70" s="20"/>
      <c r="F70" s="20"/>
    </row>
    <row r="71">
      <c r="A71" s="76" t="s">
        <v>1762</v>
      </c>
      <c r="B71" s="18" t="s">
        <v>1880</v>
      </c>
      <c r="C71" s="11" t="s">
        <v>22</v>
      </c>
      <c r="D71" s="11">
        <v>11.5</v>
      </c>
      <c r="E71" s="76">
        <f t="array" ref="E71">IFERROR(INDEX(LMRRates,MATCH(A71,LMRCodes,0), ), )</f>
        <v>128</v>
      </c>
      <c r="F71" s="524">
        <f>D71*E71</f>
        <v>1472</v>
      </c>
    </row>
    <row r="72">
      <c r="A72" s="20"/>
      <c r="B72" s="15" t="s">
        <v>915</v>
      </c>
      <c r="C72" s="20"/>
      <c r="D72" s="20"/>
      <c r="E72" s="20"/>
      <c r="F72" s="20"/>
    </row>
    <row r="73">
      <c r="A73" s="15"/>
      <c r="B73" s="80" t="s">
        <v>40</v>
      </c>
      <c r="C73" s="2"/>
      <c r="D73" s="2"/>
      <c r="E73" s="3"/>
      <c r="F73" s="525">
        <f>F71*0.01</f>
        <v>14.72</v>
      </c>
    </row>
    <row r="74">
      <c r="A74" s="15"/>
      <c r="B74" s="80" t="s">
        <v>42</v>
      </c>
      <c r="C74" s="2"/>
      <c r="D74" s="2"/>
      <c r="E74" s="3"/>
      <c r="F74" s="525">
        <f>SUM(F71:F73)</f>
        <v>1486.72</v>
      </c>
    </row>
    <row r="75">
      <c r="A75" s="15"/>
      <c r="B75" s="80" t="s">
        <v>47</v>
      </c>
      <c r="C75" s="2"/>
      <c r="D75" s="2"/>
      <c r="E75" s="3"/>
      <c r="F75" s="525">
        <f>F74*0.15</f>
        <v>223.008</v>
      </c>
    </row>
    <row r="76">
      <c r="A76" s="15"/>
      <c r="B76" s="80" t="s">
        <v>42</v>
      </c>
      <c r="C76" s="2"/>
      <c r="D76" s="2"/>
      <c r="E76" s="3"/>
      <c r="F76" s="525">
        <f>SUM(F74:F75)</f>
        <v>1709.728</v>
      </c>
    </row>
    <row r="77">
      <c r="A77" s="15"/>
      <c r="B77" s="80" t="s">
        <v>552</v>
      </c>
      <c r="C77" s="2"/>
      <c r="D77" s="2"/>
      <c r="E77" s="3"/>
      <c r="F77" s="525">
        <f>F76</f>
        <v>1709.728</v>
      </c>
    </row>
    <row r="78">
      <c r="A78" s="15"/>
      <c r="B78" s="80" t="s">
        <v>76</v>
      </c>
      <c r="C78" s="2"/>
      <c r="D78" s="2"/>
      <c r="E78" s="3"/>
      <c r="F78" s="526">
        <f>round(F77/10,2)</f>
        <v>170.97</v>
      </c>
    </row>
    <row r="79">
      <c r="A79" s="23">
        <v>116.0</v>
      </c>
      <c r="B79" s="15" t="s">
        <v>535</v>
      </c>
      <c r="C79" s="23" t="s">
        <v>27</v>
      </c>
      <c r="D79" s="22">
        <v>0.37</v>
      </c>
      <c r="E79" s="22">
        <v>784.0</v>
      </c>
      <c r="F79" s="525">
        <f t="shared" ref="F79:F80" si="4">D79*E79</f>
        <v>290.08</v>
      </c>
    </row>
    <row r="80">
      <c r="A80" s="23">
        <v>114.0</v>
      </c>
      <c r="B80" s="15" t="s">
        <v>97</v>
      </c>
      <c r="C80" s="23" t="s">
        <v>27</v>
      </c>
      <c r="D80" s="22">
        <v>0.8</v>
      </c>
      <c r="E80" s="22">
        <v>645.0</v>
      </c>
      <c r="F80" s="525">
        <f t="shared" si="4"/>
        <v>516</v>
      </c>
    </row>
    <row r="81">
      <c r="A81" s="15"/>
      <c r="B81" s="80" t="s">
        <v>31</v>
      </c>
      <c r="C81" s="2"/>
      <c r="D81" s="2"/>
      <c r="E81" s="3"/>
      <c r="F81" s="525">
        <f>SUM(F79:F80)</f>
        <v>806.08</v>
      </c>
    </row>
    <row r="82">
      <c r="A82" s="15"/>
      <c r="B82" s="80" t="s">
        <v>40</v>
      </c>
      <c r="C82" s="2"/>
      <c r="D82" s="2"/>
      <c r="E82" s="3"/>
      <c r="F82" s="525">
        <f>F81*0.01</f>
        <v>8.0608</v>
      </c>
    </row>
    <row r="83">
      <c r="A83" s="15"/>
      <c r="B83" s="80" t="s">
        <v>42</v>
      </c>
      <c r="C83" s="2"/>
      <c r="D83" s="2"/>
      <c r="E83" s="3"/>
      <c r="F83" s="525">
        <f>SUM(F81:F82)</f>
        <v>814.1408</v>
      </c>
    </row>
    <row r="84">
      <c r="A84" s="15"/>
      <c r="B84" s="80" t="s">
        <v>47</v>
      </c>
      <c r="C84" s="2"/>
      <c r="D84" s="2"/>
      <c r="E84" s="3"/>
      <c r="F84" s="525">
        <f>F83*0.15</f>
        <v>122.12112</v>
      </c>
    </row>
    <row r="85">
      <c r="A85" s="15"/>
      <c r="B85" s="80" t="s">
        <v>42</v>
      </c>
      <c r="C85" s="2"/>
      <c r="D85" s="2"/>
      <c r="E85" s="3"/>
      <c r="F85" s="525">
        <f>SUM(F83:F84)</f>
        <v>936.26192</v>
      </c>
    </row>
    <row r="86">
      <c r="A86" s="15"/>
      <c r="B86" s="80" t="s">
        <v>552</v>
      </c>
      <c r="C86" s="2"/>
      <c r="D86" s="2"/>
      <c r="E86" s="3"/>
      <c r="F86" s="525">
        <f>F85</f>
        <v>936.26192</v>
      </c>
    </row>
    <row r="87">
      <c r="A87" s="15"/>
      <c r="B87" s="80" t="s">
        <v>76</v>
      </c>
      <c r="C87" s="2"/>
      <c r="D87" s="2"/>
      <c r="E87" s="3"/>
      <c r="F87" s="526">
        <f>round(F86/10,2)</f>
        <v>93.63</v>
      </c>
    </row>
    <row r="88">
      <c r="A88" s="36" t="str">
        <f>CONCATENATE("Say ₹ ",F78," + ",F87," x Cost Index")</f>
        <v>Say ₹ 170.97 + 93.63 x Cost Index</v>
      </c>
      <c r="B88" s="2"/>
      <c r="C88" s="2"/>
      <c r="D88" s="2"/>
      <c r="E88" s="2"/>
      <c r="F88" s="3"/>
    </row>
  </sheetData>
  <mergeCells count="100">
    <mergeCell ref="E27:E28"/>
    <mergeCell ref="F27:F28"/>
    <mergeCell ref="B23:F23"/>
    <mergeCell ref="A25:A26"/>
    <mergeCell ref="C25:C26"/>
    <mergeCell ref="D25:D26"/>
    <mergeCell ref="E25:E26"/>
    <mergeCell ref="F25:F26"/>
    <mergeCell ref="A27:A28"/>
    <mergeCell ref="C5:C6"/>
    <mergeCell ref="D5:D6"/>
    <mergeCell ref="E5:E6"/>
    <mergeCell ref="F5:F6"/>
    <mergeCell ref="B1:F1"/>
    <mergeCell ref="A3:A4"/>
    <mergeCell ref="C3:C4"/>
    <mergeCell ref="D3:D4"/>
    <mergeCell ref="E3:E4"/>
    <mergeCell ref="F3:F4"/>
    <mergeCell ref="A5:A6"/>
    <mergeCell ref="B7:E7"/>
    <mergeCell ref="B8:E8"/>
    <mergeCell ref="B9:E9"/>
    <mergeCell ref="B10:E10"/>
    <mergeCell ref="B11:E11"/>
    <mergeCell ref="B12:E12"/>
    <mergeCell ref="B15:E15"/>
    <mergeCell ref="B16:E16"/>
    <mergeCell ref="B17:E17"/>
    <mergeCell ref="B18:E18"/>
    <mergeCell ref="B19:E19"/>
    <mergeCell ref="B20:E20"/>
    <mergeCell ref="B21:E21"/>
    <mergeCell ref="A22:F22"/>
    <mergeCell ref="C27:C28"/>
    <mergeCell ref="D27:D28"/>
    <mergeCell ref="B29:E29"/>
    <mergeCell ref="B30:E30"/>
    <mergeCell ref="B31:E31"/>
    <mergeCell ref="B32:E32"/>
    <mergeCell ref="B33:E33"/>
    <mergeCell ref="B34:E34"/>
    <mergeCell ref="B37:E37"/>
    <mergeCell ref="E71:E72"/>
    <mergeCell ref="F71:F72"/>
    <mergeCell ref="B67:F67"/>
    <mergeCell ref="A69:A70"/>
    <mergeCell ref="C69:C70"/>
    <mergeCell ref="D69:D70"/>
    <mergeCell ref="E69:E70"/>
    <mergeCell ref="F69:F70"/>
    <mergeCell ref="A71:A72"/>
    <mergeCell ref="C71:C72"/>
    <mergeCell ref="D71:D72"/>
    <mergeCell ref="B73:E73"/>
    <mergeCell ref="B74:E74"/>
    <mergeCell ref="B75:E75"/>
    <mergeCell ref="B76:E76"/>
    <mergeCell ref="B77:E77"/>
    <mergeCell ref="B78:E78"/>
    <mergeCell ref="B81:E81"/>
    <mergeCell ref="B82:E82"/>
    <mergeCell ref="B83:E83"/>
    <mergeCell ref="B84:E84"/>
    <mergeCell ref="B85:E85"/>
    <mergeCell ref="B86:E86"/>
    <mergeCell ref="B38:E38"/>
    <mergeCell ref="B39:E39"/>
    <mergeCell ref="B40:E40"/>
    <mergeCell ref="B41:E41"/>
    <mergeCell ref="B42:E42"/>
    <mergeCell ref="B43:E43"/>
    <mergeCell ref="A44:F44"/>
    <mergeCell ref="C49:C50"/>
    <mergeCell ref="D49:D50"/>
    <mergeCell ref="E49:E50"/>
    <mergeCell ref="F49:F50"/>
    <mergeCell ref="B45:F45"/>
    <mergeCell ref="A47:A48"/>
    <mergeCell ref="C47:C48"/>
    <mergeCell ref="D47:D48"/>
    <mergeCell ref="E47:E48"/>
    <mergeCell ref="F47:F48"/>
    <mergeCell ref="A49:A50"/>
    <mergeCell ref="B51:E51"/>
    <mergeCell ref="B52:E52"/>
    <mergeCell ref="B53:E53"/>
    <mergeCell ref="B54:E54"/>
    <mergeCell ref="B55:E55"/>
    <mergeCell ref="B56:E56"/>
    <mergeCell ref="B59:E59"/>
    <mergeCell ref="B60:E60"/>
    <mergeCell ref="B61:E61"/>
    <mergeCell ref="B62:E62"/>
    <mergeCell ref="B63:E63"/>
    <mergeCell ref="B64:E64"/>
    <mergeCell ref="B65:E65"/>
    <mergeCell ref="A66:F66"/>
    <mergeCell ref="B87:E87"/>
    <mergeCell ref="A88:F88"/>
  </mergeCells>
  <drawing r:id="rId1"/>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4.43" defaultRowHeight="15.0"/>
  <cols>
    <col customWidth="1" hidden="1" min="8" max="8" width="13.71"/>
    <col customWidth="1" hidden="1" min="9" max="9" width="14.86"/>
  </cols>
  <sheetData>
    <row r="1">
      <c r="A1" s="111" t="s">
        <v>742</v>
      </c>
      <c r="B1" s="111" t="s">
        <v>745</v>
      </c>
      <c r="C1" s="112" t="s">
        <v>6</v>
      </c>
      <c r="D1" s="2"/>
      <c r="E1" s="3"/>
      <c r="F1" s="112" t="s">
        <v>746</v>
      </c>
      <c r="G1" s="3"/>
      <c r="H1" s="545"/>
      <c r="I1" s="545"/>
    </row>
    <row r="2">
      <c r="A2" s="20"/>
      <c r="B2" s="20"/>
      <c r="C2" s="115" t="s">
        <v>8</v>
      </c>
      <c r="D2" s="115" t="s">
        <v>9</v>
      </c>
      <c r="E2" s="115" t="s">
        <v>358</v>
      </c>
      <c r="F2" s="115" t="s">
        <v>11</v>
      </c>
      <c r="G2" s="115" t="s">
        <v>751</v>
      </c>
      <c r="H2" s="545"/>
      <c r="I2" s="545"/>
    </row>
    <row r="3">
      <c r="A3" s="118" t="s">
        <v>1874</v>
      </c>
      <c r="B3" s="2"/>
      <c r="C3" s="2"/>
      <c r="D3" s="2"/>
      <c r="E3" s="2"/>
      <c r="F3" s="2"/>
      <c r="G3" s="3"/>
      <c r="H3" s="546"/>
      <c r="I3" s="546"/>
    </row>
    <row r="4">
      <c r="A4" s="119"/>
      <c r="B4" s="120" t="s">
        <v>754</v>
      </c>
      <c r="C4" s="120" t="s">
        <v>22</v>
      </c>
      <c r="D4" s="120" t="s">
        <v>757</v>
      </c>
      <c r="E4" s="121">
        <v>10.0</v>
      </c>
      <c r="F4" s="467"/>
      <c r="G4" s="3"/>
      <c r="H4" s="547"/>
      <c r="I4" s="547"/>
    </row>
    <row r="5">
      <c r="A5" s="120" t="s">
        <v>761</v>
      </c>
      <c r="B5" s="123" t="s">
        <v>1875</v>
      </c>
      <c r="C5" s="2"/>
      <c r="D5" s="2"/>
      <c r="E5" s="2"/>
      <c r="F5" s="2"/>
      <c r="G5" s="3"/>
      <c r="H5" s="548"/>
      <c r="I5" s="548"/>
    </row>
    <row r="6">
      <c r="A6" s="124" t="s">
        <v>764</v>
      </c>
      <c r="B6" s="2"/>
      <c r="C6" s="2"/>
      <c r="D6" s="2"/>
      <c r="E6" s="2"/>
      <c r="F6" s="3"/>
      <c r="G6" s="125" t="s">
        <v>766</v>
      </c>
      <c r="H6" s="549"/>
      <c r="I6" s="549"/>
    </row>
    <row r="7">
      <c r="A7" s="126"/>
      <c r="B7" s="127" t="s">
        <v>1677</v>
      </c>
      <c r="C7" s="123" t="s">
        <v>1877</v>
      </c>
      <c r="D7" s="2"/>
      <c r="E7" s="3"/>
      <c r="F7" s="467"/>
      <c r="G7" s="3"/>
      <c r="H7" s="547"/>
      <c r="I7" s="547"/>
    </row>
    <row r="8">
      <c r="A8" s="20"/>
      <c r="B8" s="20"/>
      <c r="C8" s="120" t="s">
        <v>22</v>
      </c>
      <c r="D8" s="121">
        <v>11.5</v>
      </c>
      <c r="E8" s="121">
        <v>38.0</v>
      </c>
      <c r="F8" s="121">
        <f>E8*D8</f>
        <v>437</v>
      </c>
      <c r="G8" s="120" t="s">
        <v>772</v>
      </c>
      <c r="H8" s="550"/>
      <c r="I8" s="550"/>
    </row>
    <row r="9">
      <c r="A9" s="129" t="s">
        <v>1116</v>
      </c>
      <c r="B9" s="2"/>
      <c r="C9" s="3"/>
      <c r="D9" s="121">
        <v>10.0</v>
      </c>
      <c r="E9" s="130" t="s">
        <v>22</v>
      </c>
      <c r="F9" s="121">
        <f>F8</f>
        <v>437</v>
      </c>
      <c r="G9" s="131"/>
      <c r="H9" s="549"/>
      <c r="I9" s="549"/>
    </row>
    <row r="10">
      <c r="A10" s="129" t="s">
        <v>800</v>
      </c>
      <c r="B10" s="2"/>
      <c r="C10" s="3"/>
      <c r="D10" s="121">
        <v>1.0</v>
      </c>
      <c r="E10" s="130" t="s">
        <v>22</v>
      </c>
      <c r="F10" s="121">
        <f>F9/10</f>
        <v>43.7</v>
      </c>
      <c r="G10" s="131"/>
      <c r="H10" s="549"/>
      <c r="I10" s="549"/>
    </row>
    <row r="11">
      <c r="A11" s="133" t="s">
        <v>802</v>
      </c>
      <c r="B11" s="2"/>
      <c r="C11" s="2"/>
      <c r="D11" s="3"/>
      <c r="E11" s="121"/>
      <c r="F11" s="121">
        <f>F10*1%</f>
        <v>0.437</v>
      </c>
      <c r="G11" s="131"/>
      <c r="H11" s="549"/>
      <c r="I11" s="549"/>
    </row>
    <row r="12">
      <c r="A12" s="133" t="s">
        <v>42</v>
      </c>
      <c r="B12" s="2"/>
      <c r="C12" s="2"/>
      <c r="D12" s="3"/>
      <c r="E12" s="131"/>
      <c r="F12" s="121">
        <f>F10+F11</f>
        <v>44.137</v>
      </c>
      <c r="G12" s="131"/>
      <c r="H12" s="549"/>
      <c r="I12" s="549"/>
    </row>
    <row r="13">
      <c r="A13" s="133" t="s">
        <v>806</v>
      </c>
      <c r="B13" s="2"/>
      <c r="C13" s="2"/>
      <c r="D13" s="3"/>
      <c r="E13" s="121"/>
      <c r="F13" s="121">
        <f>F12*15%</f>
        <v>6.62055</v>
      </c>
      <c r="G13" s="131"/>
      <c r="H13" s="549"/>
      <c r="I13" s="549"/>
    </row>
    <row r="14">
      <c r="A14" s="133" t="s">
        <v>42</v>
      </c>
      <c r="B14" s="2"/>
      <c r="C14" s="2"/>
      <c r="D14" s="3"/>
      <c r="E14" s="131"/>
      <c r="F14" s="300">
        <f>round(F12+F13,2)</f>
        <v>50.76</v>
      </c>
      <c r="G14" s="131"/>
      <c r="H14" s="549"/>
      <c r="I14" s="549"/>
    </row>
    <row r="15">
      <c r="A15" s="124" t="s">
        <v>777</v>
      </c>
      <c r="B15" s="2"/>
      <c r="C15" s="2"/>
      <c r="D15" s="2"/>
      <c r="E15" s="2"/>
      <c r="F15" s="3"/>
      <c r="G15" s="125" t="s">
        <v>778</v>
      </c>
      <c r="H15" s="549"/>
      <c r="I15" s="549"/>
    </row>
    <row r="16">
      <c r="A16" s="127">
        <v>116.0</v>
      </c>
      <c r="B16" s="126"/>
      <c r="C16" s="123" t="s">
        <v>535</v>
      </c>
      <c r="D16" s="2"/>
      <c r="E16" s="3"/>
      <c r="F16" s="467"/>
      <c r="G16" s="3"/>
      <c r="H16" s="547"/>
      <c r="I16" s="547"/>
    </row>
    <row r="17">
      <c r="A17" s="20"/>
      <c r="B17" s="20"/>
      <c r="C17" s="120" t="s">
        <v>27</v>
      </c>
      <c r="D17" s="121">
        <v>0.08</v>
      </c>
      <c r="E17" s="121">
        <v>784.0</v>
      </c>
      <c r="F17" s="121">
        <f>D17*E17</f>
        <v>62.72</v>
      </c>
      <c r="G17" s="120" t="s">
        <v>780</v>
      </c>
      <c r="H17" s="550"/>
      <c r="I17" s="550"/>
    </row>
    <row r="18">
      <c r="A18" s="127">
        <v>114.0</v>
      </c>
      <c r="B18" s="126"/>
      <c r="C18" s="123" t="s">
        <v>1882</v>
      </c>
      <c r="D18" s="2"/>
      <c r="E18" s="3"/>
      <c r="F18" s="467"/>
      <c r="G18" s="3"/>
      <c r="H18" s="547"/>
      <c r="I18" s="547"/>
    </row>
    <row r="19">
      <c r="A19" s="20"/>
      <c r="B19" s="20"/>
      <c r="C19" s="120" t="s">
        <v>27</v>
      </c>
      <c r="D19" s="121">
        <v>0.16</v>
      </c>
      <c r="E19" s="121">
        <v>645.0</v>
      </c>
      <c r="F19" s="121">
        <f>E19*D19</f>
        <v>103.2</v>
      </c>
      <c r="G19" s="120" t="s">
        <v>782</v>
      </c>
      <c r="H19" s="550"/>
      <c r="I19" s="550"/>
    </row>
    <row r="20">
      <c r="A20" s="127">
        <v>114.0</v>
      </c>
      <c r="B20" s="126"/>
      <c r="C20" s="123" t="s">
        <v>97</v>
      </c>
      <c r="D20" s="2"/>
      <c r="E20" s="3"/>
      <c r="F20" s="467"/>
      <c r="G20" s="3"/>
      <c r="H20" s="547"/>
      <c r="I20" s="547"/>
    </row>
    <row r="21">
      <c r="A21" s="20"/>
      <c r="B21" s="20"/>
      <c r="C21" s="120" t="s">
        <v>27</v>
      </c>
      <c r="D21" s="121">
        <v>0.66</v>
      </c>
      <c r="E21" s="121">
        <v>645.0</v>
      </c>
      <c r="F21" s="121">
        <f>D21*E21</f>
        <v>425.7</v>
      </c>
      <c r="G21" s="120" t="s">
        <v>791</v>
      </c>
      <c r="H21" s="550"/>
      <c r="I21" s="550"/>
    </row>
    <row r="22">
      <c r="A22" s="127">
        <v>115.0</v>
      </c>
      <c r="B22" s="126"/>
      <c r="C22" s="123" t="s">
        <v>26</v>
      </c>
      <c r="D22" s="2"/>
      <c r="E22" s="3"/>
      <c r="F22" s="467"/>
      <c r="G22" s="3"/>
      <c r="H22" s="547"/>
      <c r="I22" s="547"/>
    </row>
    <row r="23">
      <c r="A23" s="20"/>
      <c r="B23" s="20"/>
      <c r="C23" s="120" t="s">
        <v>27</v>
      </c>
      <c r="D23" s="121">
        <v>0.66</v>
      </c>
      <c r="E23" s="121">
        <v>645.0</v>
      </c>
      <c r="F23" s="121">
        <f>D23*E23</f>
        <v>425.7</v>
      </c>
      <c r="G23" s="120" t="s">
        <v>1885</v>
      </c>
      <c r="H23" s="550"/>
      <c r="I23" s="550"/>
    </row>
    <row r="24">
      <c r="A24" s="129" t="s">
        <v>1886</v>
      </c>
      <c r="B24" s="2"/>
      <c r="C24" s="3"/>
      <c r="D24" s="121">
        <v>10.0</v>
      </c>
      <c r="E24" s="130" t="s">
        <v>22</v>
      </c>
      <c r="F24" s="121">
        <f>F23+F21+F19+F17</f>
        <v>1017.32</v>
      </c>
      <c r="G24" s="131"/>
      <c r="H24" s="547"/>
      <c r="I24" s="547"/>
    </row>
    <row r="25">
      <c r="A25" s="129" t="s">
        <v>800</v>
      </c>
      <c r="B25" s="2"/>
      <c r="C25" s="3"/>
      <c r="D25" s="121">
        <v>1.0</v>
      </c>
      <c r="E25" s="130" t="s">
        <v>22</v>
      </c>
      <c r="F25" s="121">
        <f>F24/10</f>
        <v>101.732</v>
      </c>
      <c r="G25" s="131"/>
      <c r="H25" s="547"/>
      <c r="I25" s="547"/>
    </row>
    <row r="26">
      <c r="A26" s="133" t="s">
        <v>802</v>
      </c>
      <c r="B26" s="2"/>
      <c r="C26" s="2"/>
      <c r="D26" s="3"/>
      <c r="E26" s="121"/>
      <c r="F26" s="121">
        <f>F25*1%</f>
        <v>1.01732</v>
      </c>
      <c r="G26" s="131"/>
      <c r="H26" s="547"/>
      <c r="I26" s="547"/>
    </row>
    <row r="27">
      <c r="A27" s="133" t="s">
        <v>42</v>
      </c>
      <c r="B27" s="2"/>
      <c r="C27" s="2"/>
      <c r="D27" s="3"/>
      <c r="E27" s="131"/>
      <c r="F27" s="121">
        <f>F25+F26</f>
        <v>102.74932</v>
      </c>
      <c r="G27" s="131"/>
      <c r="H27" s="547"/>
      <c r="I27" s="547"/>
    </row>
    <row r="28">
      <c r="A28" s="133" t="s">
        <v>806</v>
      </c>
      <c r="B28" s="2"/>
      <c r="C28" s="2"/>
      <c r="D28" s="3"/>
      <c r="E28" s="121"/>
      <c r="F28" s="121">
        <f>F27*15%</f>
        <v>15.412398</v>
      </c>
      <c r="G28" s="131"/>
      <c r="H28" s="547"/>
      <c r="I28" s="547"/>
    </row>
    <row r="29">
      <c r="A29" s="133" t="s">
        <v>42</v>
      </c>
      <c r="B29" s="2"/>
      <c r="C29" s="2"/>
      <c r="D29" s="3"/>
      <c r="E29" s="131"/>
      <c r="F29" s="300">
        <f>round(F27+F28,2)</f>
        <v>118.16</v>
      </c>
      <c r="G29" s="131"/>
      <c r="H29" s="547"/>
      <c r="I29" s="547"/>
    </row>
    <row r="30" ht="27.0" customHeight="1">
      <c r="A30" s="455" t="str">
        <f>CONCATENATE("Say ₹ ",F14," + ",F29," x Cost Index")</f>
        <v>Say ₹ 50.76 + 118.16 x Cost Index</v>
      </c>
      <c r="B30" s="2"/>
      <c r="C30" s="2"/>
      <c r="D30" s="2"/>
      <c r="E30" s="2"/>
      <c r="F30" s="2"/>
      <c r="G30" s="3"/>
      <c r="H30" s="374">
        <f>((F8*1.01*1.15)/10)</f>
        <v>50.75755</v>
      </c>
      <c r="I30" s="374">
        <f>((SUM(F17,F19,F21,F23)*1.01*1.15)/10)</f>
        <v>118.161718</v>
      </c>
    </row>
    <row r="31">
      <c r="A31" s="111" t="s">
        <v>742</v>
      </c>
      <c r="B31" s="111" t="s">
        <v>745</v>
      </c>
      <c r="C31" s="112" t="s">
        <v>6</v>
      </c>
      <c r="D31" s="2"/>
      <c r="E31" s="3"/>
      <c r="F31" s="112" t="s">
        <v>746</v>
      </c>
      <c r="G31" s="3"/>
      <c r="H31" s="545"/>
      <c r="I31" s="545"/>
    </row>
    <row r="32">
      <c r="A32" s="20"/>
      <c r="B32" s="20"/>
      <c r="C32" s="115" t="s">
        <v>8</v>
      </c>
      <c r="D32" s="115" t="s">
        <v>9</v>
      </c>
      <c r="E32" s="115" t="s">
        <v>358</v>
      </c>
      <c r="F32" s="115" t="s">
        <v>11</v>
      </c>
      <c r="G32" s="115" t="s">
        <v>751</v>
      </c>
      <c r="H32" s="545"/>
      <c r="I32" s="545"/>
    </row>
    <row r="33">
      <c r="A33" s="118" t="s">
        <v>1887</v>
      </c>
      <c r="B33" s="2"/>
      <c r="C33" s="2"/>
      <c r="D33" s="2"/>
      <c r="E33" s="2"/>
      <c r="F33" s="2"/>
      <c r="G33" s="3"/>
      <c r="H33" s="546"/>
      <c r="I33" s="546"/>
    </row>
    <row r="34">
      <c r="A34" s="119"/>
      <c r="B34" s="120" t="s">
        <v>754</v>
      </c>
      <c r="C34" s="120" t="s">
        <v>22</v>
      </c>
      <c r="D34" s="120" t="s">
        <v>757</v>
      </c>
      <c r="E34" s="121">
        <v>10.0</v>
      </c>
      <c r="F34" s="467"/>
      <c r="G34" s="3"/>
      <c r="H34" s="547"/>
      <c r="I34" s="547"/>
    </row>
    <row r="35">
      <c r="A35" s="120" t="s">
        <v>761</v>
      </c>
      <c r="B35" s="123" t="s">
        <v>1888</v>
      </c>
      <c r="C35" s="2"/>
      <c r="D35" s="2"/>
      <c r="E35" s="2"/>
      <c r="F35" s="2"/>
      <c r="G35" s="3"/>
      <c r="H35" s="548"/>
      <c r="I35" s="548"/>
    </row>
    <row r="36">
      <c r="A36" s="124" t="s">
        <v>764</v>
      </c>
      <c r="B36" s="2"/>
      <c r="C36" s="2"/>
      <c r="D36" s="2"/>
      <c r="E36" s="2"/>
      <c r="F36" s="3"/>
      <c r="G36" s="125" t="s">
        <v>766</v>
      </c>
      <c r="H36" s="549"/>
      <c r="I36" s="549"/>
    </row>
    <row r="37">
      <c r="A37" s="126"/>
      <c r="B37" s="127" t="s">
        <v>1701</v>
      </c>
      <c r="C37" s="123" t="s">
        <v>1890</v>
      </c>
      <c r="D37" s="2"/>
      <c r="E37" s="3"/>
      <c r="F37" s="467"/>
      <c r="G37" s="3"/>
      <c r="H37" s="547"/>
      <c r="I37" s="547"/>
    </row>
    <row r="38">
      <c r="A38" s="20"/>
      <c r="B38" s="20"/>
      <c r="C38" s="120" t="s">
        <v>22</v>
      </c>
      <c r="D38" s="121">
        <v>11.5</v>
      </c>
      <c r="E38" s="121">
        <v>27.0</v>
      </c>
      <c r="F38" s="121">
        <f>E38*D38</f>
        <v>310.5</v>
      </c>
      <c r="G38" s="120" t="s">
        <v>772</v>
      </c>
      <c r="H38" s="550"/>
      <c r="I38" s="550"/>
    </row>
    <row r="39">
      <c r="A39" s="129" t="s">
        <v>1116</v>
      </c>
      <c r="B39" s="2"/>
      <c r="C39" s="3"/>
      <c r="D39" s="121">
        <v>10.0</v>
      </c>
      <c r="E39" s="130" t="s">
        <v>22</v>
      </c>
      <c r="F39" s="121">
        <f>F38</f>
        <v>310.5</v>
      </c>
      <c r="G39" s="131"/>
      <c r="H39" s="549"/>
      <c r="I39" s="549"/>
    </row>
    <row r="40">
      <c r="A40" s="129" t="s">
        <v>800</v>
      </c>
      <c r="B40" s="2"/>
      <c r="C40" s="3"/>
      <c r="D40" s="121">
        <v>1.0</v>
      </c>
      <c r="E40" s="130" t="s">
        <v>22</v>
      </c>
      <c r="F40" s="121">
        <f>F39/10</f>
        <v>31.05</v>
      </c>
      <c r="G40" s="131"/>
      <c r="H40" s="549"/>
      <c r="I40" s="549"/>
    </row>
    <row r="41">
      <c r="A41" s="133" t="s">
        <v>802</v>
      </c>
      <c r="B41" s="2"/>
      <c r="C41" s="2"/>
      <c r="D41" s="3"/>
      <c r="E41" s="121"/>
      <c r="F41" s="121">
        <f>F40*1%</f>
        <v>0.3105</v>
      </c>
      <c r="G41" s="131"/>
      <c r="H41" s="549"/>
      <c r="I41" s="549"/>
    </row>
    <row r="42">
      <c r="A42" s="133" t="s">
        <v>42</v>
      </c>
      <c r="B42" s="2"/>
      <c r="C42" s="2"/>
      <c r="D42" s="3"/>
      <c r="E42" s="131"/>
      <c r="F42" s="121">
        <f>F40+F41</f>
        <v>31.3605</v>
      </c>
      <c r="G42" s="131"/>
      <c r="H42" s="549"/>
      <c r="I42" s="549"/>
    </row>
    <row r="43">
      <c r="A43" s="133" t="s">
        <v>806</v>
      </c>
      <c r="B43" s="2"/>
      <c r="C43" s="2"/>
      <c r="D43" s="3"/>
      <c r="E43" s="121"/>
      <c r="F43" s="121">
        <f>F42*15%</f>
        <v>4.704075</v>
      </c>
      <c r="G43" s="131"/>
      <c r="H43" s="549"/>
      <c r="I43" s="549"/>
    </row>
    <row r="44">
      <c r="A44" s="133" t="s">
        <v>42</v>
      </c>
      <c r="B44" s="2"/>
      <c r="C44" s="2"/>
      <c r="D44" s="3"/>
      <c r="E44" s="131"/>
      <c r="F44" s="300">
        <f>round(F42+F43,2)</f>
        <v>36.06</v>
      </c>
      <c r="G44" s="131"/>
      <c r="H44" s="549"/>
      <c r="I44" s="549"/>
    </row>
    <row r="45">
      <c r="A45" s="124" t="s">
        <v>777</v>
      </c>
      <c r="B45" s="2"/>
      <c r="C45" s="2"/>
      <c r="D45" s="2"/>
      <c r="E45" s="2"/>
      <c r="F45" s="3"/>
      <c r="G45" s="125" t="s">
        <v>778</v>
      </c>
      <c r="H45" s="549"/>
      <c r="I45" s="549"/>
    </row>
    <row r="46">
      <c r="A46" s="127">
        <v>116.0</v>
      </c>
      <c r="B46" s="126"/>
      <c r="C46" s="123" t="s">
        <v>535</v>
      </c>
      <c r="D46" s="2"/>
      <c r="E46" s="3"/>
      <c r="F46" s="467"/>
      <c r="G46" s="3"/>
      <c r="H46" s="547"/>
      <c r="I46" s="547"/>
    </row>
    <row r="47">
      <c r="A47" s="20"/>
      <c r="B47" s="20"/>
      <c r="C47" s="120" t="s">
        <v>27</v>
      </c>
      <c r="D47" s="121">
        <v>0.08</v>
      </c>
      <c r="E47" s="121">
        <v>784.0</v>
      </c>
      <c r="F47" s="121">
        <f>E47*D47</f>
        <v>62.72</v>
      </c>
      <c r="G47" s="120" t="s">
        <v>780</v>
      </c>
      <c r="H47" s="550"/>
      <c r="I47" s="550"/>
    </row>
    <row r="48">
      <c r="A48" s="127">
        <v>114.0</v>
      </c>
      <c r="B48" s="126"/>
      <c r="C48" s="123" t="s">
        <v>1892</v>
      </c>
      <c r="D48" s="2"/>
      <c r="E48" s="3"/>
      <c r="F48" s="467"/>
      <c r="G48" s="3"/>
      <c r="H48" s="547"/>
      <c r="I48" s="547"/>
    </row>
    <row r="49">
      <c r="A49" s="20"/>
      <c r="B49" s="20"/>
      <c r="C49" s="120" t="s">
        <v>27</v>
      </c>
      <c r="D49" s="121">
        <v>0.16</v>
      </c>
      <c r="E49" s="121">
        <v>645.0</v>
      </c>
      <c r="F49" s="121">
        <f>E49*D49</f>
        <v>103.2</v>
      </c>
      <c r="G49" s="120" t="s">
        <v>782</v>
      </c>
      <c r="H49" s="550"/>
      <c r="I49" s="550"/>
    </row>
    <row r="50">
      <c r="A50" s="127">
        <v>114.0</v>
      </c>
      <c r="B50" s="126"/>
      <c r="C50" s="123" t="s">
        <v>97</v>
      </c>
      <c r="D50" s="2"/>
      <c r="E50" s="3"/>
      <c r="F50" s="467"/>
      <c r="G50" s="3"/>
      <c r="H50" s="547"/>
      <c r="I50" s="547"/>
    </row>
    <row r="51">
      <c r="A51" s="20"/>
      <c r="B51" s="20"/>
      <c r="C51" s="120" t="s">
        <v>27</v>
      </c>
      <c r="D51" s="121">
        <v>0.66</v>
      </c>
      <c r="E51" s="121">
        <v>645.0</v>
      </c>
      <c r="F51" s="121">
        <f>D51*E51</f>
        <v>425.7</v>
      </c>
      <c r="G51" s="120" t="s">
        <v>791</v>
      </c>
      <c r="H51" s="550"/>
      <c r="I51" s="550"/>
    </row>
    <row r="52">
      <c r="A52" s="127">
        <v>115.0</v>
      </c>
      <c r="B52" s="126"/>
      <c r="C52" s="123" t="s">
        <v>26</v>
      </c>
      <c r="D52" s="2"/>
      <c r="E52" s="3"/>
      <c r="F52" s="467"/>
      <c r="G52" s="3"/>
      <c r="H52" s="547"/>
      <c r="I52" s="547"/>
    </row>
    <row r="53">
      <c r="A53" s="20"/>
      <c r="B53" s="20"/>
      <c r="C53" s="120" t="s">
        <v>27</v>
      </c>
      <c r="D53" s="121">
        <v>0.66</v>
      </c>
      <c r="E53" s="121">
        <v>645.0</v>
      </c>
      <c r="F53" s="121">
        <f>D53*E53</f>
        <v>425.7</v>
      </c>
      <c r="G53" s="120" t="s">
        <v>1885</v>
      </c>
      <c r="H53" s="550"/>
      <c r="I53" s="550"/>
    </row>
    <row r="54">
      <c r="A54" s="129" t="s">
        <v>1886</v>
      </c>
      <c r="B54" s="2"/>
      <c r="C54" s="3"/>
      <c r="D54" s="121">
        <v>10.0</v>
      </c>
      <c r="E54" s="130" t="s">
        <v>22</v>
      </c>
      <c r="F54" s="121">
        <f>F53+F51+F49+F47</f>
        <v>1017.32</v>
      </c>
      <c r="G54" s="131"/>
      <c r="H54" s="547"/>
      <c r="I54" s="547"/>
    </row>
    <row r="55">
      <c r="A55" s="129" t="s">
        <v>800</v>
      </c>
      <c r="B55" s="2"/>
      <c r="C55" s="3"/>
      <c r="D55" s="121">
        <v>1.0</v>
      </c>
      <c r="E55" s="130" t="s">
        <v>22</v>
      </c>
      <c r="F55" s="121">
        <f>F54/10</f>
        <v>101.732</v>
      </c>
      <c r="G55" s="131"/>
      <c r="H55" s="547"/>
      <c r="I55" s="547"/>
    </row>
    <row r="56">
      <c r="A56" s="133" t="s">
        <v>802</v>
      </c>
      <c r="B56" s="2"/>
      <c r="C56" s="2"/>
      <c r="D56" s="3"/>
      <c r="E56" s="121"/>
      <c r="F56" s="121">
        <f>F55*1%</f>
        <v>1.01732</v>
      </c>
      <c r="G56" s="131"/>
      <c r="H56" s="547"/>
      <c r="I56" s="547"/>
    </row>
    <row r="57">
      <c r="A57" s="133" t="s">
        <v>42</v>
      </c>
      <c r="B57" s="2"/>
      <c r="C57" s="2"/>
      <c r="D57" s="3"/>
      <c r="E57" s="131"/>
      <c r="F57" s="121">
        <f>F55+F56</f>
        <v>102.74932</v>
      </c>
      <c r="G57" s="131"/>
      <c r="H57" s="547"/>
      <c r="I57" s="547"/>
    </row>
    <row r="58">
      <c r="A58" s="133" t="s">
        <v>806</v>
      </c>
      <c r="B58" s="2"/>
      <c r="C58" s="2"/>
      <c r="D58" s="3"/>
      <c r="E58" s="121"/>
      <c r="F58" s="121">
        <f>F57*15%</f>
        <v>15.412398</v>
      </c>
      <c r="G58" s="131"/>
      <c r="H58" s="547"/>
      <c r="I58" s="547"/>
    </row>
    <row r="59">
      <c r="A59" s="133" t="s">
        <v>42</v>
      </c>
      <c r="B59" s="2"/>
      <c r="C59" s="2"/>
      <c r="D59" s="3"/>
      <c r="E59" s="131"/>
      <c r="F59" s="300">
        <f>round(F57+F58,2)</f>
        <v>118.16</v>
      </c>
      <c r="G59" s="131"/>
      <c r="H59" s="547"/>
      <c r="I59" s="547"/>
    </row>
    <row r="60" ht="27.0" customHeight="1">
      <c r="A60" s="455" t="str">
        <f>CONCATENATE("Say ₹ ",F44," + ",F59," x Cost Index")</f>
        <v>Say ₹ 36.06 + 118.16 x Cost Index</v>
      </c>
      <c r="B60" s="2"/>
      <c r="C60" s="2"/>
      <c r="D60" s="2"/>
      <c r="E60" s="2"/>
      <c r="F60" s="2"/>
      <c r="G60" s="3"/>
      <c r="H60" s="374">
        <f>((F38*1.01*1.15)/10)</f>
        <v>36.064575</v>
      </c>
      <c r="I60" s="374">
        <f>((SUM(F47,F49,F51,F53)*1.01*1.15)/10)</f>
        <v>118.161718</v>
      </c>
    </row>
    <row r="61">
      <c r="A61" s="111" t="s">
        <v>742</v>
      </c>
      <c r="B61" s="111" t="s">
        <v>745</v>
      </c>
      <c r="C61" s="112" t="s">
        <v>6</v>
      </c>
      <c r="D61" s="2"/>
      <c r="E61" s="3"/>
      <c r="F61" s="112" t="s">
        <v>746</v>
      </c>
      <c r="G61" s="3"/>
      <c r="H61" s="545"/>
      <c r="I61" s="545"/>
    </row>
    <row r="62">
      <c r="A62" s="20"/>
      <c r="B62" s="20"/>
      <c r="C62" s="115" t="s">
        <v>8</v>
      </c>
      <c r="D62" s="115" t="s">
        <v>9</v>
      </c>
      <c r="E62" s="115" t="s">
        <v>358</v>
      </c>
      <c r="F62" s="115" t="s">
        <v>11</v>
      </c>
      <c r="G62" s="115" t="s">
        <v>751</v>
      </c>
      <c r="H62" s="545"/>
      <c r="I62" s="545"/>
    </row>
    <row r="63">
      <c r="A63" s="118" t="s">
        <v>1898</v>
      </c>
      <c r="B63" s="2"/>
      <c r="C63" s="2"/>
      <c r="D63" s="2"/>
      <c r="E63" s="2"/>
      <c r="F63" s="2"/>
      <c r="G63" s="3"/>
      <c r="H63" s="546"/>
      <c r="I63" s="546"/>
    </row>
    <row r="64">
      <c r="A64" s="119"/>
      <c r="B64" s="120" t="s">
        <v>754</v>
      </c>
      <c r="C64" s="120" t="s">
        <v>22</v>
      </c>
      <c r="D64" s="120" t="s">
        <v>757</v>
      </c>
      <c r="E64" s="121">
        <v>10.0</v>
      </c>
      <c r="F64" s="467"/>
      <c r="G64" s="3"/>
      <c r="H64" s="547"/>
      <c r="I64" s="547"/>
    </row>
    <row r="65">
      <c r="A65" s="120" t="s">
        <v>761</v>
      </c>
      <c r="B65" s="123" t="s">
        <v>1745</v>
      </c>
      <c r="C65" s="2"/>
      <c r="D65" s="2"/>
      <c r="E65" s="2"/>
      <c r="F65" s="2"/>
      <c r="G65" s="3"/>
      <c r="H65" s="548"/>
      <c r="I65" s="548"/>
    </row>
    <row r="66">
      <c r="A66" s="124" t="s">
        <v>764</v>
      </c>
      <c r="B66" s="2"/>
      <c r="C66" s="2"/>
      <c r="D66" s="2"/>
      <c r="E66" s="2"/>
      <c r="F66" s="3"/>
      <c r="G66" s="125" t="s">
        <v>766</v>
      </c>
      <c r="H66" s="549"/>
      <c r="I66" s="549"/>
    </row>
    <row r="67">
      <c r="A67" s="126"/>
      <c r="B67" s="127" t="s">
        <v>1712</v>
      </c>
      <c r="C67" s="123" t="s">
        <v>1901</v>
      </c>
      <c r="D67" s="2"/>
      <c r="E67" s="3"/>
      <c r="F67" s="467"/>
      <c r="G67" s="3"/>
      <c r="H67" s="547"/>
      <c r="I67" s="547"/>
    </row>
    <row r="68">
      <c r="A68" s="20"/>
      <c r="B68" s="20"/>
      <c r="C68" s="120" t="s">
        <v>22</v>
      </c>
      <c r="D68" s="121">
        <v>11.5</v>
      </c>
      <c r="E68" s="121">
        <v>40.5</v>
      </c>
      <c r="F68" s="121">
        <f>E68*D68</f>
        <v>465.75</v>
      </c>
      <c r="G68" s="120" t="s">
        <v>772</v>
      </c>
      <c r="H68" s="550"/>
      <c r="I68" s="550"/>
    </row>
    <row r="69">
      <c r="A69" s="129" t="s">
        <v>1116</v>
      </c>
      <c r="B69" s="2"/>
      <c r="C69" s="3"/>
      <c r="D69" s="121">
        <v>10.0</v>
      </c>
      <c r="E69" s="130" t="s">
        <v>22</v>
      </c>
      <c r="F69" s="121">
        <f>F68</f>
        <v>465.75</v>
      </c>
      <c r="G69" s="131"/>
      <c r="H69" s="291"/>
      <c r="I69" s="291"/>
    </row>
    <row r="70">
      <c r="A70" s="129" t="s">
        <v>800</v>
      </c>
      <c r="B70" s="2"/>
      <c r="C70" s="3"/>
      <c r="D70" s="121">
        <v>1.0</v>
      </c>
      <c r="E70" s="130" t="s">
        <v>22</v>
      </c>
      <c r="F70" s="121">
        <f>F69/10</f>
        <v>46.575</v>
      </c>
      <c r="G70" s="131"/>
      <c r="H70" s="291"/>
      <c r="I70" s="291"/>
    </row>
    <row r="71">
      <c r="A71" s="133" t="s">
        <v>802</v>
      </c>
      <c r="B71" s="2"/>
      <c r="C71" s="2"/>
      <c r="D71" s="3"/>
      <c r="E71" s="121"/>
      <c r="F71" s="121">
        <f>F70*1%</f>
        <v>0.46575</v>
      </c>
      <c r="G71" s="131"/>
      <c r="H71" s="291"/>
      <c r="I71" s="291"/>
    </row>
    <row r="72">
      <c r="A72" s="133" t="s">
        <v>42</v>
      </c>
      <c r="B72" s="2"/>
      <c r="C72" s="2"/>
      <c r="D72" s="3"/>
      <c r="E72" s="131"/>
      <c r="F72" s="121">
        <f>F70+F71</f>
        <v>47.04075</v>
      </c>
      <c r="G72" s="131"/>
      <c r="H72" s="291"/>
      <c r="I72" s="291"/>
    </row>
    <row r="73">
      <c r="A73" s="133" t="s">
        <v>806</v>
      </c>
      <c r="B73" s="2"/>
      <c r="C73" s="2"/>
      <c r="D73" s="3"/>
      <c r="E73" s="121"/>
      <c r="F73" s="121">
        <f>F72*15%</f>
        <v>7.0561125</v>
      </c>
      <c r="G73" s="131"/>
      <c r="H73" s="291"/>
      <c r="I73" s="291"/>
    </row>
    <row r="74">
      <c r="A74" s="133" t="s">
        <v>42</v>
      </c>
      <c r="B74" s="2"/>
      <c r="C74" s="2"/>
      <c r="D74" s="3"/>
      <c r="E74" s="131"/>
      <c r="F74" s="300">
        <f>round(F72+F73,2)</f>
        <v>54.1</v>
      </c>
      <c r="G74" s="131"/>
      <c r="H74" s="291"/>
      <c r="I74" s="291"/>
    </row>
    <row r="75">
      <c r="A75" s="124" t="s">
        <v>777</v>
      </c>
      <c r="B75" s="2"/>
      <c r="C75" s="2"/>
      <c r="D75" s="2"/>
      <c r="E75" s="2"/>
      <c r="F75" s="3"/>
      <c r="G75" s="125" t="s">
        <v>778</v>
      </c>
      <c r="H75" s="549"/>
      <c r="I75" s="549"/>
    </row>
    <row r="76">
      <c r="A76" s="127">
        <v>116.0</v>
      </c>
      <c r="B76" s="126"/>
      <c r="C76" s="123" t="s">
        <v>535</v>
      </c>
      <c r="D76" s="2"/>
      <c r="E76" s="3"/>
      <c r="F76" s="467"/>
      <c r="G76" s="3"/>
      <c r="H76" s="547"/>
      <c r="I76" s="547"/>
    </row>
    <row r="77">
      <c r="A77" s="20"/>
      <c r="B77" s="20"/>
      <c r="C77" s="120" t="s">
        <v>27</v>
      </c>
      <c r="D77" s="121">
        <v>0.08</v>
      </c>
      <c r="E77" s="121">
        <v>784.0</v>
      </c>
      <c r="F77" s="121">
        <f>E77*D77</f>
        <v>62.72</v>
      </c>
      <c r="G77" s="120" t="s">
        <v>780</v>
      </c>
      <c r="H77" s="550"/>
      <c r="I77" s="550"/>
    </row>
    <row r="78">
      <c r="A78" s="127">
        <v>114.0</v>
      </c>
      <c r="B78" s="126"/>
      <c r="C78" s="123" t="s">
        <v>1892</v>
      </c>
      <c r="D78" s="2"/>
      <c r="E78" s="3"/>
      <c r="F78" s="467"/>
      <c r="G78" s="3"/>
      <c r="H78" s="547"/>
      <c r="I78" s="547"/>
    </row>
    <row r="79">
      <c r="A79" s="20"/>
      <c r="B79" s="20"/>
      <c r="C79" s="120" t="s">
        <v>27</v>
      </c>
      <c r="D79" s="121">
        <v>0.16</v>
      </c>
      <c r="E79" s="121">
        <v>645.0</v>
      </c>
      <c r="F79" s="121">
        <f>E79*D79</f>
        <v>103.2</v>
      </c>
      <c r="G79" s="120" t="s">
        <v>782</v>
      </c>
      <c r="H79" s="550"/>
      <c r="I79" s="550"/>
    </row>
    <row r="80">
      <c r="A80" s="127">
        <v>114.0</v>
      </c>
      <c r="B80" s="126"/>
      <c r="C80" s="123" t="s">
        <v>97</v>
      </c>
      <c r="D80" s="2"/>
      <c r="E80" s="3"/>
      <c r="F80" s="467"/>
      <c r="G80" s="3"/>
      <c r="H80" s="547"/>
      <c r="I80" s="547"/>
    </row>
    <row r="81">
      <c r="A81" s="20"/>
      <c r="B81" s="20"/>
      <c r="C81" s="120" t="s">
        <v>27</v>
      </c>
      <c r="D81" s="121">
        <v>0.66</v>
      </c>
      <c r="E81" s="121">
        <v>645.0</v>
      </c>
      <c r="F81" s="121">
        <f>D81*E81</f>
        <v>425.7</v>
      </c>
      <c r="G81" s="120" t="s">
        <v>791</v>
      </c>
      <c r="H81" s="550"/>
      <c r="I81" s="550"/>
    </row>
    <row r="82">
      <c r="A82" s="127">
        <v>115.0</v>
      </c>
      <c r="B82" s="126"/>
      <c r="C82" s="123" t="s">
        <v>26</v>
      </c>
      <c r="D82" s="2"/>
      <c r="E82" s="3"/>
      <c r="F82" s="467"/>
      <c r="G82" s="3"/>
      <c r="H82" s="547"/>
      <c r="I82" s="547"/>
    </row>
    <row r="83">
      <c r="A83" s="20"/>
      <c r="B83" s="20"/>
      <c r="C83" s="120" t="s">
        <v>27</v>
      </c>
      <c r="D83" s="121">
        <v>0.66</v>
      </c>
      <c r="E83" s="121">
        <v>645.0</v>
      </c>
      <c r="F83" s="121">
        <f>D83*E83</f>
        <v>425.7</v>
      </c>
      <c r="G83" s="120" t="s">
        <v>1885</v>
      </c>
      <c r="H83" s="550"/>
      <c r="I83" s="550"/>
    </row>
    <row r="84">
      <c r="A84" s="129" t="s">
        <v>1886</v>
      </c>
      <c r="B84" s="2"/>
      <c r="C84" s="3"/>
      <c r="D84" s="121">
        <v>10.0</v>
      </c>
      <c r="E84" s="130" t="s">
        <v>22</v>
      </c>
      <c r="F84" s="121">
        <f>F83+F81+F79+F77</f>
        <v>1017.32</v>
      </c>
      <c r="G84" s="131"/>
      <c r="H84" s="547"/>
      <c r="I84" s="547"/>
    </row>
    <row r="85">
      <c r="A85" s="129" t="s">
        <v>800</v>
      </c>
      <c r="B85" s="2"/>
      <c r="C85" s="3"/>
      <c r="D85" s="121">
        <v>1.0</v>
      </c>
      <c r="E85" s="130" t="s">
        <v>22</v>
      </c>
      <c r="F85" s="121">
        <f>F84/10</f>
        <v>101.732</v>
      </c>
      <c r="G85" s="131"/>
      <c r="H85" s="547"/>
      <c r="I85" s="547"/>
    </row>
    <row r="86">
      <c r="A86" s="133" t="s">
        <v>802</v>
      </c>
      <c r="B86" s="2"/>
      <c r="C86" s="2"/>
      <c r="D86" s="3"/>
      <c r="E86" s="121"/>
      <c r="F86" s="121">
        <f>F85*1%</f>
        <v>1.01732</v>
      </c>
      <c r="G86" s="131"/>
      <c r="H86" s="547"/>
      <c r="I86" s="547"/>
    </row>
    <row r="87">
      <c r="A87" s="133" t="s">
        <v>42</v>
      </c>
      <c r="B87" s="2"/>
      <c r="C87" s="2"/>
      <c r="D87" s="3"/>
      <c r="E87" s="131"/>
      <c r="F87" s="121">
        <f>F85+F86</f>
        <v>102.74932</v>
      </c>
      <c r="G87" s="131"/>
      <c r="H87" s="547"/>
      <c r="I87" s="547"/>
    </row>
    <row r="88">
      <c r="A88" s="133" t="s">
        <v>806</v>
      </c>
      <c r="B88" s="2"/>
      <c r="C88" s="2"/>
      <c r="D88" s="3"/>
      <c r="E88" s="121"/>
      <c r="F88" s="121">
        <f>F87*15%</f>
        <v>15.412398</v>
      </c>
      <c r="G88" s="131"/>
      <c r="H88" s="547"/>
      <c r="I88" s="547"/>
    </row>
    <row r="89">
      <c r="A89" s="133" t="s">
        <v>42</v>
      </c>
      <c r="B89" s="2"/>
      <c r="C89" s="2"/>
      <c r="D89" s="3"/>
      <c r="E89" s="131"/>
      <c r="F89" s="300">
        <f>round(F87+F88,2)</f>
        <v>118.16</v>
      </c>
      <c r="G89" s="131"/>
      <c r="H89" s="547"/>
      <c r="I89" s="547"/>
    </row>
    <row r="90">
      <c r="A90" s="455" t="str">
        <f>CONCATENATE("Say ₹ ",F74," + ",F89," x Cost Index")</f>
        <v>Say ₹ 54.1 + 118.16 x Cost Index</v>
      </c>
      <c r="B90" s="2"/>
      <c r="C90" s="2"/>
      <c r="D90" s="2"/>
      <c r="E90" s="2"/>
      <c r="F90" s="2"/>
      <c r="G90" s="3"/>
      <c r="H90" s="374">
        <f>((F68*1.01*1.15)/10)</f>
        <v>54.0968625</v>
      </c>
      <c r="I90" s="374">
        <f>((SUM(F77,F79,F81,F83)*1.01*1.15)/10)</f>
        <v>118.161718</v>
      </c>
    </row>
    <row r="91">
      <c r="A91" s="111" t="s">
        <v>742</v>
      </c>
      <c r="B91" s="111" t="s">
        <v>745</v>
      </c>
      <c r="C91" s="112" t="s">
        <v>6</v>
      </c>
      <c r="D91" s="2"/>
      <c r="E91" s="3"/>
      <c r="F91" s="112" t="s">
        <v>746</v>
      </c>
      <c r="G91" s="3"/>
      <c r="H91" s="545"/>
      <c r="I91" s="545"/>
    </row>
    <row r="92">
      <c r="A92" s="20"/>
      <c r="B92" s="20"/>
      <c r="C92" s="115" t="s">
        <v>8</v>
      </c>
      <c r="D92" s="115" t="s">
        <v>9</v>
      </c>
      <c r="E92" s="115" t="s">
        <v>358</v>
      </c>
      <c r="F92" s="115" t="s">
        <v>11</v>
      </c>
      <c r="G92" s="115" t="s">
        <v>751</v>
      </c>
      <c r="H92" s="545"/>
      <c r="I92" s="545"/>
    </row>
    <row r="93">
      <c r="A93" s="118" t="s">
        <v>1904</v>
      </c>
      <c r="B93" s="2"/>
      <c r="C93" s="2"/>
      <c r="D93" s="2"/>
      <c r="E93" s="2"/>
      <c r="F93" s="2"/>
      <c r="G93" s="3"/>
      <c r="H93" s="546"/>
      <c r="I93" s="546"/>
    </row>
    <row r="94">
      <c r="A94" s="119"/>
      <c r="B94" s="120" t="s">
        <v>754</v>
      </c>
      <c r="C94" s="120" t="s">
        <v>22</v>
      </c>
      <c r="D94" s="120" t="s">
        <v>757</v>
      </c>
      <c r="E94" s="121">
        <v>10.0</v>
      </c>
      <c r="F94" s="467"/>
      <c r="G94" s="3"/>
      <c r="H94" s="547"/>
      <c r="I94" s="547"/>
    </row>
    <row r="95">
      <c r="A95" s="120" t="s">
        <v>761</v>
      </c>
      <c r="B95" s="123" t="s">
        <v>1675</v>
      </c>
      <c r="C95" s="2"/>
      <c r="D95" s="2"/>
      <c r="E95" s="2"/>
      <c r="F95" s="2"/>
      <c r="G95" s="3"/>
      <c r="H95" s="548"/>
      <c r="I95" s="548"/>
    </row>
    <row r="96">
      <c r="A96" s="124" t="s">
        <v>764</v>
      </c>
      <c r="B96" s="2"/>
      <c r="C96" s="2"/>
      <c r="D96" s="2"/>
      <c r="E96" s="2"/>
      <c r="F96" s="3"/>
      <c r="G96" s="125" t="s">
        <v>766</v>
      </c>
      <c r="H96" s="549"/>
      <c r="I96" s="549"/>
    </row>
    <row r="97">
      <c r="A97" s="126"/>
      <c r="B97" s="127" t="s">
        <v>1719</v>
      </c>
      <c r="C97" s="123" t="s">
        <v>1906</v>
      </c>
      <c r="D97" s="2"/>
      <c r="E97" s="3"/>
      <c r="F97" s="467"/>
      <c r="G97" s="3"/>
      <c r="H97" s="547"/>
      <c r="I97" s="547"/>
    </row>
    <row r="98">
      <c r="A98" s="20"/>
      <c r="B98" s="20"/>
      <c r="C98" s="120" t="s">
        <v>22</v>
      </c>
      <c r="D98" s="121">
        <v>11.5</v>
      </c>
      <c r="E98" s="121">
        <v>30.0</v>
      </c>
      <c r="F98" s="121">
        <f>E98*D98</f>
        <v>345</v>
      </c>
      <c r="G98" s="120" t="s">
        <v>772</v>
      </c>
      <c r="H98" s="550"/>
      <c r="I98" s="550"/>
    </row>
    <row r="99">
      <c r="A99" s="129" t="s">
        <v>1116</v>
      </c>
      <c r="B99" s="2"/>
      <c r="C99" s="3"/>
      <c r="D99" s="121">
        <v>10.0</v>
      </c>
      <c r="E99" s="130" t="s">
        <v>22</v>
      </c>
      <c r="F99" s="121">
        <f>F98</f>
        <v>345</v>
      </c>
      <c r="G99" s="508"/>
      <c r="H99" s="291"/>
      <c r="I99" s="291"/>
    </row>
    <row r="100">
      <c r="A100" s="129" t="s">
        <v>800</v>
      </c>
      <c r="B100" s="2"/>
      <c r="C100" s="3"/>
      <c r="D100" s="121">
        <v>1.0</v>
      </c>
      <c r="E100" s="130" t="s">
        <v>22</v>
      </c>
      <c r="F100" s="121">
        <f>F99/10</f>
        <v>34.5</v>
      </c>
      <c r="G100" s="508"/>
      <c r="H100" s="291"/>
      <c r="I100" s="291"/>
    </row>
    <row r="101">
      <c r="A101" s="133" t="s">
        <v>802</v>
      </c>
      <c r="B101" s="2"/>
      <c r="C101" s="2"/>
      <c r="D101" s="3"/>
      <c r="E101" s="121"/>
      <c r="F101" s="121">
        <f>F100*1%</f>
        <v>0.345</v>
      </c>
      <c r="G101" s="508"/>
      <c r="H101" s="291"/>
      <c r="I101" s="291"/>
    </row>
    <row r="102">
      <c r="A102" s="133" t="s">
        <v>42</v>
      </c>
      <c r="B102" s="2"/>
      <c r="C102" s="2"/>
      <c r="D102" s="3"/>
      <c r="E102" s="131"/>
      <c r="F102" s="121">
        <f>F100+F101</f>
        <v>34.845</v>
      </c>
      <c r="G102" s="508"/>
      <c r="H102" s="291"/>
      <c r="I102" s="291"/>
    </row>
    <row r="103">
      <c r="A103" s="133" t="s">
        <v>806</v>
      </c>
      <c r="B103" s="2"/>
      <c r="C103" s="2"/>
      <c r="D103" s="3"/>
      <c r="E103" s="121"/>
      <c r="F103" s="121">
        <f>F102*15%</f>
        <v>5.22675</v>
      </c>
      <c r="G103" s="508"/>
      <c r="H103" s="291"/>
      <c r="I103" s="291"/>
    </row>
    <row r="104">
      <c r="A104" s="133" t="s">
        <v>42</v>
      </c>
      <c r="B104" s="2"/>
      <c r="C104" s="2"/>
      <c r="D104" s="3"/>
      <c r="E104" s="131"/>
      <c r="F104" s="300">
        <f>round(F102+F103,2)</f>
        <v>40.07</v>
      </c>
      <c r="G104" s="508"/>
      <c r="H104" s="291"/>
      <c r="I104" s="291"/>
    </row>
    <row r="105">
      <c r="A105" s="124" t="s">
        <v>777</v>
      </c>
      <c r="B105" s="2"/>
      <c r="C105" s="2"/>
      <c r="D105" s="2"/>
      <c r="E105" s="2"/>
      <c r="F105" s="3"/>
      <c r="G105" s="125" t="s">
        <v>778</v>
      </c>
      <c r="H105" s="549"/>
      <c r="I105" s="549"/>
    </row>
    <row r="106">
      <c r="A106" s="127">
        <v>116.0</v>
      </c>
      <c r="B106" s="126"/>
      <c r="C106" s="123" t="s">
        <v>535</v>
      </c>
      <c r="D106" s="2"/>
      <c r="E106" s="3"/>
      <c r="F106" s="467"/>
      <c r="G106" s="3"/>
      <c r="H106" s="547"/>
      <c r="I106" s="547"/>
    </row>
    <row r="107">
      <c r="A107" s="20"/>
      <c r="B107" s="20"/>
      <c r="C107" s="120" t="s">
        <v>27</v>
      </c>
      <c r="D107" s="121">
        <v>0.08</v>
      </c>
      <c r="E107" s="121">
        <v>784.0</v>
      </c>
      <c r="F107" s="121">
        <f>E107*D107</f>
        <v>62.72</v>
      </c>
      <c r="G107" s="120" t="s">
        <v>780</v>
      </c>
      <c r="H107" s="550"/>
      <c r="I107" s="550"/>
    </row>
    <row r="108">
      <c r="A108" s="127">
        <v>114.0</v>
      </c>
      <c r="B108" s="126"/>
      <c r="C108" s="123" t="s">
        <v>1892</v>
      </c>
      <c r="D108" s="2"/>
      <c r="E108" s="3"/>
      <c r="F108" s="467"/>
      <c r="G108" s="3"/>
      <c r="H108" s="547"/>
      <c r="I108" s="547"/>
    </row>
    <row r="109">
      <c r="A109" s="20"/>
      <c r="B109" s="20"/>
      <c r="C109" s="120" t="s">
        <v>27</v>
      </c>
      <c r="D109" s="121">
        <v>0.16</v>
      </c>
      <c r="E109" s="121">
        <v>645.0</v>
      </c>
      <c r="F109" s="121">
        <f>E109*D109</f>
        <v>103.2</v>
      </c>
      <c r="G109" s="120" t="s">
        <v>782</v>
      </c>
      <c r="H109" s="550"/>
      <c r="I109" s="550"/>
    </row>
    <row r="110">
      <c r="A110" s="127">
        <v>114.0</v>
      </c>
      <c r="B110" s="126"/>
      <c r="C110" s="123" t="s">
        <v>97</v>
      </c>
      <c r="D110" s="2"/>
      <c r="E110" s="3"/>
      <c r="F110" s="467"/>
      <c r="G110" s="3"/>
      <c r="H110" s="547"/>
      <c r="I110" s="547"/>
    </row>
    <row r="111">
      <c r="A111" s="20"/>
      <c r="B111" s="20"/>
      <c r="C111" s="120" t="s">
        <v>27</v>
      </c>
      <c r="D111" s="121">
        <v>0.66</v>
      </c>
      <c r="E111" s="121">
        <v>645.0</v>
      </c>
      <c r="F111" s="121">
        <f>D111*E111</f>
        <v>425.7</v>
      </c>
      <c r="G111" s="120" t="s">
        <v>791</v>
      </c>
      <c r="H111" s="550"/>
      <c r="I111" s="550"/>
    </row>
    <row r="112">
      <c r="A112" s="127">
        <v>115.0</v>
      </c>
      <c r="B112" s="126"/>
      <c r="C112" s="123" t="s">
        <v>26</v>
      </c>
      <c r="D112" s="2"/>
      <c r="E112" s="3"/>
      <c r="F112" s="467"/>
      <c r="G112" s="3"/>
      <c r="H112" s="547"/>
      <c r="I112" s="547"/>
    </row>
    <row r="113">
      <c r="A113" s="20"/>
      <c r="B113" s="20"/>
      <c r="C113" s="120" t="s">
        <v>27</v>
      </c>
      <c r="D113" s="121">
        <v>0.66</v>
      </c>
      <c r="E113" s="121">
        <v>645.0</v>
      </c>
      <c r="F113" s="121">
        <f>D113*E113</f>
        <v>425.7</v>
      </c>
      <c r="G113" s="120" t="s">
        <v>1885</v>
      </c>
      <c r="H113" s="550"/>
      <c r="I113" s="550"/>
    </row>
    <row r="114">
      <c r="A114" s="129" t="s">
        <v>1886</v>
      </c>
      <c r="B114" s="2"/>
      <c r="C114" s="3"/>
      <c r="D114" s="121">
        <v>10.0</v>
      </c>
      <c r="E114" s="130" t="s">
        <v>22</v>
      </c>
      <c r="F114" s="121">
        <f>F113+F111+F109+F107</f>
        <v>1017.32</v>
      </c>
      <c r="G114" s="131"/>
      <c r="H114" s="547"/>
      <c r="I114" s="547"/>
    </row>
    <row r="115">
      <c r="A115" s="129" t="s">
        <v>800</v>
      </c>
      <c r="B115" s="2"/>
      <c r="C115" s="3"/>
      <c r="D115" s="121">
        <v>1.0</v>
      </c>
      <c r="E115" s="130" t="s">
        <v>22</v>
      </c>
      <c r="F115" s="121">
        <f>F114/10</f>
        <v>101.732</v>
      </c>
      <c r="G115" s="131"/>
      <c r="H115" s="547"/>
      <c r="I115" s="547"/>
    </row>
    <row r="116">
      <c r="A116" s="133" t="s">
        <v>802</v>
      </c>
      <c r="B116" s="2"/>
      <c r="C116" s="2"/>
      <c r="D116" s="3"/>
      <c r="E116" s="121"/>
      <c r="F116" s="121">
        <f>F115*1%</f>
        <v>1.01732</v>
      </c>
      <c r="G116" s="131"/>
      <c r="H116" s="547"/>
      <c r="I116" s="547"/>
    </row>
    <row r="117">
      <c r="A117" s="133" t="s">
        <v>42</v>
      </c>
      <c r="B117" s="2"/>
      <c r="C117" s="2"/>
      <c r="D117" s="3"/>
      <c r="E117" s="131"/>
      <c r="F117" s="121">
        <f>F115+F116</f>
        <v>102.74932</v>
      </c>
      <c r="G117" s="131"/>
      <c r="H117" s="547"/>
      <c r="I117" s="547"/>
    </row>
    <row r="118">
      <c r="A118" s="133" t="s">
        <v>806</v>
      </c>
      <c r="B118" s="2"/>
      <c r="C118" s="2"/>
      <c r="D118" s="3"/>
      <c r="E118" s="121"/>
      <c r="F118" s="121">
        <f>F117*15%</f>
        <v>15.412398</v>
      </c>
      <c r="G118" s="131"/>
      <c r="H118" s="547"/>
      <c r="I118" s="547"/>
    </row>
    <row r="119">
      <c r="A119" s="133" t="s">
        <v>42</v>
      </c>
      <c r="B119" s="2"/>
      <c r="C119" s="2"/>
      <c r="D119" s="3"/>
      <c r="E119" s="131"/>
      <c r="F119" s="300">
        <f>round(F117+F118,2)</f>
        <v>118.16</v>
      </c>
      <c r="G119" s="131"/>
      <c r="H119" s="547"/>
      <c r="I119" s="547"/>
    </row>
    <row r="120">
      <c r="A120" s="455" t="str">
        <f>CONCATENATE("Say ₹ ",F104," + ",F119," x Cost Index")</f>
        <v>Say ₹ 40.07 + 118.16 x Cost Index</v>
      </c>
      <c r="B120" s="2"/>
      <c r="C120" s="2"/>
      <c r="D120" s="2"/>
      <c r="E120" s="2"/>
      <c r="F120" s="2"/>
      <c r="G120" s="3"/>
      <c r="H120" s="374">
        <f>((F98*1.01*1.15)/10)</f>
        <v>40.07175</v>
      </c>
      <c r="I120" s="374">
        <f>((SUM(F107,F109,F111,F113)*1.01*1.15)/10)</f>
        <v>118.161718</v>
      </c>
    </row>
    <row r="121">
      <c r="A121" s="111" t="s">
        <v>742</v>
      </c>
      <c r="B121" s="111" t="s">
        <v>745</v>
      </c>
      <c r="C121" s="112" t="s">
        <v>6</v>
      </c>
      <c r="D121" s="2"/>
      <c r="E121" s="3"/>
      <c r="F121" s="112" t="s">
        <v>746</v>
      </c>
      <c r="G121" s="3"/>
      <c r="H121" s="545"/>
      <c r="I121" s="545"/>
    </row>
    <row r="122">
      <c r="A122" s="20"/>
      <c r="B122" s="20"/>
      <c r="C122" s="115" t="s">
        <v>8</v>
      </c>
      <c r="D122" s="115" t="s">
        <v>9</v>
      </c>
      <c r="E122" s="115" t="s">
        <v>358</v>
      </c>
      <c r="F122" s="115" t="s">
        <v>11</v>
      </c>
      <c r="G122" s="115" t="s">
        <v>751</v>
      </c>
      <c r="H122" s="545"/>
      <c r="I122" s="545"/>
    </row>
    <row r="123">
      <c r="A123" s="118" t="s">
        <v>1913</v>
      </c>
      <c r="B123" s="2"/>
      <c r="C123" s="2"/>
      <c r="D123" s="2"/>
      <c r="E123" s="2"/>
      <c r="F123" s="2"/>
      <c r="G123" s="3"/>
      <c r="H123" s="546"/>
      <c r="I123" s="546"/>
    </row>
    <row r="124">
      <c r="A124" s="119"/>
      <c r="B124" s="120" t="s">
        <v>754</v>
      </c>
      <c r="C124" s="120" t="s">
        <v>22</v>
      </c>
      <c r="D124" s="120" t="s">
        <v>757</v>
      </c>
      <c r="E124" s="121">
        <v>10.0</v>
      </c>
      <c r="F124" s="467"/>
      <c r="G124" s="3"/>
      <c r="H124" s="547"/>
      <c r="I124" s="547"/>
    </row>
    <row r="125">
      <c r="A125" s="120" t="s">
        <v>761</v>
      </c>
      <c r="B125" s="123" t="s">
        <v>1675</v>
      </c>
      <c r="C125" s="2"/>
      <c r="D125" s="2"/>
      <c r="E125" s="2"/>
      <c r="F125" s="2"/>
      <c r="G125" s="3"/>
      <c r="H125" s="548"/>
      <c r="I125" s="548"/>
    </row>
    <row r="126">
      <c r="A126" s="124" t="s">
        <v>764</v>
      </c>
      <c r="B126" s="2"/>
      <c r="C126" s="2"/>
      <c r="D126" s="2"/>
      <c r="E126" s="2"/>
      <c r="F126" s="3"/>
      <c r="G126" s="125" t="s">
        <v>766</v>
      </c>
      <c r="H126" s="549"/>
      <c r="I126" s="549"/>
    </row>
    <row r="127">
      <c r="A127" s="126"/>
      <c r="B127" s="127" t="s">
        <v>1730</v>
      </c>
      <c r="C127" s="123" t="s">
        <v>1914</v>
      </c>
      <c r="D127" s="2"/>
      <c r="E127" s="3"/>
      <c r="F127" s="467"/>
      <c r="G127" s="3"/>
      <c r="H127" s="547"/>
      <c r="I127" s="547"/>
    </row>
    <row r="128">
      <c r="A128" s="20"/>
      <c r="B128" s="20"/>
      <c r="C128" s="120" t="s">
        <v>22</v>
      </c>
      <c r="D128" s="121">
        <v>11.5</v>
      </c>
      <c r="E128" s="121">
        <v>61.0</v>
      </c>
      <c r="F128" s="121">
        <f>E128*D128</f>
        <v>701.5</v>
      </c>
      <c r="G128" s="120" t="s">
        <v>772</v>
      </c>
      <c r="H128" s="550"/>
      <c r="I128" s="550"/>
    </row>
    <row r="129">
      <c r="A129" s="129" t="s">
        <v>1116</v>
      </c>
      <c r="B129" s="2"/>
      <c r="C129" s="3"/>
      <c r="D129" s="121">
        <v>10.0</v>
      </c>
      <c r="E129" s="130" t="s">
        <v>22</v>
      </c>
      <c r="F129" s="121">
        <f>F128</f>
        <v>701.5</v>
      </c>
      <c r="G129" s="508"/>
      <c r="H129" s="291"/>
      <c r="I129" s="291"/>
    </row>
    <row r="130">
      <c r="A130" s="129" t="s">
        <v>800</v>
      </c>
      <c r="B130" s="2"/>
      <c r="C130" s="3"/>
      <c r="D130" s="121">
        <v>1.0</v>
      </c>
      <c r="E130" s="130" t="s">
        <v>22</v>
      </c>
      <c r="F130" s="121">
        <f>F129/10</f>
        <v>70.15</v>
      </c>
      <c r="G130" s="508"/>
      <c r="H130" s="291"/>
      <c r="I130" s="291"/>
    </row>
    <row r="131">
      <c r="A131" s="133" t="s">
        <v>802</v>
      </c>
      <c r="B131" s="2"/>
      <c r="C131" s="2"/>
      <c r="D131" s="3"/>
      <c r="E131" s="121"/>
      <c r="F131" s="121">
        <f>F130*1%</f>
        <v>0.7015</v>
      </c>
      <c r="G131" s="508"/>
      <c r="H131" s="291"/>
      <c r="I131" s="291"/>
    </row>
    <row r="132">
      <c r="A132" s="133" t="s">
        <v>42</v>
      </c>
      <c r="B132" s="2"/>
      <c r="C132" s="2"/>
      <c r="D132" s="3"/>
      <c r="E132" s="131"/>
      <c r="F132" s="121">
        <f>F130+F131</f>
        <v>70.8515</v>
      </c>
      <c r="G132" s="508"/>
      <c r="H132" s="291"/>
      <c r="I132" s="291"/>
    </row>
    <row r="133">
      <c r="A133" s="133" t="s">
        <v>806</v>
      </c>
      <c r="B133" s="2"/>
      <c r="C133" s="2"/>
      <c r="D133" s="3"/>
      <c r="E133" s="121"/>
      <c r="F133" s="121">
        <f>F132*15%</f>
        <v>10.627725</v>
      </c>
      <c r="G133" s="508"/>
      <c r="H133" s="291"/>
      <c r="I133" s="291"/>
    </row>
    <row r="134">
      <c r="A134" s="133" t="s">
        <v>42</v>
      </c>
      <c r="B134" s="2"/>
      <c r="C134" s="2"/>
      <c r="D134" s="3"/>
      <c r="E134" s="131"/>
      <c r="F134" s="300">
        <f>round(F132+F133,2)</f>
        <v>81.48</v>
      </c>
      <c r="G134" s="508"/>
      <c r="H134" s="291"/>
      <c r="I134" s="291"/>
    </row>
    <row r="135">
      <c r="A135" s="124" t="s">
        <v>777</v>
      </c>
      <c r="B135" s="2"/>
      <c r="C135" s="2"/>
      <c r="D135" s="2"/>
      <c r="E135" s="2"/>
      <c r="F135" s="3"/>
      <c r="G135" s="125" t="s">
        <v>778</v>
      </c>
      <c r="H135" s="549"/>
      <c r="I135" s="549"/>
    </row>
    <row r="136">
      <c r="A136" s="127">
        <v>116.0</v>
      </c>
      <c r="B136" s="126"/>
      <c r="C136" s="123" t="s">
        <v>535</v>
      </c>
      <c r="D136" s="2"/>
      <c r="E136" s="3"/>
      <c r="F136" s="467"/>
      <c r="G136" s="3"/>
      <c r="H136" s="547"/>
      <c r="I136" s="547"/>
    </row>
    <row r="137">
      <c r="A137" s="20"/>
      <c r="B137" s="20"/>
      <c r="C137" s="120" t="s">
        <v>27</v>
      </c>
      <c r="D137" s="121">
        <v>0.12</v>
      </c>
      <c r="E137" s="121">
        <v>784.0</v>
      </c>
      <c r="F137" s="121">
        <f>E137*D137</f>
        <v>94.08</v>
      </c>
      <c r="G137" s="120" t="s">
        <v>780</v>
      </c>
      <c r="H137" s="550"/>
      <c r="I137" s="550"/>
    </row>
    <row r="138">
      <c r="A138" s="127">
        <v>114.0</v>
      </c>
      <c r="B138" s="126"/>
      <c r="C138" s="123" t="s">
        <v>1892</v>
      </c>
      <c r="D138" s="2"/>
      <c r="E138" s="3"/>
      <c r="F138" s="467"/>
      <c r="G138" s="3"/>
      <c r="H138" s="547"/>
      <c r="I138" s="547"/>
    </row>
    <row r="139">
      <c r="A139" s="20"/>
      <c r="B139" s="20"/>
      <c r="C139" s="120" t="s">
        <v>27</v>
      </c>
      <c r="D139" s="121">
        <v>0.25</v>
      </c>
      <c r="E139" s="121">
        <v>645.0</v>
      </c>
      <c r="F139" s="121">
        <f>E139*D139</f>
        <v>161.25</v>
      </c>
      <c r="G139" s="120" t="s">
        <v>782</v>
      </c>
      <c r="H139" s="550"/>
      <c r="I139" s="550"/>
    </row>
    <row r="140">
      <c r="A140" s="127">
        <v>114.0</v>
      </c>
      <c r="B140" s="126"/>
      <c r="C140" s="123" t="s">
        <v>97</v>
      </c>
      <c r="D140" s="2"/>
      <c r="E140" s="3"/>
      <c r="F140" s="467"/>
      <c r="G140" s="3"/>
      <c r="H140" s="547"/>
      <c r="I140" s="547"/>
    </row>
    <row r="141">
      <c r="A141" s="20"/>
      <c r="B141" s="20"/>
      <c r="C141" s="120" t="s">
        <v>27</v>
      </c>
      <c r="D141" s="121">
        <v>0.66</v>
      </c>
      <c r="E141" s="121">
        <v>645.0</v>
      </c>
      <c r="F141" s="121">
        <f>D141*E141</f>
        <v>425.7</v>
      </c>
      <c r="G141" s="120" t="s">
        <v>791</v>
      </c>
      <c r="H141" s="550"/>
      <c r="I141" s="550"/>
    </row>
    <row r="142">
      <c r="A142" s="127">
        <v>115.0</v>
      </c>
      <c r="B142" s="126"/>
      <c r="C142" s="123" t="s">
        <v>26</v>
      </c>
      <c r="D142" s="2"/>
      <c r="E142" s="3"/>
      <c r="F142" s="467"/>
      <c r="G142" s="3"/>
      <c r="H142" s="547"/>
      <c r="I142" s="547"/>
    </row>
    <row r="143">
      <c r="A143" s="20"/>
      <c r="B143" s="20"/>
      <c r="C143" s="120" t="s">
        <v>27</v>
      </c>
      <c r="D143" s="121">
        <v>0.66</v>
      </c>
      <c r="E143" s="121">
        <v>645.0</v>
      </c>
      <c r="F143" s="121">
        <f>D143*E143</f>
        <v>425.7</v>
      </c>
      <c r="G143" s="120" t="s">
        <v>1885</v>
      </c>
      <c r="H143" s="550"/>
      <c r="I143" s="550"/>
    </row>
    <row r="144">
      <c r="A144" s="129" t="s">
        <v>1886</v>
      </c>
      <c r="B144" s="2"/>
      <c r="C144" s="3"/>
      <c r="D144" s="121">
        <v>10.0</v>
      </c>
      <c r="E144" s="130" t="s">
        <v>22</v>
      </c>
      <c r="F144" s="121">
        <f>F143+F141+F139+F137</f>
        <v>1106.73</v>
      </c>
      <c r="G144" s="131"/>
      <c r="H144" s="547"/>
      <c r="I144" s="547"/>
    </row>
    <row r="145">
      <c r="A145" s="129" t="s">
        <v>800</v>
      </c>
      <c r="B145" s="2"/>
      <c r="C145" s="3"/>
      <c r="D145" s="121">
        <v>1.0</v>
      </c>
      <c r="E145" s="130" t="s">
        <v>22</v>
      </c>
      <c r="F145" s="121">
        <f>F144/10</f>
        <v>110.673</v>
      </c>
      <c r="G145" s="131"/>
      <c r="H145" s="547"/>
      <c r="I145" s="547"/>
    </row>
    <row r="146">
      <c r="A146" s="133" t="s">
        <v>802</v>
      </c>
      <c r="B146" s="2"/>
      <c r="C146" s="2"/>
      <c r="D146" s="3"/>
      <c r="E146" s="121"/>
      <c r="F146" s="121">
        <f>F145*1%</f>
        <v>1.10673</v>
      </c>
      <c r="G146" s="131"/>
      <c r="H146" s="547"/>
      <c r="I146" s="547"/>
    </row>
    <row r="147">
      <c r="A147" s="133" t="s">
        <v>42</v>
      </c>
      <c r="B147" s="2"/>
      <c r="C147" s="2"/>
      <c r="D147" s="3"/>
      <c r="E147" s="131"/>
      <c r="F147" s="121">
        <f>F145+F146</f>
        <v>111.77973</v>
      </c>
      <c r="G147" s="131"/>
      <c r="H147" s="547"/>
      <c r="I147" s="547"/>
    </row>
    <row r="148">
      <c r="A148" s="133" t="s">
        <v>806</v>
      </c>
      <c r="B148" s="2"/>
      <c r="C148" s="2"/>
      <c r="D148" s="3"/>
      <c r="E148" s="121"/>
      <c r="F148" s="121">
        <f>F147*15%</f>
        <v>16.7669595</v>
      </c>
      <c r="G148" s="131"/>
      <c r="H148" s="547"/>
      <c r="I148" s="547"/>
    </row>
    <row r="149">
      <c r="A149" s="133" t="s">
        <v>42</v>
      </c>
      <c r="B149" s="2"/>
      <c r="C149" s="2"/>
      <c r="D149" s="3"/>
      <c r="E149" s="131"/>
      <c r="F149" s="300">
        <f>round(F147+F148,2)</f>
        <v>128.55</v>
      </c>
      <c r="G149" s="131"/>
      <c r="H149" s="547"/>
      <c r="I149" s="547"/>
    </row>
    <row r="150">
      <c r="A150" s="455" t="str">
        <f>CONCATENATE("Say ₹ ",F134," + ",F149," x Cost Index")</f>
        <v>Say ₹ 81.48 + 128.55 x Cost Index</v>
      </c>
      <c r="B150" s="2"/>
      <c r="C150" s="2"/>
      <c r="D150" s="2"/>
      <c r="E150" s="2"/>
      <c r="F150" s="2"/>
      <c r="G150" s="3"/>
      <c r="H150" s="374">
        <f>((F128*1.01*1.15)/10)</f>
        <v>81.479225</v>
      </c>
      <c r="I150" s="374">
        <f>((SUM(F137,F139,F141,F143)*1.01*1.15)/10)</f>
        <v>128.5466895</v>
      </c>
    </row>
    <row r="151">
      <c r="A151" s="111" t="s">
        <v>742</v>
      </c>
      <c r="B151" s="111" t="s">
        <v>745</v>
      </c>
      <c r="C151" s="112" t="s">
        <v>6</v>
      </c>
      <c r="D151" s="2"/>
      <c r="E151" s="3"/>
      <c r="F151" s="112" t="s">
        <v>746</v>
      </c>
      <c r="G151" s="3"/>
      <c r="H151" s="545"/>
      <c r="I151" s="545"/>
    </row>
    <row r="152">
      <c r="A152" s="20"/>
      <c r="B152" s="20"/>
      <c r="C152" s="115" t="s">
        <v>8</v>
      </c>
      <c r="D152" s="115" t="s">
        <v>9</v>
      </c>
      <c r="E152" s="115" t="s">
        <v>358</v>
      </c>
      <c r="F152" s="115" t="s">
        <v>11</v>
      </c>
      <c r="G152" s="115" t="s">
        <v>751</v>
      </c>
      <c r="H152" s="545"/>
      <c r="I152" s="545"/>
    </row>
    <row r="153">
      <c r="A153" s="118" t="s">
        <v>1918</v>
      </c>
      <c r="B153" s="2"/>
      <c r="C153" s="2"/>
      <c r="D153" s="2"/>
      <c r="E153" s="2"/>
      <c r="F153" s="2"/>
      <c r="G153" s="3"/>
      <c r="H153" s="546"/>
      <c r="I153" s="546"/>
    </row>
    <row r="154">
      <c r="A154" s="119"/>
      <c r="B154" s="120" t="s">
        <v>754</v>
      </c>
      <c r="C154" s="120" t="s">
        <v>22</v>
      </c>
      <c r="D154" s="120" t="s">
        <v>757</v>
      </c>
      <c r="E154" s="121">
        <v>10.0</v>
      </c>
      <c r="F154" s="467"/>
      <c r="G154" s="3"/>
      <c r="H154" s="547"/>
      <c r="I154" s="547"/>
    </row>
    <row r="155">
      <c r="A155" s="120" t="s">
        <v>761</v>
      </c>
      <c r="B155" s="123" t="s">
        <v>519</v>
      </c>
      <c r="C155" s="2"/>
      <c r="D155" s="2"/>
      <c r="E155" s="2"/>
      <c r="F155" s="2"/>
      <c r="G155" s="3"/>
      <c r="H155" s="548"/>
      <c r="I155" s="548"/>
    </row>
    <row r="156">
      <c r="A156" s="124" t="s">
        <v>764</v>
      </c>
      <c r="B156" s="2"/>
      <c r="C156" s="2"/>
      <c r="D156" s="2"/>
      <c r="E156" s="2"/>
      <c r="F156" s="3"/>
      <c r="G156" s="125" t="s">
        <v>766</v>
      </c>
      <c r="H156" s="549"/>
      <c r="I156" s="549"/>
    </row>
    <row r="157">
      <c r="A157" s="126"/>
      <c r="B157" s="127" t="s">
        <v>1739</v>
      </c>
      <c r="C157" s="123" t="s">
        <v>1920</v>
      </c>
      <c r="D157" s="2"/>
      <c r="E157" s="3"/>
      <c r="F157" s="467"/>
      <c r="G157" s="3"/>
      <c r="H157" s="547"/>
      <c r="I157" s="547"/>
    </row>
    <row r="158">
      <c r="A158" s="20"/>
      <c r="B158" s="20"/>
      <c r="C158" s="120" t="s">
        <v>22</v>
      </c>
      <c r="D158" s="121">
        <v>11.5</v>
      </c>
      <c r="E158" s="121">
        <v>48.0</v>
      </c>
      <c r="F158" s="121">
        <f>E158*D158</f>
        <v>552</v>
      </c>
      <c r="G158" s="120" t="s">
        <v>772</v>
      </c>
      <c r="H158" s="550"/>
      <c r="I158" s="550"/>
    </row>
    <row r="159">
      <c r="A159" s="129" t="s">
        <v>1116</v>
      </c>
      <c r="B159" s="2"/>
      <c r="C159" s="3"/>
      <c r="D159" s="121">
        <v>10.0</v>
      </c>
      <c r="E159" s="130" t="s">
        <v>22</v>
      </c>
      <c r="F159" s="121">
        <f>F158</f>
        <v>552</v>
      </c>
      <c r="G159" s="508"/>
      <c r="H159" s="291"/>
      <c r="I159" s="291"/>
    </row>
    <row r="160">
      <c r="A160" s="129" t="s">
        <v>800</v>
      </c>
      <c r="B160" s="2"/>
      <c r="C160" s="3"/>
      <c r="D160" s="121">
        <v>1.0</v>
      </c>
      <c r="E160" s="130" t="s">
        <v>22</v>
      </c>
      <c r="F160" s="121">
        <f>F159/10</f>
        <v>55.2</v>
      </c>
      <c r="G160" s="508"/>
      <c r="H160" s="291"/>
      <c r="I160" s="291"/>
    </row>
    <row r="161">
      <c r="A161" s="133" t="s">
        <v>802</v>
      </c>
      <c r="B161" s="2"/>
      <c r="C161" s="2"/>
      <c r="D161" s="3"/>
      <c r="E161" s="121"/>
      <c r="F161" s="121">
        <f>F160*1%</f>
        <v>0.552</v>
      </c>
      <c r="G161" s="508"/>
      <c r="H161" s="291"/>
      <c r="I161" s="291"/>
    </row>
    <row r="162">
      <c r="A162" s="133" t="s">
        <v>42</v>
      </c>
      <c r="B162" s="2"/>
      <c r="C162" s="2"/>
      <c r="D162" s="3"/>
      <c r="E162" s="131"/>
      <c r="F162" s="121">
        <f>F160+F161</f>
        <v>55.752</v>
      </c>
      <c r="G162" s="508"/>
      <c r="H162" s="291"/>
      <c r="I162" s="291"/>
    </row>
    <row r="163">
      <c r="A163" s="133" t="s">
        <v>806</v>
      </c>
      <c r="B163" s="2"/>
      <c r="C163" s="2"/>
      <c r="D163" s="3"/>
      <c r="E163" s="121"/>
      <c r="F163" s="121">
        <f>F162*15%</f>
        <v>8.3628</v>
      </c>
      <c r="G163" s="508"/>
      <c r="H163" s="291"/>
      <c r="I163" s="291"/>
    </row>
    <row r="164">
      <c r="A164" s="133" t="s">
        <v>42</v>
      </c>
      <c r="B164" s="2"/>
      <c r="C164" s="2"/>
      <c r="D164" s="3"/>
      <c r="E164" s="131"/>
      <c r="F164" s="300">
        <f>round(F162+F163,2)</f>
        <v>64.11</v>
      </c>
      <c r="G164" s="508"/>
      <c r="H164" s="291"/>
      <c r="I164" s="291"/>
    </row>
    <row r="165">
      <c r="A165" s="124" t="s">
        <v>777</v>
      </c>
      <c r="B165" s="2"/>
      <c r="C165" s="2"/>
      <c r="D165" s="2"/>
      <c r="E165" s="2"/>
      <c r="F165" s="3"/>
      <c r="G165" s="125" t="s">
        <v>778</v>
      </c>
      <c r="H165" s="549"/>
      <c r="I165" s="549"/>
    </row>
    <row r="166">
      <c r="A166" s="127">
        <v>116.0</v>
      </c>
      <c r="B166" s="126"/>
      <c r="C166" s="123" t="s">
        <v>535</v>
      </c>
      <c r="D166" s="2"/>
      <c r="E166" s="3"/>
      <c r="F166" s="467"/>
      <c r="G166" s="3"/>
      <c r="H166" s="547"/>
      <c r="I166" s="547"/>
    </row>
    <row r="167">
      <c r="A167" s="20"/>
      <c r="B167" s="20"/>
      <c r="C167" s="120" t="s">
        <v>27</v>
      </c>
      <c r="D167" s="121">
        <v>0.12</v>
      </c>
      <c r="E167" s="121">
        <v>784.0</v>
      </c>
      <c r="F167" s="121">
        <f>E167*D167</f>
        <v>94.08</v>
      </c>
      <c r="G167" s="120" t="s">
        <v>780</v>
      </c>
      <c r="H167" s="550"/>
      <c r="I167" s="550"/>
    </row>
    <row r="168">
      <c r="A168" s="127">
        <v>114.0</v>
      </c>
      <c r="B168" s="126"/>
      <c r="C168" s="123" t="s">
        <v>1882</v>
      </c>
      <c r="D168" s="2"/>
      <c r="E168" s="3"/>
      <c r="F168" s="467"/>
      <c r="G168" s="3"/>
      <c r="H168" s="547"/>
      <c r="I168" s="547"/>
    </row>
    <row r="169">
      <c r="A169" s="20"/>
      <c r="B169" s="20"/>
      <c r="C169" s="120" t="s">
        <v>27</v>
      </c>
      <c r="D169" s="121">
        <v>0.25</v>
      </c>
      <c r="E169" s="121">
        <v>645.0</v>
      </c>
      <c r="F169" s="121">
        <f>E169*D169</f>
        <v>161.25</v>
      </c>
      <c r="G169" s="120" t="s">
        <v>782</v>
      </c>
      <c r="H169" s="550"/>
      <c r="I169" s="550"/>
    </row>
    <row r="170">
      <c r="A170" s="127">
        <v>114.0</v>
      </c>
      <c r="B170" s="126"/>
      <c r="C170" s="123" t="s">
        <v>97</v>
      </c>
      <c r="D170" s="2"/>
      <c r="E170" s="3"/>
      <c r="F170" s="467"/>
      <c r="G170" s="3"/>
      <c r="H170" s="547"/>
      <c r="I170" s="547"/>
    </row>
    <row r="171">
      <c r="A171" s="20"/>
      <c r="B171" s="20"/>
      <c r="C171" s="120" t="s">
        <v>27</v>
      </c>
      <c r="D171" s="121">
        <v>0.66</v>
      </c>
      <c r="E171" s="121">
        <v>645.0</v>
      </c>
      <c r="F171" s="121">
        <f>D171*E171</f>
        <v>425.7</v>
      </c>
      <c r="G171" s="120" t="s">
        <v>791</v>
      </c>
      <c r="H171" s="550"/>
      <c r="I171" s="550"/>
    </row>
    <row r="172">
      <c r="A172" s="127">
        <v>115.0</v>
      </c>
      <c r="B172" s="126"/>
      <c r="C172" s="123" t="s">
        <v>26</v>
      </c>
      <c r="D172" s="2"/>
      <c r="E172" s="3"/>
      <c r="F172" s="467"/>
      <c r="G172" s="3"/>
      <c r="H172" s="547"/>
      <c r="I172" s="547"/>
    </row>
    <row r="173">
      <c r="A173" s="20"/>
      <c r="B173" s="20"/>
      <c r="C173" s="120" t="s">
        <v>27</v>
      </c>
      <c r="D173" s="121">
        <v>0.66</v>
      </c>
      <c r="E173" s="121">
        <v>645.0</v>
      </c>
      <c r="F173" s="121">
        <f>D173*E173</f>
        <v>425.7</v>
      </c>
      <c r="G173" s="120" t="s">
        <v>1885</v>
      </c>
      <c r="H173" s="550"/>
      <c r="I173" s="550"/>
    </row>
    <row r="174">
      <c r="A174" s="129" t="s">
        <v>1886</v>
      </c>
      <c r="B174" s="2"/>
      <c r="C174" s="3"/>
      <c r="D174" s="121">
        <v>10.0</v>
      </c>
      <c r="E174" s="130" t="s">
        <v>22</v>
      </c>
      <c r="F174" s="121">
        <f>F173+F171+F169+F167</f>
        <v>1106.73</v>
      </c>
      <c r="G174" s="131"/>
      <c r="H174" s="547"/>
      <c r="I174" s="547"/>
    </row>
    <row r="175">
      <c r="A175" s="129" t="s">
        <v>800</v>
      </c>
      <c r="B175" s="2"/>
      <c r="C175" s="3"/>
      <c r="D175" s="121">
        <v>1.0</v>
      </c>
      <c r="E175" s="130" t="s">
        <v>22</v>
      </c>
      <c r="F175" s="121">
        <f>F174/10</f>
        <v>110.673</v>
      </c>
      <c r="G175" s="131"/>
      <c r="H175" s="547"/>
      <c r="I175" s="547"/>
    </row>
    <row r="176">
      <c r="A176" s="133" t="s">
        <v>802</v>
      </c>
      <c r="B176" s="2"/>
      <c r="C176" s="2"/>
      <c r="D176" s="3"/>
      <c r="E176" s="121"/>
      <c r="F176" s="121">
        <f>F175*1%</f>
        <v>1.10673</v>
      </c>
      <c r="G176" s="131"/>
      <c r="H176" s="547"/>
      <c r="I176" s="547"/>
    </row>
    <row r="177">
      <c r="A177" s="133" t="s">
        <v>42</v>
      </c>
      <c r="B177" s="2"/>
      <c r="C177" s="2"/>
      <c r="D177" s="3"/>
      <c r="E177" s="131"/>
      <c r="F177" s="121">
        <f>F175+F176</f>
        <v>111.77973</v>
      </c>
      <c r="G177" s="131"/>
      <c r="H177" s="547"/>
      <c r="I177" s="547"/>
    </row>
    <row r="178">
      <c r="A178" s="133" t="s">
        <v>806</v>
      </c>
      <c r="B178" s="2"/>
      <c r="C178" s="2"/>
      <c r="D178" s="3"/>
      <c r="E178" s="121"/>
      <c r="F178" s="121">
        <f>F177*15%</f>
        <v>16.7669595</v>
      </c>
      <c r="G178" s="131"/>
      <c r="H178" s="547"/>
      <c r="I178" s="547"/>
    </row>
    <row r="179">
      <c r="A179" s="133" t="s">
        <v>42</v>
      </c>
      <c r="B179" s="2"/>
      <c r="C179" s="2"/>
      <c r="D179" s="3"/>
      <c r="E179" s="131"/>
      <c r="F179" s="300">
        <f>round(F177+F178,2)</f>
        <v>128.55</v>
      </c>
      <c r="G179" s="131"/>
      <c r="H179" s="547"/>
      <c r="I179" s="547"/>
    </row>
    <row r="180">
      <c r="A180" s="455" t="str">
        <f>CONCATENATE("Say ₹ ",F164," + ",F179," x Cost Index")</f>
        <v>Say ₹ 64.11 + 128.55 x Cost Index</v>
      </c>
      <c r="B180" s="2"/>
      <c r="C180" s="2"/>
      <c r="D180" s="2"/>
      <c r="E180" s="2"/>
      <c r="F180" s="2"/>
      <c r="G180" s="3"/>
      <c r="H180" s="374">
        <f>((F158*1.01*1.15)/10)</f>
        <v>64.1148</v>
      </c>
      <c r="I180" s="374">
        <f>((SUM(F167,F169,F171,F173)*1.01*1.15)/10)</f>
        <v>128.5466895</v>
      </c>
    </row>
    <row r="181">
      <c r="A181" s="111" t="s">
        <v>742</v>
      </c>
      <c r="B181" s="111" t="s">
        <v>745</v>
      </c>
      <c r="C181" s="112" t="s">
        <v>6</v>
      </c>
      <c r="D181" s="2"/>
      <c r="E181" s="3"/>
      <c r="F181" s="112" t="s">
        <v>746</v>
      </c>
      <c r="G181" s="3"/>
      <c r="H181" s="545"/>
      <c r="I181" s="545"/>
    </row>
    <row r="182">
      <c r="A182" s="20"/>
      <c r="B182" s="20"/>
      <c r="C182" s="115" t="s">
        <v>8</v>
      </c>
      <c r="D182" s="115" t="s">
        <v>9</v>
      </c>
      <c r="E182" s="115" t="s">
        <v>358</v>
      </c>
      <c r="F182" s="115" t="s">
        <v>11</v>
      </c>
      <c r="G182" s="115" t="s">
        <v>751</v>
      </c>
      <c r="H182" s="545"/>
      <c r="I182" s="545"/>
    </row>
    <row r="183">
      <c r="A183" s="118" t="s">
        <v>1979</v>
      </c>
      <c r="B183" s="2"/>
      <c r="C183" s="2"/>
      <c r="D183" s="2"/>
      <c r="E183" s="2"/>
      <c r="F183" s="2"/>
      <c r="G183" s="3"/>
      <c r="H183" s="546"/>
      <c r="I183" s="546"/>
    </row>
    <row r="184">
      <c r="A184" s="119"/>
      <c r="B184" s="120" t="s">
        <v>754</v>
      </c>
      <c r="C184" s="120" t="s">
        <v>22</v>
      </c>
      <c r="D184" s="120" t="s">
        <v>757</v>
      </c>
      <c r="E184" s="121">
        <v>10.0</v>
      </c>
      <c r="F184" s="467"/>
      <c r="G184" s="3"/>
      <c r="H184" s="547"/>
      <c r="I184" s="547"/>
    </row>
    <row r="185">
      <c r="A185" s="120" t="s">
        <v>761</v>
      </c>
      <c r="B185" s="123" t="s">
        <v>1980</v>
      </c>
      <c r="C185" s="2"/>
      <c r="D185" s="2"/>
      <c r="E185" s="2"/>
      <c r="F185" s="2"/>
      <c r="G185" s="3"/>
      <c r="H185" s="548"/>
      <c r="I185" s="548"/>
    </row>
    <row r="186">
      <c r="A186" s="124" t="s">
        <v>764</v>
      </c>
      <c r="B186" s="2"/>
      <c r="C186" s="2"/>
      <c r="D186" s="2"/>
      <c r="E186" s="2"/>
      <c r="F186" s="3"/>
      <c r="G186" s="125" t="s">
        <v>766</v>
      </c>
      <c r="H186" s="549"/>
      <c r="I186" s="549"/>
    </row>
    <row r="187">
      <c r="A187" s="126"/>
      <c r="B187" s="127" t="s">
        <v>1751</v>
      </c>
      <c r="C187" s="123" t="s">
        <v>1983</v>
      </c>
      <c r="D187" s="2"/>
      <c r="E187" s="3"/>
      <c r="F187" s="467"/>
      <c r="G187" s="3"/>
      <c r="H187" s="547"/>
      <c r="I187" s="547"/>
    </row>
    <row r="188">
      <c r="A188" s="20"/>
      <c r="B188" s="20"/>
      <c r="C188" s="120" t="s">
        <v>22</v>
      </c>
      <c r="D188" s="121">
        <v>11.5</v>
      </c>
      <c r="E188" s="121">
        <v>65.0</v>
      </c>
      <c r="F188" s="121">
        <f>D188*E188</f>
        <v>747.5</v>
      </c>
      <c r="G188" s="120" t="s">
        <v>772</v>
      </c>
      <c r="H188" s="550"/>
      <c r="I188" s="550"/>
    </row>
    <row r="189">
      <c r="A189" s="129" t="s">
        <v>1116</v>
      </c>
      <c r="B189" s="2"/>
      <c r="C189" s="3"/>
      <c r="D189" s="121">
        <v>10.0</v>
      </c>
      <c r="E189" s="130" t="s">
        <v>22</v>
      </c>
      <c r="F189" s="121">
        <f>F188</f>
        <v>747.5</v>
      </c>
      <c r="G189" s="508"/>
      <c r="H189" s="291"/>
      <c r="I189" s="291"/>
    </row>
    <row r="190">
      <c r="A190" s="129" t="s">
        <v>800</v>
      </c>
      <c r="B190" s="2"/>
      <c r="C190" s="3"/>
      <c r="D190" s="121">
        <v>1.0</v>
      </c>
      <c r="E190" s="130" t="s">
        <v>22</v>
      </c>
      <c r="F190" s="121">
        <f>F189/10</f>
        <v>74.75</v>
      </c>
      <c r="G190" s="508"/>
      <c r="H190" s="291"/>
      <c r="I190" s="291"/>
    </row>
    <row r="191">
      <c r="A191" s="133" t="s">
        <v>802</v>
      </c>
      <c r="B191" s="2"/>
      <c r="C191" s="2"/>
      <c r="D191" s="3"/>
      <c r="E191" s="121"/>
      <c r="F191" s="121">
        <f>F190*1%</f>
        <v>0.7475</v>
      </c>
      <c r="G191" s="508"/>
      <c r="H191" s="291"/>
      <c r="I191" s="291"/>
    </row>
    <row r="192">
      <c r="A192" s="133" t="s">
        <v>42</v>
      </c>
      <c r="B192" s="2"/>
      <c r="C192" s="2"/>
      <c r="D192" s="3"/>
      <c r="E192" s="131"/>
      <c r="F192" s="121">
        <f>F190+F191</f>
        <v>75.4975</v>
      </c>
      <c r="G192" s="508"/>
      <c r="H192" s="291"/>
      <c r="I192" s="291"/>
    </row>
    <row r="193">
      <c r="A193" s="133" t="s">
        <v>806</v>
      </c>
      <c r="B193" s="2"/>
      <c r="C193" s="2"/>
      <c r="D193" s="3"/>
      <c r="E193" s="121"/>
      <c r="F193" s="121">
        <f>F192*15%</f>
        <v>11.324625</v>
      </c>
      <c r="G193" s="508"/>
      <c r="H193" s="291"/>
      <c r="I193" s="291"/>
    </row>
    <row r="194">
      <c r="A194" s="133" t="s">
        <v>42</v>
      </c>
      <c r="B194" s="2"/>
      <c r="C194" s="2"/>
      <c r="D194" s="3"/>
      <c r="E194" s="131"/>
      <c r="F194" s="300">
        <f>round(F192+F193,2)</f>
        <v>86.82</v>
      </c>
      <c r="G194" s="508"/>
      <c r="H194" s="291"/>
      <c r="I194" s="291"/>
    </row>
    <row r="195">
      <c r="A195" s="124" t="s">
        <v>777</v>
      </c>
      <c r="B195" s="2"/>
      <c r="C195" s="2"/>
      <c r="D195" s="2"/>
      <c r="E195" s="2"/>
      <c r="F195" s="3"/>
      <c r="G195" s="125" t="s">
        <v>778</v>
      </c>
      <c r="H195" s="549"/>
      <c r="I195" s="549"/>
    </row>
    <row r="196">
      <c r="A196" s="127">
        <v>116.0</v>
      </c>
      <c r="B196" s="126"/>
      <c r="C196" s="123" t="s">
        <v>535</v>
      </c>
      <c r="D196" s="2"/>
      <c r="E196" s="3"/>
      <c r="F196" s="467"/>
      <c r="G196" s="3"/>
      <c r="H196" s="547"/>
      <c r="I196" s="547"/>
    </row>
    <row r="197">
      <c r="A197" s="20"/>
      <c r="B197" s="20"/>
      <c r="C197" s="120" t="s">
        <v>27</v>
      </c>
      <c r="D197" s="121">
        <v>0.12</v>
      </c>
      <c r="E197" s="121">
        <v>784.0</v>
      </c>
      <c r="F197" s="121">
        <f>E197*D197</f>
        <v>94.08</v>
      </c>
      <c r="G197" s="120" t="s">
        <v>780</v>
      </c>
      <c r="H197" s="550"/>
      <c r="I197" s="550"/>
    </row>
    <row r="198">
      <c r="A198" s="127">
        <v>114.0</v>
      </c>
      <c r="B198" s="126"/>
      <c r="C198" s="123" t="s">
        <v>1892</v>
      </c>
      <c r="D198" s="2"/>
      <c r="E198" s="3"/>
      <c r="F198" s="467"/>
      <c r="G198" s="3"/>
      <c r="H198" s="547"/>
      <c r="I198" s="547"/>
    </row>
    <row r="199">
      <c r="A199" s="20"/>
      <c r="B199" s="20"/>
      <c r="C199" s="120" t="s">
        <v>27</v>
      </c>
      <c r="D199" s="121">
        <v>0.25</v>
      </c>
      <c r="E199" s="121">
        <v>645.0</v>
      </c>
      <c r="F199" s="121">
        <f>E199*D199</f>
        <v>161.25</v>
      </c>
      <c r="G199" s="120" t="s">
        <v>782</v>
      </c>
      <c r="H199" s="550"/>
      <c r="I199" s="550"/>
    </row>
    <row r="200">
      <c r="A200" s="127">
        <v>114.0</v>
      </c>
      <c r="B200" s="126"/>
      <c r="C200" s="123" t="s">
        <v>97</v>
      </c>
      <c r="D200" s="2"/>
      <c r="E200" s="3"/>
      <c r="F200" s="467"/>
      <c r="G200" s="3"/>
      <c r="H200" s="547"/>
      <c r="I200" s="547"/>
    </row>
    <row r="201">
      <c r="A201" s="20"/>
      <c r="B201" s="20"/>
      <c r="C201" s="120" t="s">
        <v>27</v>
      </c>
      <c r="D201" s="121">
        <v>0.66</v>
      </c>
      <c r="E201" s="121">
        <v>645.0</v>
      </c>
      <c r="F201" s="121">
        <f>D201*E201</f>
        <v>425.7</v>
      </c>
      <c r="G201" s="120" t="s">
        <v>791</v>
      </c>
      <c r="H201" s="550"/>
      <c r="I201" s="550"/>
    </row>
    <row r="202">
      <c r="A202" s="127">
        <v>115.0</v>
      </c>
      <c r="B202" s="126"/>
      <c r="C202" s="123" t="s">
        <v>26</v>
      </c>
      <c r="D202" s="2"/>
      <c r="E202" s="3"/>
      <c r="F202" s="467"/>
      <c r="G202" s="3"/>
      <c r="H202" s="547"/>
      <c r="I202" s="547"/>
    </row>
    <row r="203">
      <c r="A203" s="20"/>
      <c r="B203" s="20"/>
      <c r="C203" s="120" t="s">
        <v>27</v>
      </c>
      <c r="D203" s="121">
        <v>0.66</v>
      </c>
      <c r="E203" s="121">
        <v>645.0</v>
      </c>
      <c r="F203" s="121">
        <f>D203*E203</f>
        <v>425.7</v>
      </c>
      <c r="G203" s="120" t="s">
        <v>1885</v>
      </c>
      <c r="H203" s="550"/>
      <c r="I203" s="550"/>
    </row>
    <row r="204">
      <c r="A204" s="129" t="s">
        <v>1886</v>
      </c>
      <c r="B204" s="2"/>
      <c r="C204" s="3"/>
      <c r="D204" s="121">
        <v>10.0</v>
      </c>
      <c r="E204" s="130" t="s">
        <v>22</v>
      </c>
      <c r="F204" s="121">
        <f>F203+F201+F199+F197</f>
        <v>1106.73</v>
      </c>
      <c r="G204" s="131"/>
      <c r="H204" s="547"/>
      <c r="I204" s="547"/>
    </row>
    <row r="205">
      <c r="A205" s="129" t="s">
        <v>800</v>
      </c>
      <c r="B205" s="2"/>
      <c r="C205" s="3"/>
      <c r="D205" s="121">
        <v>1.0</v>
      </c>
      <c r="E205" s="130" t="s">
        <v>22</v>
      </c>
      <c r="F205" s="121">
        <f>F204/10</f>
        <v>110.673</v>
      </c>
      <c r="G205" s="131"/>
      <c r="H205" s="547"/>
      <c r="I205" s="547"/>
    </row>
    <row r="206">
      <c r="A206" s="133" t="s">
        <v>802</v>
      </c>
      <c r="B206" s="2"/>
      <c r="C206" s="2"/>
      <c r="D206" s="3"/>
      <c r="E206" s="121"/>
      <c r="F206" s="121">
        <f>F205*1%</f>
        <v>1.10673</v>
      </c>
      <c r="G206" s="131"/>
      <c r="H206" s="547"/>
      <c r="I206" s="547"/>
    </row>
    <row r="207">
      <c r="A207" s="133" t="s">
        <v>42</v>
      </c>
      <c r="B207" s="2"/>
      <c r="C207" s="2"/>
      <c r="D207" s="3"/>
      <c r="E207" s="131"/>
      <c r="F207" s="121">
        <f>F205+F206</f>
        <v>111.77973</v>
      </c>
      <c r="G207" s="131"/>
      <c r="H207" s="547"/>
      <c r="I207" s="547"/>
    </row>
    <row r="208">
      <c r="A208" s="133" t="s">
        <v>806</v>
      </c>
      <c r="B208" s="2"/>
      <c r="C208" s="2"/>
      <c r="D208" s="3"/>
      <c r="E208" s="121"/>
      <c r="F208" s="121">
        <f>F207*15%</f>
        <v>16.7669595</v>
      </c>
      <c r="G208" s="131"/>
      <c r="H208" s="547"/>
      <c r="I208" s="547"/>
    </row>
    <row r="209">
      <c r="A209" s="133" t="s">
        <v>42</v>
      </c>
      <c r="B209" s="2"/>
      <c r="C209" s="2"/>
      <c r="D209" s="3"/>
      <c r="E209" s="131"/>
      <c r="F209" s="300">
        <f>round(F207+F208,2)</f>
        <v>128.55</v>
      </c>
      <c r="G209" s="131"/>
      <c r="H209" s="547"/>
      <c r="I209" s="547"/>
    </row>
    <row r="210">
      <c r="A210" s="455" t="str">
        <f>CONCATENATE("Say ₹ ",F194," + ",F209," x Cost Index")</f>
        <v>Say ₹ 86.82 + 128.55 x Cost Index</v>
      </c>
      <c r="B210" s="2"/>
      <c r="C210" s="2"/>
      <c r="D210" s="2"/>
      <c r="E210" s="2"/>
      <c r="F210" s="2"/>
      <c r="G210" s="3"/>
      <c r="H210" s="374">
        <f>((F188*1.01*1.15)/10)</f>
        <v>86.822125</v>
      </c>
      <c r="I210" s="374">
        <f>((SUM(F197,F199,F201,F203)*1.01*1.15)/10)</f>
        <v>128.5466895</v>
      </c>
    </row>
    <row r="211">
      <c r="A211" s="111" t="s">
        <v>742</v>
      </c>
      <c r="B211" s="111" t="s">
        <v>745</v>
      </c>
      <c r="C211" s="112" t="s">
        <v>6</v>
      </c>
      <c r="D211" s="2"/>
      <c r="E211" s="3"/>
      <c r="F211" s="112" t="s">
        <v>746</v>
      </c>
      <c r="G211" s="3"/>
      <c r="H211" s="545"/>
      <c r="I211" s="545"/>
    </row>
    <row r="212">
      <c r="A212" s="20"/>
      <c r="B212" s="20"/>
      <c r="C212" s="115" t="s">
        <v>8</v>
      </c>
      <c r="D212" s="115" t="s">
        <v>9</v>
      </c>
      <c r="E212" s="115" t="s">
        <v>358</v>
      </c>
      <c r="F212" s="115" t="s">
        <v>11</v>
      </c>
      <c r="G212" s="115" t="s">
        <v>751</v>
      </c>
      <c r="H212" s="545"/>
      <c r="I212" s="545"/>
    </row>
    <row r="213">
      <c r="A213" s="118" t="s">
        <v>1993</v>
      </c>
      <c r="B213" s="2"/>
      <c r="C213" s="2"/>
      <c r="D213" s="2"/>
      <c r="E213" s="2"/>
      <c r="F213" s="2"/>
      <c r="G213" s="3"/>
      <c r="H213" s="546"/>
      <c r="I213" s="546"/>
    </row>
    <row r="214">
      <c r="A214" s="119"/>
      <c r="B214" s="120" t="s">
        <v>754</v>
      </c>
      <c r="C214" s="120" t="s">
        <v>22</v>
      </c>
      <c r="D214" s="120" t="s">
        <v>757</v>
      </c>
      <c r="E214" s="121">
        <v>10.0</v>
      </c>
      <c r="F214" s="467"/>
      <c r="G214" s="3"/>
      <c r="H214" s="547"/>
      <c r="I214" s="547"/>
    </row>
    <row r="215">
      <c r="A215" s="120" t="s">
        <v>761</v>
      </c>
      <c r="B215" s="123" t="s">
        <v>1994</v>
      </c>
      <c r="C215" s="2"/>
      <c r="D215" s="2"/>
      <c r="E215" s="2"/>
      <c r="F215" s="2"/>
      <c r="G215" s="3"/>
      <c r="H215" s="548"/>
      <c r="I215" s="548"/>
    </row>
    <row r="216">
      <c r="A216" s="124" t="s">
        <v>764</v>
      </c>
      <c r="B216" s="2"/>
      <c r="C216" s="2"/>
      <c r="D216" s="2"/>
      <c r="E216" s="2"/>
      <c r="F216" s="3"/>
      <c r="G216" s="125" t="s">
        <v>766</v>
      </c>
      <c r="H216" s="549"/>
      <c r="I216" s="549"/>
    </row>
    <row r="217">
      <c r="A217" s="126"/>
      <c r="B217" s="127" t="s">
        <v>1797</v>
      </c>
      <c r="C217" s="123" t="s">
        <v>1995</v>
      </c>
      <c r="D217" s="2"/>
      <c r="E217" s="3"/>
      <c r="F217" s="467"/>
      <c r="G217" s="3"/>
      <c r="H217" s="547"/>
      <c r="I217" s="547"/>
    </row>
    <row r="218">
      <c r="A218" s="20"/>
      <c r="B218" s="20"/>
      <c r="C218" s="120" t="s">
        <v>22</v>
      </c>
      <c r="D218" s="121">
        <v>11.5</v>
      </c>
      <c r="E218" s="121">
        <v>52.0</v>
      </c>
      <c r="F218" s="121">
        <f>E218*D218</f>
        <v>598</v>
      </c>
      <c r="G218" s="120" t="s">
        <v>772</v>
      </c>
      <c r="H218" s="550"/>
      <c r="I218" s="550"/>
    </row>
    <row r="219">
      <c r="A219" s="129" t="s">
        <v>1116</v>
      </c>
      <c r="B219" s="2"/>
      <c r="C219" s="3"/>
      <c r="D219" s="121">
        <v>10.0</v>
      </c>
      <c r="E219" s="130" t="s">
        <v>22</v>
      </c>
      <c r="F219" s="121">
        <f>F218</f>
        <v>598</v>
      </c>
      <c r="G219" s="508"/>
      <c r="H219" s="291"/>
      <c r="I219" s="291"/>
    </row>
    <row r="220">
      <c r="A220" s="129" t="s">
        <v>800</v>
      </c>
      <c r="B220" s="2"/>
      <c r="C220" s="3"/>
      <c r="D220" s="121">
        <v>1.0</v>
      </c>
      <c r="E220" s="130" t="s">
        <v>22</v>
      </c>
      <c r="F220" s="121">
        <f>F219/10</f>
        <v>59.8</v>
      </c>
      <c r="G220" s="508"/>
      <c r="H220" s="291"/>
      <c r="I220" s="291"/>
    </row>
    <row r="221">
      <c r="A221" s="133" t="s">
        <v>802</v>
      </c>
      <c r="B221" s="2"/>
      <c r="C221" s="2"/>
      <c r="D221" s="3"/>
      <c r="E221" s="121"/>
      <c r="F221" s="121">
        <f>F220*1%</f>
        <v>0.598</v>
      </c>
      <c r="G221" s="508"/>
      <c r="H221" s="291"/>
      <c r="I221" s="291"/>
    </row>
    <row r="222">
      <c r="A222" s="133" t="s">
        <v>42</v>
      </c>
      <c r="B222" s="2"/>
      <c r="C222" s="2"/>
      <c r="D222" s="3"/>
      <c r="E222" s="131"/>
      <c r="F222" s="121">
        <f>F220+F221</f>
        <v>60.398</v>
      </c>
      <c r="G222" s="508"/>
      <c r="H222" s="291"/>
      <c r="I222" s="291"/>
    </row>
    <row r="223">
      <c r="A223" s="133" t="s">
        <v>806</v>
      </c>
      <c r="B223" s="2"/>
      <c r="C223" s="2"/>
      <c r="D223" s="3"/>
      <c r="E223" s="121"/>
      <c r="F223" s="121">
        <f>F222*15%</f>
        <v>9.0597</v>
      </c>
      <c r="G223" s="508"/>
      <c r="H223" s="291"/>
      <c r="I223" s="291"/>
    </row>
    <row r="224">
      <c r="A224" s="133" t="s">
        <v>42</v>
      </c>
      <c r="B224" s="2"/>
      <c r="C224" s="2"/>
      <c r="D224" s="3"/>
      <c r="E224" s="131"/>
      <c r="F224" s="300">
        <f>round(F222+F223,2)</f>
        <v>69.46</v>
      </c>
      <c r="G224" s="508"/>
      <c r="H224" s="291"/>
      <c r="I224" s="291"/>
    </row>
    <row r="225">
      <c r="A225" s="124" t="s">
        <v>777</v>
      </c>
      <c r="B225" s="2"/>
      <c r="C225" s="2"/>
      <c r="D225" s="2"/>
      <c r="E225" s="2"/>
      <c r="F225" s="3"/>
      <c r="G225" s="125" t="s">
        <v>778</v>
      </c>
      <c r="H225" s="549"/>
      <c r="I225" s="549"/>
    </row>
    <row r="226">
      <c r="A226" s="127">
        <v>116.0</v>
      </c>
      <c r="B226" s="126"/>
      <c r="C226" s="123" t="s">
        <v>535</v>
      </c>
      <c r="D226" s="2"/>
      <c r="E226" s="3"/>
      <c r="F226" s="467"/>
      <c r="G226" s="3"/>
      <c r="H226" s="547"/>
      <c r="I226" s="547"/>
    </row>
    <row r="227">
      <c r="A227" s="20"/>
      <c r="B227" s="20"/>
      <c r="C227" s="120" t="s">
        <v>27</v>
      </c>
      <c r="D227" s="121">
        <v>0.12</v>
      </c>
      <c r="E227" s="121">
        <v>784.0</v>
      </c>
      <c r="F227" s="121">
        <f>E227*D227</f>
        <v>94.08</v>
      </c>
      <c r="G227" s="120" t="s">
        <v>780</v>
      </c>
      <c r="H227" s="550"/>
      <c r="I227" s="550"/>
    </row>
    <row r="228">
      <c r="A228" s="127">
        <v>114.0</v>
      </c>
      <c r="B228" s="126"/>
      <c r="C228" s="123" t="s">
        <v>1892</v>
      </c>
      <c r="D228" s="2"/>
      <c r="E228" s="3"/>
      <c r="F228" s="467"/>
      <c r="G228" s="3"/>
      <c r="H228" s="547"/>
      <c r="I228" s="547"/>
    </row>
    <row r="229">
      <c r="A229" s="20"/>
      <c r="B229" s="20"/>
      <c r="C229" s="120" t="s">
        <v>27</v>
      </c>
      <c r="D229" s="121">
        <v>0.25</v>
      </c>
      <c r="E229" s="121">
        <v>645.0</v>
      </c>
      <c r="F229" s="121">
        <f>E229*D229</f>
        <v>161.25</v>
      </c>
      <c r="G229" s="120" t="s">
        <v>782</v>
      </c>
      <c r="H229" s="550"/>
      <c r="I229" s="550"/>
    </row>
    <row r="230">
      <c r="A230" s="127">
        <v>114.0</v>
      </c>
      <c r="B230" s="126"/>
      <c r="C230" s="123" t="s">
        <v>97</v>
      </c>
      <c r="D230" s="2"/>
      <c r="E230" s="3"/>
      <c r="F230" s="467"/>
      <c r="G230" s="3"/>
      <c r="H230" s="547"/>
      <c r="I230" s="547"/>
    </row>
    <row r="231">
      <c r="A231" s="20"/>
      <c r="B231" s="20"/>
      <c r="C231" s="120" t="s">
        <v>27</v>
      </c>
      <c r="D231" s="121">
        <v>0.66</v>
      </c>
      <c r="E231" s="121">
        <v>645.0</v>
      </c>
      <c r="F231" s="121">
        <f>D231*E231</f>
        <v>425.7</v>
      </c>
      <c r="G231" s="120" t="s">
        <v>791</v>
      </c>
      <c r="H231" s="550"/>
      <c r="I231" s="550"/>
    </row>
    <row r="232">
      <c r="A232" s="127">
        <v>115.0</v>
      </c>
      <c r="B232" s="126"/>
      <c r="C232" s="123" t="s">
        <v>26</v>
      </c>
      <c r="D232" s="2"/>
      <c r="E232" s="3"/>
      <c r="F232" s="467"/>
      <c r="G232" s="3"/>
      <c r="H232" s="547"/>
      <c r="I232" s="547"/>
    </row>
    <row r="233">
      <c r="A233" s="20"/>
      <c r="B233" s="20"/>
      <c r="C233" s="120" t="s">
        <v>27</v>
      </c>
      <c r="D233" s="121">
        <v>0.66</v>
      </c>
      <c r="E233" s="121">
        <v>645.0</v>
      </c>
      <c r="F233" s="121">
        <f>D233*E233</f>
        <v>425.7</v>
      </c>
      <c r="G233" s="120" t="s">
        <v>1885</v>
      </c>
      <c r="H233" s="550"/>
      <c r="I233" s="550"/>
    </row>
    <row r="234">
      <c r="A234" s="129" t="s">
        <v>1886</v>
      </c>
      <c r="B234" s="2"/>
      <c r="C234" s="3"/>
      <c r="D234" s="121">
        <v>10.0</v>
      </c>
      <c r="E234" s="130" t="s">
        <v>22</v>
      </c>
      <c r="F234" s="121">
        <f>F233+F231+F229+F227</f>
        <v>1106.73</v>
      </c>
      <c r="G234" s="131"/>
      <c r="H234" s="547"/>
      <c r="I234" s="547"/>
    </row>
    <row r="235">
      <c r="A235" s="129" t="s">
        <v>800</v>
      </c>
      <c r="B235" s="2"/>
      <c r="C235" s="3"/>
      <c r="D235" s="121">
        <v>1.0</v>
      </c>
      <c r="E235" s="130" t="s">
        <v>22</v>
      </c>
      <c r="F235" s="121">
        <f>F234/10</f>
        <v>110.673</v>
      </c>
      <c r="G235" s="131"/>
      <c r="H235" s="547"/>
      <c r="I235" s="547"/>
    </row>
    <row r="236">
      <c r="A236" s="133" t="s">
        <v>802</v>
      </c>
      <c r="B236" s="2"/>
      <c r="C236" s="2"/>
      <c r="D236" s="3"/>
      <c r="E236" s="121"/>
      <c r="F236" s="121">
        <f>F235*1%</f>
        <v>1.10673</v>
      </c>
      <c r="G236" s="131"/>
      <c r="H236" s="547"/>
      <c r="I236" s="547"/>
    </row>
    <row r="237">
      <c r="A237" s="133" t="s">
        <v>42</v>
      </c>
      <c r="B237" s="2"/>
      <c r="C237" s="2"/>
      <c r="D237" s="3"/>
      <c r="E237" s="131"/>
      <c r="F237" s="121">
        <f>F235+F236</f>
        <v>111.77973</v>
      </c>
      <c r="G237" s="131"/>
      <c r="H237" s="547"/>
      <c r="I237" s="547"/>
    </row>
    <row r="238">
      <c r="A238" s="133" t="s">
        <v>806</v>
      </c>
      <c r="B238" s="2"/>
      <c r="C238" s="2"/>
      <c r="D238" s="3"/>
      <c r="E238" s="121"/>
      <c r="F238" s="121">
        <f>F237*15%</f>
        <v>16.7669595</v>
      </c>
      <c r="G238" s="131"/>
      <c r="H238" s="547"/>
      <c r="I238" s="547"/>
    </row>
    <row r="239">
      <c r="A239" s="133" t="s">
        <v>42</v>
      </c>
      <c r="B239" s="2"/>
      <c r="C239" s="2"/>
      <c r="D239" s="3"/>
      <c r="E239" s="131"/>
      <c r="F239" s="300">
        <f>round(F237+F238,2)</f>
        <v>128.55</v>
      </c>
      <c r="G239" s="131"/>
      <c r="H239" s="547"/>
      <c r="I239" s="547"/>
    </row>
    <row r="240">
      <c r="A240" s="455" t="str">
        <f>CONCATENATE("Say ₹ ",F224," + ",F239," x Cost Index")</f>
        <v>Say ₹ 69.46 + 128.55 x Cost Index</v>
      </c>
      <c r="B240" s="2"/>
      <c r="C240" s="2"/>
      <c r="D240" s="2"/>
      <c r="E240" s="2"/>
      <c r="F240" s="2"/>
      <c r="G240" s="3"/>
      <c r="H240" s="374">
        <f>((F218*1.01*1.15)/10)</f>
        <v>69.4577</v>
      </c>
      <c r="I240" s="374">
        <f>((SUM(F227,F229,F231,F233)*1.01*1.15)/10)</f>
        <v>128.5466895</v>
      </c>
    </row>
    <row r="241">
      <c r="A241" s="111" t="s">
        <v>742</v>
      </c>
      <c r="B241" s="111" t="s">
        <v>745</v>
      </c>
      <c r="C241" s="112" t="s">
        <v>6</v>
      </c>
      <c r="D241" s="2"/>
      <c r="E241" s="3"/>
      <c r="F241" s="112" t="s">
        <v>746</v>
      </c>
      <c r="G241" s="3"/>
      <c r="H241" s="545"/>
      <c r="I241" s="545"/>
    </row>
    <row r="242">
      <c r="A242" s="20"/>
      <c r="B242" s="20"/>
      <c r="C242" s="115" t="s">
        <v>8</v>
      </c>
      <c r="D242" s="115" t="s">
        <v>9</v>
      </c>
      <c r="E242" s="115" t="s">
        <v>358</v>
      </c>
      <c r="F242" s="115" t="s">
        <v>11</v>
      </c>
      <c r="G242" s="115" t="s">
        <v>751</v>
      </c>
      <c r="H242" s="545"/>
      <c r="I242" s="545"/>
    </row>
    <row r="243">
      <c r="A243" s="118" t="s">
        <v>2005</v>
      </c>
      <c r="B243" s="2"/>
      <c r="C243" s="2"/>
      <c r="D243" s="2"/>
      <c r="E243" s="2"/>
      <c r="F243" s="2"/>
      <c r="G243" s="3"/>
      <c r="H243" s="546"/>
      <c r="I243" s="546"/>
    </row>
    <row r="244">
      <c r="A244" s="119"/>
      <c r="B244" s="120" t="s">
        <v>754</v>
      </c>
      <c r="C244" s="120" t="s">
        <v>22</v>
      </c>
      <c r="D244" s="120" t="s">
        <v>757</v>
      </c>
      <c r="E244" s="121">
        <v>10.0</v>
      </c>
      <c r="F244" s="467"/>
      <c r="G244" s="3"/>
      <c r="H244" s="547"/>
      <c r="I244" s="547"/>
    </row>
    <row r="245">
      <c r="A245" s="120" t="s">
        <v>761</v>
      </c>
      <c r="B245" s="123" t="s">
        <v>1994</v>
      </c>
      <c r="C245" s="2"/>
      <c r="D245" s="2"/>
      <c r="E245" s="2"/>
      <c r="F245" s="2"/>
      <c r="G245" s="3"/>
      <c r="H245" s="548"/>
      <c r="I245" s="548"/>
    </row>
    <row r="246">
      <c r="A246" s="124" t="s">
        <v>764</v>
      </c>
      <c r="B246" s="2"/>
      <c r="C246" s="2"/>
      <c r="D246" s="2"/>
      <c r="E246" s="2"/>
      <c r="F246" s="3"/>
      <c r="G246" s="125" t="s">
        <v>766</v>
      </c>
      <c r="H246" s="549"/>
      <c r="I246" s="549"/>
    </row>
    <row r="247">
      <c r="A247" s="126"/>
      <c r="B247" s="127" t="s">
        <v>1770</v>
      </c>
      <c r="C247" s="123" t="s">
        <v>2006</v>
      </c>
      <c r="D247" s="2"/>
      <c r="E247" s="3"/>
      <c r="F247" s="467"/>
      <c r="G247" s="3"/>
      <c r="H247" s="547"/>
      <c r="I247" s="547"/>
    </row>
    <row r="248">
      <c r="A248" s="20"/>
      <c r="B248" s="20"/>
      <c r="C248" s="120" t="s">
        <v>22</v>
      </c>
      <c r="D248" s="121">
        <v>11.5</v>
      </c>
      <c r="E248" s="121">
        <v>84.0</v>
      </c>
      <c r="F248" s="121">
        <f>E248*D248</f>
        <v>966</v>
      </c>
      <c r="G248" s="120" t="s">
        <v>772</v>
      </c>
      <c r="H248" s="550"/>
      <c r="I248" s="550"/>
    </row>
    <row r="249">
      <c r="A249" s="129" t="s">
        <v>1116</v>
      </c>
      <c r="B249" s="2"/>
      <c r="C249" s="3"/>
      <c r="D249" s="121">
        <v>10.0</v>
      </c>
      <c r="E249" s="130" t="s">
        <v>22</v>
      </c>
      <c r="F249" s="121">
        <f>F248</f>
        <v>966</v>
      </c>
      <c r="G249" s="508"/>
      <c r="H249" s="291"/>
      <c r="I249" s="291"/>
    </row>
    <row r="250">
      <c r="A250" s="129" t="s">
        <v>800</v>
      </c>
      <c r="B250" s="2"/>
      <c r="C250" s="3"/>
      <c r="D250" s="121">
        <v>1.0</v>
      </c>
      <c r="E250" s="130" t="s">
        <v>22</v>
      </c>
      <c r="F250" s="121">
        <f>F249/10</f>
        <v>96.6</v>
      </c>
      <c r="G250" s="508"/>
      <c r="H250" s="291"/>
      <c r="I250" s="291"/>
    </row>
    <row r="251">
      <c r="A251" s="133" t="s">
        <v>802</v>
      </c>
      <c r="B251" s="2"/>
      <c r="C251" s="2"/>
      <c r="D251" s="3"/>
      <c r="E251" s="121"/>
      <c r="F251" s="121">
        <f>F250*1%</f>
        <v>0.966</v>
      </c>
      <c r="G251" s="508"/>
      <c r="H251" s="291"/>
      <c r="I251" s="291"/>
    </row>
    <row r="252">
      <c r="A252" s="133" t="s">
        <v>42</v>
      </c>
      <c r="B252" s="2"/>
      <c r="C252" s="2"/>
      <c r="D252" s="3"/>
      <c r="E252" s="131"/>
      <c r="F252" s="121">
        <f>F250+F251</f>
        <v>97.566</v>
      </c>
      <c r="G252" s="508"/>
      <c r="H252" s="291"/>
      <c r="I252" s="291"/>
    </row>
    <row r="253">
      <c r="A253" s="133" t="s">
        <v>806</v>
      </c>
      <c r="B253" s="2"/>
      <c r="C253" s="2"/>
      <c r="D253" s="3"/>
      <c r="E253" s="121"/>
      <c r="F253" s="121">
        <f>F252*15%</f>
        <v>14.6349</v>
      </c>
      <c r="G253" s="508"/>
      <c r="H253" s="291"/>
      <c r="I253" s="291"/>
    </row>
    <row r="254">
      <c r="A254" s="133" t="s">
        <v>42</v>
      </c>
      <c r="B254" s="2"/>
      <c r="C254" s="2"/>
      <c r="D254" s="3"/>
      <c r="E254" s="131"/>
      <c r="F254" s="300">
        <f>round(F252+F253,2)</f>
        <v>112.2</v>
      </c>
      <c r="G254" s="508"/>
      <c r="H254" s="291"/>
      <c r="I254" s="291"/>
    </row>
    <row r="255">
      <c r="A255" s="124" t="s">
        <v>777</v>
      </c>
      <c r="B255" s="2"/>
      <c r="C255" s="2"/>
      <c r="D255" s="2"/>
      <c r="E255" s="2"/>
      <c r="F255" s="3"/>
      <c r="G255" s="125" t="s">
        <v>778</v>
      </c>
      <c r="H255" s="549"/>
      <c r="I255" s="549"/>
    </row>
    <row r="256">
      <c r="A256" s="127">
        <v>116.0</v>
      </c>
      <c r="B256" s="126"/>
      <c r="C256" s="123" t="s">
        <v>535</v>
      </c>
      <c r="D256" s="2"/>
      <c r="E256" s="3"/>
      <c r="F256" s="467"/>
      <c r="G256" s="3"/>
      <c r="H256" s="547"/>
      <c r="I256" s="547"/>
    </row>
    <row r="257">
      <c r="A257" s="20"/>
      <c r="B257" s="20"/>
      <c r="C257" s="120" t="s">
        <v>27</v>
      </c>
      <c r="D257" s="121">
        <v>0.16</v>
      </c>
      <c r="E257" s="121">
        <v>784.0</v>
      </c>
      <c r="F257" s="121">
        <f>E257*D257</f>
        <v>125.44</v>
      </c>
      <c r="G257" s="120" t="s">
        <v>780</v>
      </c>
      <c r="H257" s="550"/>
      <c r="I257" s="550"/>
    </row>
    <row r="258">
      <c r="A258" s="127">
        <v>114.0</v>
      </c>
      <c r="B258" s="126"/>
      <c r="C258" s="123" t="s">
        <v>1892</v>
      </c>
      <c r="D258" s="2"/>
      <c r="E258" s="3"/>
      <c r="F258" s="467"/>
      <c r="G258" s="3"/>
      <c r="H258" s="547"/>
      <c r="I258" s="547"/>
    </row>
    <row r="259">
      <c r="A259" s="20"/>
      <c r="B259" s="20"/>
      <c r="C259" s="120" t="s">
        <v>27</v>
      </c>
      <c r="D259" s="121">
        <v>0.33</v>
      </c>
      <c r="E259" s="121">
        <v>645.0</v>
      </c>
      <c r="F259" s="121">
        <f>E259*D259</f>
        <v>212.85</v>
      </c>
      <c r="G259" s="120" t="s">
        <v>782</v>
      </c>
      <c r="H259" s="550"/>
      <c r="I259" s="550"/>
    </row>
    <row r="260">
      <c r="A260" s="127">
        <v>114.0</v>
      </c>
      <c r="B260" s="126"/>
      <c r="C260" s="123" t="s">
        <v>97</v>
      </c>
      <c r="D260" s="2"/>
      <c r="E260" s="3"/>
      <c r="F260" s="467"/>
      <c r="G260" s="3"/>
      <c r="H260" s="547"/>
      <c r="I260" s="547"/>
    </row>
    <row r="261">
      <c r="A261" s="20"/>
      <c r="B261" s="20"/>
      <c r="C261" s="120" t="s">
        <v>27</v>
      </c>
      <c r="D261" s="121">
        <v>0.66</v>
      </c>
      <c r="E261" s="121">
        <v>645.0</v>
      </c>
      <c r="F261" s="121">
        <f>D261*E261</f>
        <v>425.7</v>
      </c>
      <c r="G261" s="120" t="s">
        <v>791</v>
      </c>
      <c r="H261" s="550"/>
      <c r="I261" s="550"/>
    </row>
    <row r="262">
      <c r="A262" s="127">
        <v>115.0</v>
      </c>
      <c r="B262" s="126"/>
      <c r="C262" s="123" t="s">
        <v>26</v>
      </c>
      <c r="D262" s="2"/>
      <c r="E262" s="3"/>
      <c r="F262" s="467"/>
      <c r="G262" s="3"/>
      <c r="H262" s="547"/>
      <c r="I262" s="547"/>
    </row>
    <row r="263">
      <c r="A263" s="20"/>
      <c r="B263" s="20"/>
      <c r="C263" s="120" t="s">
        <v>27</v>
      </c>
      <c r="D263" s="121">
        <v>0.66</v>
      </c>
      <c r="E263" s="121">
        <v>645.0</v>
      </c>
      <c r="F263" s="121">
        <f>D263*E263</f>
        <v>425.7</v>
      </c>
      <c r="G263" s="120" t="s">
        <v>1885</v>
      </c>
      <c r="H263" s="550"/>
      <c r="I263" s="550"/>
    </row>
    <row r="264">
      <c r="A264" s="129" t="s">
        <v>1886</v>
      </c>
      <c r="B264" s="2"/>
      <c r="C264" s="3"/>
      <c r="D264" s="121">
        <v>10.0</v>
      </c>
      <c r="E264" s="130" t="s">
        <v>22</v>
      </c>
      <c r="F264" s="121">
        <f>F263+F261+F259+F257</f>
        <v>1189.69</v>
      </c>
      <c r="G264" s="131"/>
      <c r="H264" s="547"/>
      <c r="I264" s="547"/>
    </row>
    <row r="265">
      <c r="A265" s="129" t="s">
        <v>800</v>
      </c>
      <c r="B265" s="2"/>
      <c r="C265" s="3"/>
      <c r="D265" s="121">
        <v>1.0</v>
      </c>
      <c r="E265" s="130" t="s">
        <v>22</v>
      </c>
      <c r="F265" s="121">
        <f>F264/10</f>
        <v>118.969</v>
      </c>
      <c r="G265" s="131"/>
      <c r="H265" s="547"/>
      <c r="I265" s="547"/>
    </row>
    <row r="266">
      <c r="A266" s="133" t="s">
        <v>802</v>
      </c>
      <c r="B266" s="2"/>
      <c r="C266" s="2"/>
      <c r="D266" s="3"/>
      <c r="E266" s="121"/>
      <c r="F266" s="121">
        <f>F265*1%</f>
        <v>1.18969</v>
      </c>
      <c r="G266" s="131"/>
      <c r="H266" s="547"/>
      <c r="I266" s="547"/>
    </row>
    <row r="267">
      <c r="A267" s="133" t="s">
        <v>42</v>
      </c>
      <c r="B267" s="2"/>
      <c r="C267" s="2"/>
      <c r="D267" s="3"/>
      <c r="E267" s="131"/>
      <c r="F267" s="121">
        <f>F265+F266</f>
        <v>120.15869</v>
      </c>
      <c r="G267" s="131"/>
      <c r="H267" s="547"/>
      <c r="I267" s="547"/>
    </row>
    <row r="268">
      <c r="A268" s="133" t="s">
        <v>806</v>
      </c>
      <c r="B268" s="2"/>
      <c r="C268" s="2"/>
      <c r="D268" s="3"/>
      <c r="E268" s="121"/>
      <c r="F268" s="121">
        <f>F267*15%</f>
        <v>18.0238035</v>
      </c>
      <c r="G268" s="131"/>
      <c r="H268" s="547"/>
      <c r="I268" s="547"/>
    </row>
    <row r="269">
      <c r="A269" s="133" t="s">
        <v>42</v>
      </c>
      <c r="B269" s="2"/>
      <c r="C269" s="2"/>
      <c r="D269" s="3"/>
      <c r="E269" s="131"/>
      <c r="F269" s="300">
        <f>round(F267+F268,2)</f>
        <v>138.18</v>
      </c>
      <c r="G269" s="131"/>
      <c r="H269" s="547"/>
      <c r="I269" s="547"/>
    </row>
    <row r="270">
      <c r="A270" s="455" t="str">
        <f>CONCATENATE("Say ₹ ",F254," + ",F269," x Cost Index")</f>
        <v>Say ₹ 112.2 + 138.18 x Cost Index</v>
      </c>
      <c r="B270" s="2"/>
      <c r="C270" s="2"/>
      <c r="D270" s="2"/>
      <c r="E270" s="2"/>
      <c r="F270" s="2"/>
      <c r="G270" s="3"/>
      <c r="H270" s="374">
        <f>((F248*1.01*1.15)/10)</f>
        <v>112.2009</v>
      </c>
      <c r="I270" s="374">
        <f>((SUM(F257,F259,F261,F263)*1.01*1.15)/10)</f>
        <v>138.1824935</v>
      </c>
    </row>
    <row r="271">
      <c r="A271" s="111" t="s">
        <v>742</v>
      </c>
      <c r="B271" s="111" t="s">
        <v>745</v>
      </c>
      <c r="C271" s="112" t="s">
        <v>6</v>
      </c>
      <c r="D271" s="2"/>
      <c r="E271" s="3"/>
      <c r="F271" s="112" t="s">
        <v>746</v>
      </c>
      <c r="G271" s="3"/>
      <c r="H271" s="545"/>
      <c r="I271" s="545"/>
    </row>
    <row r="272">
      <c r="A272" s="20"/>
      <c r="B272" s="20"/>
      <c r="C272" s="115" t="s">
        <v>8</v>
      </c>
      <c r="D272" s="115" t="s">
        <v>9</v>
      </c>
      <c r="E272" s="115" t="s">
        <v>358</v>
      </c>
      <c r="F272" s="115" t="s">
        <v>11</v>
      </c>
      <c r="G272" s="115" t="s">
        <v>751</v>
      </c>
      <c r="H272" s="545"/>
      <c r="I272" s="545"/>
    </row>
    <row r="273">
      <c r="A273" s="118" t="s">
        <v>2015</v>
      </c>
      <c r="B273" s="2"/>
      <c r="C273" s="2"/>
      <c r="D273" s="2"/>
      <c r="E273" s="2"/>
      <c r="F273" s="2"/>
      <c r="G273" s="3"/>
      <c r="H273" s="546"/>
      <c r="I273" s="546"/>
    </row>
    <row r="274">
      <c r="A274" s="119"/>
      <c r="B274" s="120" t="s">
        <v>754</v>
      </c>
      <c r="C274" s="120" t="s">
        <v>22</v>
      </c>
      <c r="D274" s="120" t="s">
        <v>757</v>
      </c>
      <c r="E274" s="121">
        <v>10.0</v>
      </c>
      <c r="F274" s="467"/>
      <c r="G274" s="3"/>
      <c r="H274" s="547"/>
      <c r="I274" s="547"/>
    </row>
    <row r="275">
      <c r="A275" s="120" t="s">
        <v>761</v>
      </c>
      <c r="B275" s="123" t="s">
        <v>1994</v>
      </c>
      <c r="C275" s="2"/>
      <c r="D275" s="2"/>
      <c r="E275" s="2"/>
      <c r="F275" s="2"/>
      <c r="G275" s="3"/>
      <c r="H275" s="548"/>
      <c r="I275" s="548"/>
    </row>
    <row r="276">
      <c r="A276" s="124" t="s">
        <v>764</v>
      </c>
      <c r="B276" s="2"/>
      <c r="C276" s="2"/>
      <c r="D276" s="2"/>
      <c r="E276" s="2"/>
      <c r="F276" s="3"/>
      <c r="G276" s="125" t="s">
        <v>766</v>
      </c>
      <c r="H276" s="549"/>
      <c r="I276" s="549"/>
    </row>
    <row r="277">
      <c r="A277" s="126"/>
      <c r="B277" s="127" t="s">
        <v>1781</v>
      </c>
      <c r="C277" s="123" t="s">
        <v>2016</v>
      </c>
      <c r="D277" s="2"/>
      <c r="E277" s="3"/>
      <c r="F277" s="467"/>
      <c r="G277" s="3"/>
      <c r="H277" s="547"/>
      <c r="I277" s="547"/>
    </row>
    <row r="278">
      <c r="A278" s="20"/>
      <c r="B278" s="20"/>
      <c r="C278" s="120" t="s">
        <v>22</v>
      </c>
      <c r="D278" s="121">
        <v>11.5</v>
      </c>
      <c r="E278" s="121">
        <v>53.0</v>
      </c>
      <c r="F278" s="121">
        <f>E278*D278</f>
        <v>609.5</v>
      </c>
      <c r="G278" s="120" t="s">
        <v>772</v>
      </c>
      <c r="H278" s="550"/>
      <c r="I278" s="550"/>
    </row>
    <row r="279">
      <c r="A279" s="129" t="s">
        <v>1116</v>
      </c>
      <c r="B279" s="2"/>
      <c r="C279" s="3"/>
      <c r="D279" s="121">
        <v>10.0</v>
      </c>
      <c r="E279" s="130" t="s">
        <v>22</v>
      </c>
      <c r="F279" s="121">
        <f>F278</f>
        <v>609.5</v>
      </c>
      <c r="G279" s="508"/>
      <c r="H279" s="291"/>
      <c r="I279" s="291"/>
    </row>
    <row r="280">
      <c r="A280" s="129" t="s">
        <v>800</v>
      </c>
      <c r="B280" s="2"/>
      <c r="C280" s="3"/>
      <c r="D280" s="121">
        <v>1.0</v>
      </c>
      <c r="E280" s="130" t="s">
        <v>22</v>
      </c>
      <c r="F280" s="121">
        <f>F279/10</f>
        <v>60.95</v>
      </c>
      <c r="G280" s="508"/>
      <c r="H280" s="291"/>
      <c r="I280" s="291"/>
    </row>
    <row r="281">
      <c r="A281" s="133" t="s">
        <v>802</v>
      </c>
      <c r="B281" s="2"/>
      <c r="C281" s="2"/>
      <c r="D281" s="3"/>
      <c r="E281" s="121"/>
      <c r="F281" s="121">
        <f>F280*1%</f>
        <v>0.6095</v>
      </c>
      <c r="G281" s="508"/>
      <c r="H281" s="291"/>
      <c r="I281" s="291"/>
    </row>
    <row r="282">
      <c r="A282" s="133" t="s">
        <v>42</v>
      </c>
      <c r="B282" s="2"/>
      <c r="C282" s="2"/>
      <c r="D282" s="3"/>
      <c r="E282" s="131"/>
      <c r="F282" s="121">
        <f>F280+F281</f>
        <v>61.5595</v>
      </c>
      <c r="G282" s="508"/>
      <c r="H282" s="291"/>
      <c r="I282" s="291"/>
    </row>
    <row r="283">
      <c r="A283" s="133" t="s">
        <v>806</v>
      </c>
      <c r="B283" s="2"/>
      <c r="C283" s="2"/>
      <c r="D283" s="3"/>
      <c r="E283" s="121"/>
      <c r="F283" s="121">
        <f>F282*15%</f>
        <v>9.233925</v>
      </c>
      <c r="G283" s="508"/>
      <c r="H283" s="291"/>
      <c r="I283" s="291"/>
    </row>
    <row r="284">
      <c r="A284" s="133" t="s">
        <v>42</v>
      </c>
      <c r="B284" s="2"/>
      <c r="C284" s="2"/>
      <c r="D284" s="3"/>
      <c r="E284" s="131"/>
      <c r="F284" s="300">
        <f>round(F282+F283,2)</f>
        <v>70.79</v>
      </c>
      <c r="G284" s="508"/>
      <c r="H284" s="291"/>
      <c r="I284" s="291"/>
    </row>
    <row r="285">
      <c r="A285" s="124" t="s">
        <v>777</v>
      </c>
      <c r="B285" s="2"/>
      <c r="C285" s="2"/>
      <c r="D285" s="2"/>
      <c r="E285" s="2"/>
      <c r="F285" s="3"/>
      <c r="G285" s="125" t="s">
        <v>778</v>
      </c>
      <c r="H285" s="549"/>
      <c r="I285" s="549"/>
    </row>
    <row r="286">
      <c r="A286" s="127">
        <v>116.0</v>
      </c>
      <c r="B286" s="126"/>
      <c r="C286" s="123" t="s">
        <v>535</v>
      </c>
      <c r="D286" s="2"/>
      <c r="E286" s="3"/>
      <c r="F286" s="467"/>
      <c r="G286" s="3"/>
      <c r="H286" s="547"/>
      <c r="I286" s="547"/>
    </row>
    <row r="287">
      <c r="A287" s="20"/>
      <c r="B287" s="20"/>
      <c r="C287" s="120" t="s">
        <v>27</v>
      </c>
      <c r="D287" s="121">
        <v>0.16</v>
      </c>
      <c r="E287" s="121">
        <v>784.0</v>
      </c>
      <c r="F287" s="121">
        <f>E287*D287</f>
        <v>125.44</v>
      </c>
      <c r="G287" s="120" t="s">
        <v>780</v>
      </c>
      <c r="H287" s="550"/>
      <c r="I287" s="550"/>
    </row>
    <row r="288">
      <c r="A288" s="127">
        <v>114.0</v>
      </c>
      <c r="B288" s="126"/>
      <c r="C288" s="123" t="s">
        <v>1892</v>
      </c>
      <c r="D288" s="2"/>
      <c r="E288" s="3"/>
      <c r="F288" s="467"/>
      <c r="G288" s="3"/>
      <c r="H288" s="547"/>
      <c r="I288" s="547"/>
    </row>
    <row r="289">
      <c r="A289" s="20"/>
      <c r="B289" s="20"/>
      <c r="C289" s="120" t="s">
        <v>27</v>
      </c>
      <c r="D289" s="121">
        <v>0.33</v>
      </c>
      <c r="E289" s="121">
        <v>645.0</v>
      </c>
      <c r="F289" s="121">
        <f>E289*D289</f>
        <v>212.85</v>
      </c>
      <c r="G289" s="120" t="s">
        <v>782</v>
      </c>
      <c r="H289" s="550"/>
      <c r="I289" s="550"/>
    </row>
    <row r="290">
      <c r="A290" s="127">
        <v>114.0</v>
      </c>
      <c r="B290" s="126"/>
      <c r="C290" s="123" t="s">
        <v>97</v>
      </c>
      <c r="D290" s="2"/>
      <c r="E290" s="3"/>
      <c r="F290" s="467"/>
      <c r="G290" s="3"/>
      <c r="H290" s="547"/>
      <c r="I290" s="547"/>
    </row>
    <row r="291">
      <c r="A291" s="20"/>
      <c r="B291" s="20"/>
      <c r="C291" s="120" t="s">
        <v>27</v>
      </c>
      <c r="D291" s="121">
        <v>0.66</v>
      </c>
      <c r="E291" s="121">
        <v>645.0</v>
      </c>
      <c r="F291" s="121">
        <f>D291*E291</f>
        <v>425.7</v>
      </c>
      <c r="G291" s="120" t="s">
        <v>791</v>
      </c>
      <c r="H291" s="550"/>
      <c r="I291" s="550"/>
    </row>
    <row r="292">
      <c r="A292" s="127">
        <v>115.0</v>
      </c>
      <c r="B292" s="126"/>
      <c r="C292" s="123" t="s">
        <v>26</v>
      </c>
      <c r="D292" s="2"/>
      <c r="E292" s="3"/>
      <c r="F292" s="467"/>
      <c r="G292" s="3"/>
      <c r="H292" s="547"/>
      <c r="I292" s="547"/>
    </row>
    <row r="293">
      <c r="A293" s="20"/>
      <c r="B293" s="20"/>
      <c r="C293" s="120" t="s">
        <v>27</v>
      </c>
      <c r="D293" s="121">
        <v>0.66</v>
      </c>
      <c r="E293" s="121">
        <v>645.0</v>
      </c>
      <c r="F293" s="121">
        <f>D293*E293</f>
        <v>425.7</v>
      </c>
      <c r="G293" s="120" t="s">
        <v>1885</v>
      </c>
      <c r="H293" s="550"/>
      <c r="I293" s="550"/>
    </row>
    <row r="294">
      <c r="A294" s="129" t="s">
        <v>1886</v>
      </c>
      <c r="B294" s="2"/>
      <c r="C294" s="3"/>
      <c r="D294" s="121">
        <v>10.0</v>
      </c>
      <c r="E294" s="130" t="s">
        <v>22</v>
      </c>
      <c r="F294" s="121">
        <f>F293+F291+F289+F287</f>
        <v>1189.69</v>
      </c>
      <c r="G294" s="131"/>
      <c r="H294" s="547"/>
      <c r="I294" s="547"/>
    </row>
    <row r="295">
      <c r="A295" s="129" t="s">
        <v>800</v>
      </c>
      <c r="B295" s="2"/>
      <c r="C295" s="3"/>
      <c r="D295" s="121">
        <v>1.0</v>
      </c>
      <c r="E295" s="130" t="s">
        <v>22</v>
      </c>
      <c r="F295" s="121">
        <f>F294/10</f>
        <v>118.969</v>
      </c>
      <c r="G295" s="131"/>
      <c r="H295" s="547"/>
      <c r="I295" s="547"/>
    </row>
    <row r="296">
      <c r="A296" s="133" t="s">
        <v>802</v>
      </c>
      <c r="B296" s="2"/>
      <c r="C296" s="2"/>
      <c r="D296" s="3"/>
      <c r="E296" s="121"/>
      <c r="F296" s="121">
        <f>F295*1%</f>
        <v>1.18969</v>
      </c>
      <c r="G296" s="131"/>
      <c r="H296" s="547"/>
      <c r="I296" s="547"/>
    </row>
    <row r="297">
      <c r="A297" s="133" t="s">
        <v>42</v>
      </c>
      <c r="B297" s="2"/>
      <c r="C297" s="2"/>
      <c r="D297" s="3"/>
      <c r="E297" s="131"/>
      <c r="F297" s="121">
        <f>F295+F296</f>
        <v>120.15869</v>
      </c>
      <c r="G297" s="131"/>
      <c r="H297" s="547"/>
      <c r="I297" s="547"/>
    </row>
    <row r="298">
      <c r="A298" s="133" t="s">
        <v>806</v>
      </c>
      <c r="B298" s="2"/>
      <c r="C298" s="2"/>
      <c r="D298" s="3"/>
      <c r="E298" s="121"/>
      <c r="F298" s="121">
        <f>F297*15%</f>
        <v>18.0238035</v>
      </c>
      <c r="G298" s="131"/>
      <c r="H298" s="547"/>
      <c r="I298" s="547"/>
    </row>
    <row r="299">
      <c r="A299" s="133" t="s">
        <v>42</v>
      </c>
      <c r="B299" s="2"/>
      <c r="C299" s="2"/>
      <c r="D299" s="3"/>
      <c r="E299" s="131"/>
      <c r="F299" s="300">
        <f>round(F297+F298,2)</f>
        <v>138.18</v>
      </c>
      <c r="G299" s="131"/>
      <c r="H299" s="547"/>
      <c r="I299" s="547"/>
    </row>
    <row r="300">
      <c r="A300" s="455" t="str">
        <f>CONCATENATE("Say ₹ ",F284," + ",F299," x Cost Index")</f>
        <v>Say ₹ 70.79 + 138.18 x Cost Index</v>
      </c>
      <c r="B300" s="2"/>
      <c r="C300" s="2"/>
      <c r="D300" s="2"/>
      <c r="E300" s="2"/>
      <c r="F300" s="2"/>
      <c r="G300" s="3"/>
      <c r="H300" s="374">
        <f>((F278*1.01*1.15)/10)</f>
        <v>70.793425</v>
      </c>
      <c r="I300" s="374">
        <f>((SUM(F287,F289,F291,F293)*1.01*1.15)/10)</f>
        <v>138.1824935</v>
      </c>
    </row>
    <row r="301">
      <c r="A301" s="111" t="s">
        <v>742</v>
      </c>
      <c r="B301" s="111" t="s">
        <v>745</v>
      </c>
      <c r="C301" s="112" t="s">
        <v>6</v>
      </c>
      <c r="D301" s="2"/>
      <c r="E301" s="3"/>
      <c r="F301" s="112" t="s">
        <v>746</v>
      </c>
      <c r="G301" s="3"/>
      <c r="H301" s="545"/>
      <c r="I301" s="545"/>
    </row>
    <row r="302">
      <c r="A302" s="20"/>
      <c r="B302" s="20"/>
      <c r="C302" s="115" t="s">
        <v>8</v>
      </c>
      <c r="D302" s="115" t="s">
        <v>9</v>
      </c>
      <c r="E302" s="115" t="s">
        <v>358</v>
      </c>
      <c r="F302" s="115" t="s">
        <v>11</v>
      </c>
      <c r="G302" s="115" t="s">
        <v>751</v>
      </c>
      <c r="H302" s="545"/>
      <c r="I302" s="545"/>
    </row>
    <row r="303">
      <c r="A303" s="466" t="s">
        <v>2020</v>
      </c>
      <c r="B303" s="2"/>
      <c r="C303" s="2"/>
      <c r="D303" s="2"/>
      <c r="E303" s="2"/>
      <c r="F303" s="2"/>
      <c r="G303" s="3"/>
      <c r="H303" s="593"/>
      <c r="I303" s="593"/>
    </row>
    <row r="304">
      <c r="A304" s="507"/>
      <c r="B304" s="508" t="s">
        <v>754</v>
      </c>
      <c r="C304" s="508" t="s">
        <v>22</v>
      </c>
      <c r="D304" s="508" t="s">
        <v>757</v>
      </c>
      <c r="E304" s="470">
        <v>10.0</v>
      </c>
      <c r="F304" s="509"/>
      <c r="G304" s="3"/>
      <c r="H304" s="594"/>
      <c r="I304" s="594"/>
    </row>
    <row r="305">
      <c r="A305" s="508" t="s">
        <v>761</v>
      </c>
      <c r="B305" s="510" t="s">
        <v>1745</v>
      </c>
      <c r="C305" s="2"/>
      <c r="D305" s="2"/>
      <c r="E305" s="2"/>
      <c r="F305" s="2"/>
      <c r="G305" s="3"/>
      <c r="H305" s="595"/>
      <c r="I305" s="595"/>
    </row>
    <row r="306">
      <c r="A306" s="124" t="s">
        <v>764</v>
      </c>
      <c r="B306" s="2"/>
      <c r="C306" s="2"/>
      <c r="D306" s="2"/>
      <c r="E306" s="2"/>
      <c r="F306" s="3"/>
      <c r="G306" s="125" t="s">
        <v>766</v>
      </c>
      <c r="H306" s="549"/>
      <c r="I306" s="549"/>
    </row>
    <row r="307">
      <c r="A307" s="511"/>
      <c r="B307" s="512" t="s">
        <v>1789</v>
      </c>
      <c r="C307" s="510" t="s">
        <v>2021</v>
      </c>
      <c r="D307" s="2"/>
      <c r="E307" s="3"/>
      <c r="F307" s="509"/>
      <c r="G307" s="3"/>
      <c r="H307" s="594"/>
      <c r="I307" s="594"/>
    </row>
    <row r="308">
      <c r="A308" s="20"/>
      <c r="B308" s="20"/>
      <c r="C308" s="508" t="s">
        <v>22</v>
      </c>
      <c r="D308" s="470">
        <v>11.5</v>
      </c>
      <c r="E308" s="470">
        <v>90.0</v>
      </c>
      <c r="F308" s="470">
        <f>E308*D308</f>
        <v>1035</v>
      </c>
      <c r="G308" s="508" t="s">
        <v>772</v>
      </c>
      <c r="H308" s="291"/>
      <c r="I308" s="291"/>
    </row>
    <row r="309">
      <c r="A309" s="129" t="s">
        <v>1116</v>
      </c>
      <c r="B309" s="2"/>
      <c r="C309" s="3"/>
      <c r="D309" s="121">
        <v>10.0</v>
      </c>
      <c r="E309" s="130" t="s">
        <v>22</v>
      </c>
      <c r="F309" s="121">
        <f>F308</f>
        <v>1035</v>
      </c>
      <c r="G309" s="508"/>
      <c r="H309" s="291"/>
      <c r="I309" s="291"/>
    </row>
    <row r="310">
      <c r="A310" s="129" t="s">
        <v>800</v>
      </c>
      <c r="B310" s="2"/>
      <c r="C310" s="3"/>
      <c r="D310" s="121">
        <v>1.0</v>
      </c>
      <c r="E310" s="130" t="s">
        <v>22</v>
      </c>
      <c r="F310" s="121">
        <f>F309/10</f>
        <v>103.5</v>
      </c>
      <c r="G310" s="508"/>
      <c r="H310" s="291"/>
      <c r="I310" s="291"/>
    </row>
    <row r="311">
      <c r="A311" s="133" t="s">
        <v>802</v>
      </c>
      <c r="B311" s="2"/>
      <c r="C311" s="2"/>
      <c r="D311" s="3"/>
      <c r="E311" s="121"/>
      <c r="F311" s="121">
        <f>F310*1%</f>
        <v>1.035</v>
      </c>
      <c r="G311" s="508"/>
      <c r="H311" s="291"/>
      <c r="I311" s="291"/>
    </row>
    <row r="312">
      <c r="A312" s="133" t="s">
        <v>42</v>
      </c>
      <c r="B312" s="2"/>
      <c r="C312" s="2"/>
      <c r="D312" s="3"/>
      <c r="E312" s="131"/>
      <c r="F312" s="121">
        <f>F310+F311</f>
        <v>104.535</v>
      </c>
      <c r="G312" s="508"/>
      <c r="H312" s="291"/>
      <c r="I312" s="291"/>
    </row>
    <row r="313">
      <c r="A313" s="133" t="s">
        <v>806</v>
      </c>
      <c r="B313" s="2"/>
      <c r="C313" s="2"/>
      <c r="D313" s="3"/>
      <c r="E313" s="121"/>
      <c r="F313" s="121">
        <f>F312*15%</f>
        <v>15.68025</v>
      </c>
      <c r="G313" s="508"/>
      <c r="H313" s="291"/>
      <c r="I313" s="291"/>
    </row>
    <row r="314">
      <c r="A314" s="133" t="s">
        <v>42</v>
      </c>
      <c r="B314" s="2"/>
      <c r="C314" s="2"/>
      <c r="D314" s="3"/>
      <c r="E314" s="131"/>
      <c r="F314" s="300">
        <f>round(F312+F313,2)</f>
        <v>120.22</v>
      </c>
      <c r="G314" s="508"/>
      <c r="H314" s="291"/>
      <c r="I314" s="291"/>
    </row>
    <row r="315">
      <c r="A315" s="124" t="s">
        <v>777</v>
      </c>
      <c r="B315" s="2"/>
      <c r="C315" s="2"/>
      <c r="D315" s="2"/>
      <c r="E315" s="2"/>
      <c r="F315" s="3"/>
      <c r="G315" s="125" t="s">
        <v>778</v>
      </c>
      <c r="H315" s="549"/>
      <c r="I315" s="549"/>
    </row>
    <row r="316">
      <c r="A316" s="512">
        <v>116.0</v>
      </c>
      <c r="B316" s="511"/>
      <c r="C316" s="510" t="s">
        <v>535</v>
      </c>
      <c r="D316" s="2"/>
      <c r="E316" s="3"/>
      <c r="F316" s="509"/>
      <c r="G316" s="3"/>
      <c r="H316" s="594"/>
      <c r="I316" s="594"/>
    </row>
    <row r="317">
      <c r="A317" s="20"/>
      <c r="B317" s="20"/>
      <c r="C317" s="508" t="s">
        <v>27</v>
      </c>
      <c r="D317" s="470">
        <v>0.16</v>
      </c>
      <c r="E317" s="470">
        <v>784.0</v>
      </c>
      <c r="F317" s="121">
        <f>E317*D317</f>
        <v>125.44</v>
      </c>
      <c r="G317" s="120" t="s">
        <v>780</v>
      </c>
      <c r="H317" s="291"/>
      <c r="I317" s="291"/>
    </row>
    <row r="318">
      <c r="A318" s="512">
        <v>114.0</v>
      </c>
      <c r="B318" s="511"/>
      <c r="C318" s="510" t="s">
        <v>1892</v>
      </c>
      <c r="D318" s="2"/>
      <c r="E318" s="3"/>
      <c r="F318" s="467"/>
      <c r="G318" s="3"/>
      <c r="H318" s="594"/>
      <c r="I318" s="594"/>
    </row>
    <row r="319">
      <c r="A319" s="20"/>
      <c r="B319" s="20"/>
      <c r="C319" s="508" t="s">
        <v>27</v>
      </c>
      <c r="D319" s="470">
        <v>0.33</v>
      </c>
      <c r="E319" s="470">
        <v>645.0</v>
      </c>
      <c r="F319" s="121">
        <f>E319*D319</f>
        <v>212.85</v>
      </c>
      <c r="G319" s="120" t="s">
        <v>782</v>
      </c>
      <c r="H319" s="291"/>
      <c r="I319" s="291"/>
    </row>
    <row r="320">
      <c r="A320" s="512">
        <v>114.0</v>
      </c>
      <c r="B320" s="511"/>
      <c r="C320" s="510" t="s">
        <v>97</v>
      </c>
      <c r="D320" s="2"/>
      <c r="E320" s="3"/>
      <c r="F320" s="467"/>
      <c r="G320" s="3"/>
      <c r="H320" s="594"/>
      <c r="I320" s="594"/>
    </row>
    <row r="321">
      <c r="A321" s="20"/>
      <c r="B321" s="20"/>
      <c r="C321" s="508" t="s">
        <v>27</v>
      </c>
      <c r="D321" s="470">
        <v>0.66</v>
      </c>
      <c r="E321" s="470">
        <v>645.0</v>
      </c>
      <c r="F321" s="121">
        <f>D321*E321</f>
        <v>425.7</v>
      </c>
      <c r="G321" s="120" t="s">
        <v>791</v>
      </c>
      <c r="H321" s="291"/>
      <c r="I321" s="291"/>
    </row>
    <row r="322">
      <c r="A322" s="512">
        <v>115.0</v>
      </c>
      <c r="B322" s="511"/>
      <c r="C322" s="510" t="s">
        <v>26</v>
      </c>
      <c r="D322" s="2"/>
      <c r="E322" s="3"/>
      <c r="F322" s="467"/>
      <c r="G322" s="3"/>
      <c r="H322" s="594"/>
      <c r="I322" s="594"/>
    </row>
    <row r="323">
      <c r="A323" s="20"/>
      <c r="B323" s="20"/>
      <c r="C323" s="508" t="s">
        <v>27</v>
      </c>
      <c r="D323" s="470">
        <v>0.66</v>
      </c>
      <c r="E323" s="470">
        <v>645.0</v>
      </c>
      <c r="F323" s="121">
        <f>D323*E323</f>
        <v>425.7</v>
      </c>
      <c r="G323" s="120" t="s">
        <v>1885</v>
      </c>
      <c r="H323" s="291"/>
      <c r="I323" s="291"/>
    </row>
    <row r="324">
      <c r="A324" s="129" t="s">
        <v>1886</v>
      </c>
      <c r="B324" s="2"/>
      <c r="C324" s="3"/>
      <c r="D324" s="121">
        <v>10.0</v>
      </c>
      <c r="E324" s="130" t="s">
        <v>22</v>
      </c>
      <c r="F324" s="121">
        <f>F323+F321+F319+F317</f>
        <v>1189.69</v>
      </c>
      <c r="G324" s="131"/>
      <c r="H324" s="594"/>
      <c r="I324" s="594"/>
    </row>
    <row r="325">
      <c r="A325" s="129" t="s">
        <v>800</v>
      </c>
      <c r="B325" s="2"/>
      <c r="C325" s="3"/>
      <c r="D325" s="121">
        <v>1.0</v>
      </c>
      <c r="E325" s="130" t="s">
        <v>22</v>
      </c>
      <c r="F325" s="121">
        <f>F324/10</f>
        <v>118.969</v>
      </c>
      <c r="G325" s="131"/>
      <c r="H325" s="594"/>
      <c r="I325" s="594"/>
    </row>
    <row r="326">
      <c r="A326" s="133" t="s">
        <v>802</v>
      </c>
      <c r="B326" s="2"/>
      <c r="C326" s="2"/>
      <c r="D326" s="3"/>
      <c r="E326" s="121"/>
      <c r="F326" s="121">
        <f>F325*1%</f>
        <v>1.18969</v>
      </c>
      <c r="G326" s="131"/>
      <c r="H326" s="594"/>
      <c r="I326" s="594"/>
    </row>
    <row r="327">
      <c r="A327" s="133" t="s">
        <v>42</v>
      </c>
      <c r="B327" s="2"/>
      <c r="C327" s="2"/>
      <c r="D327" s="3"/>
      <c r="E327" s="131"/>
      <c r="F327" s="121">
        <f>F325+F326</f>
        <v>120.15869</v>
      </c>
      <c r="G327" s="131"/>
      <c r="H327" s="594"/>
      <c r="I327" s="594"/>
    </row>
    <row r="328">
      <c r="A328" s="133" t="s">
        <v>806</v>
      </c>
      <c r="B328" s="2"/>
      <c r="C328" s="2"/>
      <c r="D328" s="3"/>
      <c r="E328" s="121"/>
      <c r="F328" s="121">
        <f>F327*15%</f>
        <v>18.0238035</v>
      </c>
      <c r="G328" s="131"/>
      <c r="H328" s="594"/>
      <c r="I328" s="594"/>
    </row>
    <row r="329">
      <c r="A329" s="133" t="s">
        <v>42</v>
      </c>
      <c r="B329" s="2"/>
      <c r="C329" s="2"/>
      <c r="D329" s="3"/>
      <c r="E329" s="131"/>
      <c r="F329" s="300">
        <f>round(F327+F328,2)</f>
        <v>138.18</v>
      </c>
      <c r="G329" s="131"/>
      <c r="H329" s="594"/>
      <c r="I329" s="594"/>
    </row>
    <row r="330">
      <c r="A330" s="455" t="str">
        <f>CONCATENATE("Say ₹ ",F314," + ",F329," x Cost Index")</f>
        <v>Say ₹ 120.22 + 138.18 x Cost Index</v>
      </c>
      <c r="B330" s="2"/>
      <c r="C330" s="2"/>
      <c r="D330" s="2"/>
      <c r="E330" s="2"/>
      <c r="F330" s="2"/>
      <c r="G330" s="3"/>
      <c r="H330" s="374">
        <f>((F308*1.01*1.15)/10)</f>
        <v>120.21525</v>
      </c>
      <c r="I330" s="374">
        <f>((SUM(F317,F319,F321,F323)*1.01*1.15)/10)</f>
        <v>138.1824935</v>
      </c>
    </row>
    <row r="331">
      <c r="A331" s="111" t="s">
        <v>742</v>
      </c>
      <c r="B331" s="111" t="s">
        <v>745</v>
      </c>
      <c r="C331" s="112" t="s">
        <v>6</v>
      </c>
      <c r="D331" s="2"/>
      <c r="E331" s="3"/>
      <c r="F331" s="112" t="s">
        <v>746</v>
      </c>
      <c r="G331" s="3"/>
      <c r="H331" s="545"/>
      <c r="I331" s="545"/>
    </row>
    <row r="332">
      <c r="A332" s="20"/>
      <c r="B332" s="20"/>
      <c r="C332" s="115" t="s">
        <v>8</v>
      </c>
      <c r="D332" s="115" t="s">
        <v>9</v>
      </c>
      <c r="E332" s="115" t="s">
        <v>358</v>
      </c>
      <c r="F332" s="115" t="s">
        <v>11</v>
      </c>
      <c r="G332" s="115" t="s">
        <v>751</v>
      </c>
      <c r="H332" s="545"/>
      <c r="I332" s="545"/>
    </row>
    <row r="333">
      <c r="A333" s="118" t="s">
        <v>2029</v>
      </c>
      <c r="B333" s="2"/>
      <c r="C333" s="2"/>
      <c r="D333" s="2"/>
      <c r="E333" s="2"/>
      <c r="F333" s="2"/>
      <c r="G333" s="3"/>
      <c r="H333" s="546"/>
      <c r="I333" s="546"/>
    </row>
    <row r="334">
      <c r="A334" s="119"/>
      <c r="B334" s="120" t="s">
        <v>754</v>
      </c>
      <c r="C334" s="120" t="s">
        <v>22</v>
      </c>
      <c r="D334" s="120" t="s">
        <v>757</v>
      </c>
      <c r="E334" s="121">
        <v>10.0</v>
      </c>
      <c r="F334" s="467"/>
      <c r="G334" s="3"/>
      <c r="H334" s="547"/>
      <c r="I334" s="547"/>
    </row>
    <row r="335">
      <c r="A335" s="120" t="s">
        <v>761</v>
      </c>
      <c r="B335" s="123" t="s">
        <v>1675</v>
      </c>
      <c r="C335" s="2"/>
      <c r="D335" s="2"/>
      <c r="E335" s="2"/>
      <c r="F335" s="2"/>
      <c r="G335" s="3"/>
      <c r="H335" s="548"/>
      <c r="I335" s="548"/>
    </row>
    <row r="336">
      <c r="A336" s="124" t="s">
        <v>764</v>
      </c>
      <c r="B336" s="2"/>
      <c r="C336" s="2"/>
      <c r="D336" s="2"/>
      <c r="E336" s="2"/>
      <c r="F336" s="3"/>
      <c r="G336" s="125" t="s">
        <v>766</v>
      </c>
      <c r="H336" s="549"/>
      <c r="I336" s="549"/>
    </row>
    <row r="337">
      <c r="A337" s="126"/>
      <c r="B337" s="127" t="s">
        <v>1799</v>
      </c>
      <c r="C337" s="123" t="s">
        <v>2030</v>
      </c>
      <c r="D337" s="2"/>
      <c r="E337" s="3"/>
      <c r="F337" s="467"/>
      <c r="G337" s="3"/>
      <c r="H337" s="547"/>
      <c r="I337" s="547"/>
    </row>
    <row r="338">
      <c r="A338" s="20"/>
      <c r="B338" s="20"/>
      <c r="C338" s="120" t="s">
        <v>22</v>
      </c>
      <c r="D338" s="121">
        <v>11.5</v>
      </c>
      <c r="E338" s="121">
        <v>60.0</v>
      </c>
      <c r="F338" s="121">
        <f>E338*D338</f>
        <v>690</v>
      </c>
      <c r="G338" s="120" t="s">
        <v>772</v>
      </c>
      <c r="H338" s="550"/>
      <c r="I338" s="550"/>
    </row>
    <row r="339">
      <c r="A339" s="129" t="s">
        <v>1116</v>
      </c>
      <c r="B339" s="2"/>
      <c r="C339" s="3"/>
      <c r="D339" s="121">
        <v>10.0</v>
      </c>
      <c r="E339" s="130" t="s">
        <v>22</v>
      </c>
      <c r="F339" s="121">
        <f>F338</f>
        <v>690</v>
      </c>
      <c r="G339" s="508"/>
      <c r="H339" s="549"/>
      <c r="I339" s="549"/>
    </row>
    <row r="340">
      <c r="A340" s="129" t="s">
        <v>800</v>
      </c>
      <c r="B340" s="2"/>
      <c r="C340" s="3"/>
      <c r="D340" s="121">
        <v>1.0</v>
      </c>
      <c r="E340" s="130" t="s">
        <v>22</v>
      </c>
      <c r="F340" s="121">
        <f>F339/10</f>
        <v>69</v>
      </c>
      <c r="G340" s="508"/>
      <c r="H340" s="549"/>
      <c r="I340" s="549"/>
    </row>
    <row r="341">
      <c r="A341" s="133" t="s">
        <v>802</v>
      </c>
      <c r="B341" s="2"/>
      <c r="C341" s="2"/>
      <c r="D341" s="3"/>
      <c r="E341" s="121"/>
      <c r="F341" s="121">
        <f>F340*1%</f>
        <v>0.69</v>
      </c>
      <c r="G341" s="508"/>
      <c r="H341" s="549"/>
      <c r="I341" s="549"/>
    </row>
    <row r="342">
      <c r="A342" s="133" t="s">
        <v>42</v>
      </c>
      <c r="B342" s="2"/>
      <c r="C342" s="2"/>
      <c r="D342" s="3"/>
      <c r="E342" s="131"/>
      <c r="F342" s="121">
        <f>F340+F341</f>
        <v>69.69</v>
      </c>
      <c r="G342" s="508"/>
      <c r="H342" s="549"/>
      <c r="I342" s="549"/>
    </row>
    <row r="343">
      <c r="A343" s="133" t="s">
        <v>806</v>
      </c>
      <c r="B343" s="2"/>
      <c r="C343" s="2"/>
      <c r="D343" s="3"/>
      <c r="E343" s="121"/>
      <c r="F343" s="121">
        <f>F342*15%</f>
        <v>10.4535</v>
      </c>
      <c r="G343" s="508"/>
      <c r="H343" s="549"/>
      <c r="I343" s="549"/>
    </row>
    <row r="344">
      <c r="A344" s="133" t="s">
        <v>42</v>
      </c>
      <c r="B344" s="2"/>
      <c r="C344" s="2"/>
      <c r="D344" s="3"/>
      <c r="E344" s="131"/>
      <c r="F344" s="300">
        <f>round(F342+F343,2)</f>
        <v>80.14</v>
      </c>
      <c r="G344" s="508"/>
      <c r="H344" s="549"/>
      <c r="I344" s="549"/>
    </row>
    <row r="345">
      <c r="A345" s="124" t="s">
        <v>777</v>
      </c>
      <c r="B345" s="2"/>
      <c r="C345" s="2"/>
      <c r="D345" s="2"/>
      <c r="E345" s="2"/>
      <c r="F345" s="3"/>
      <c r="G345" s="125" t="s">
        <v>778</v>
      </c>
      <c r="H345" s="549"/>
      <c r="I345" s="549"/>
    </row>
    <row r="346">
      <c r="A346" s="127">
        <v>116.0</v>
      </c>
      <c r="B346" s="126"/>
      <c r="C346" s="123" t="s">
        <v>535</v>
      </c>
      <c r="D346" s="2"/>
      <c r="E346" s="3"/>
      <c r="F346" s="467"/>
      <c r="G346" s="3"/>
      <c r="H346" s="547"/>
      <c r="I346" s="547"/>
    </row>
    <row r="347">
      <c r="A347" s="20"/>
      <c r="B347" s="20"/>
      <c r="C347" s="120" t="s">
        <v>27</v>
      </c>
      <c r="D347" s="121">
        <v>0.16</v>
      </c>
      <c r="E347" s="121">
        <v>784.0</v>
      </c>
      <c r="F347" s="121">
        <f>E347*D347</f>
        <v>125.44</v>
      </c>
      <c r="G347" s="120" t="s">
        <v>780</v>
      </c>
      <c r="H347" s="550"/>
      <c r="I347" s="550"/>
    </row>
    <row r="348">
      <c r="A348" s="127">
        <v>114.0</v>
      </c>
      <c r="B348" s="126"/>
      <c r="C348" s="123" t="s">
        <v>1892</v>
      </c>
      <c r="D348" s="2"/>
      <c r="E348" s="3"/>
      <c r="F348" s="467"/>
      <c r="G348" s="3"/>
      <c r="H348" s="547"/>
      <c r="I348" s="547"/>
    </row>
    <row r="349">
      <c r="A349" s="20"/>
      <c r="B349" s="20"/>
      <c r="C349" s="120" t="s">
        <v>27</v>
      </c>
      <c r="D349" s="121">
        <v>0.33</v>
      </c>
      <c r="E349" s="121">
        <v>645.0</v>
      </c>
      <c r="F349" s="121">
        <f>E349*D349</f>
        <v>212.85</v>
      </c>
      <c r="G349" s="120" t="s">
        <v>782</v>
      </c>
      <c r="H349" s="550"/>
      <c r="I349" s="550"/>
    </row>
    <row r="350">
      <c r="A350" s="127">
        <v>114.0</v>
      </c>
      <c r="B350" s="126"/>
      <c r="C350" s="123" t="s">
        <v>97</v>
      </c>
      <c r="D350" s="2"/>
      <c r="E350" s="3"/>
      <c r="F350" s="467"/>
      <c r="G350" s="3"/>
      <c r="H350" s="547"/>
      <c r="I350" s="547"/>
    </row>
    <row r="351">
      <c r="A351" s="20"/>
      <c r="B351" s="20"/>
      <c r="C351" s="120" t="s">
        <v>27</v>
      </c>
      <c r="D351" s="121">
        <v>0.66</v>
      </c>
      <c r="E351" s="121">
        <v>645.0</v>
      </c>
      <c r="F351" s="121">
        <f>D351*E351</f>
        <v>425.7</v>
      </c>
      <c r="G351" s="120" t="s">
        <v>791</v>
      </c>
      <c r="H351" s="550"/>
      <c r="I351" s="550"/>
    </row>
    <row r="352">
      <c r="A352" s="127">
        <v>115.0</v>
      </c>
      <c r="B352" s="126"/>
      <c r="C352" s="123" t="s">
        <v>26</v>
      </c>
      <c r="D352" s="2"/>
      <c r="E352" s="3"/>
      <c r="F352" s="467"/>
      <c r="G352" s="3"/>
      <c r="H352" s="547"/>
      <c r="I352" s="547"/>
    </row>
    <row r="353">
      <c r="A353" s="20"/>
      <c r="B353" s="20"/>
      <c r="C353" s="120" t="s">
        <v>27</v>
      </c>
      <c r="D353" s="121">
        <v>0.66</v>
      </c>
      <c r="E353" s="121">
        <v>645.0</v>
      </c>
      <c r="F353" s="121">
        <f>D353*E353</f>
        <v>425.7</v>
      </c>
      <c r="G353" s="120" t="s">
        <v>1885</v>
      </c>
      <c r="H353" s="550"/>
      <c r="I353" s="550"/>
    </row>
    <row r="354">
      <c r="A354" s="129" t="s">
        <v>1886</v>
      </c>
      <c r="B354" s="2"/>
      <c r="C354" s="3"/>
      <c r="D354" s="121">
        <v>10.0</v>
      </c>
      <c r="E354" s="130" t="s">
        <v>22</v>
      </c>
      <c r="F354" s="121">
        <f>F353+F351+F349+F347</f>
        <v>1189.69</v>
      </c>
      <c r="G354" s="131"/>
      <c r="H354" s="547"/>
      <c r="I354" s="547"/>
    </row>
    <row r="355">
      <c r="A355" s="129" t="s">
        <v>800</v>
      </c>
      <c r="B355" s="2"/>
      <c r="C355" s="3"/>
      <c r="D355" s="121">
        <v>1.0</v>
      </c>
      <c r="E355" s="130" t="s">
        <v>22</v>
      </c>
      <c r="F355" s="121">
        <f>F354/10</f>
        <v>118.969</v>
      </c>
      <c r="G355" s="131"/>
      <c r="H355" s="547"/>
      <c r="I355" s="547"/>
    </row>
    <row r="356">
      <c r="A356" s="133" t="s">
        <v>802</v>
      </c>
      <c r="B356" s="2"/>
      <c r="C356" s="2"/>
      <c r="D356" s="3"/>
      <c r="E356" s="121"/>
      <c r="F356" s="121">
        <f>F355*1%</f>
        <v>1.18969</v>
      </c>
      <c r="G356" s="131"/>
      <c r="H356" s="547"/>
      <c r="I356" s="547"/>
    </row>
    <row r="357">
      <c r="A357" s="133" t="s">
        <v>42</v>
      </c>
      <c r="B357" s="2"/>
      <c r="C357" s="2"/>
      <c r="D357" s="3"/>
      <c r="E357" s="131"/>
      <c r="F357" s="121">
        <f>F355+F356</f>
        <v>120.15869</v>
      </c>
      <c r="G357" s="131"/>
      <c r="H357" s="547"/>
      <c r="I357" s="547"/>
    </row>
    <row r="358">
      <c r="A358" s="133" t="s">
        <v>806</v>
      </c>
      <c r="B358" s="2"/>
      <c r="C358" s="2"/>
      <c r="D358" s="3"/>
      <c r="E358" s="121"/>
      <c r="F358" s="121">
        <f>F357*15%</f>
        <v>18.0238035</v>
      </c>
      <c r="G358" s="131"/>
      <c r="H358" s="547"/>
      <c r="I358" s="547"/>
    </row>
    <row r="359">
      <c r="A359" s="133" t="s">
        <v>42</v>
      </c>
      <c r="B359" s="2"/>
      <c r="C359" s="2"/>
      <c r="D359" s="3"/>
      <c r="E359" s="131"/>
      <c r="F359" s="300">
        <f>round(F357+F358,2)</f>
        <v>138.18</v>
      </c>
      <c r="G359" s="131"/>
      <c r="H359" s="547"/>
      <c r="I359" s="547"/>
    </row>
    <row r="360">
      <c r="A360" s="455" t="str">
        <f>CONCATENATE("Say ₹ ",F344," + ",F359," x Cost Index")</f>
        <v>Say ₹ 80.14 + 138.18 x Cost Index</v>
      </c>
      <c r="B360" s="2"/>
      <c r="C360" s="2"/>
      <c r="D360" s="2"/>
      <c r="E360" s="2"/>
      <c r="F360" s="2"/>
      <c r="G360" s="3"/>
      <c r="H360" s="374">
        <f>((F338*1.01*1.15)/10)</f>
        <v>80.1435</v>
      </c>
      <c r="I360" s="374">
        <f>((SUM(F347,F349,F351,F353)*1.01*1.15)/10)</f>
        <v>138.1824935</v>
      </c>
    </row>
    <row r="361">
      <c r="A361" s="111" t="s">
        <v>742</v>
      </c>
      <c r="B361" s="111" t="s">
        <v>745</v>
      </c>
      <c r="C361" s="112" t="s">
        <v>6</v>
      </c>
      <c r="D361" s="2"/>
      <c r="E361" s="3"/>
      <c r="F361" s="112" t="s">
        <v>746</v>
      </c>
      <c r="G361" s="3"/>
      <c r="H361" s="545"/>
      <c r="I361" s="545"/>
    </row>
    <row r="362">
      <c r="A362" s="20"/>
      <c r="B362" s="20"/>
      <c r="C362" s="115" t="s">
        <v>8</v>
      </c>
      <c r="D362" s="115" t="s">
        <v>9</v>
      </c>
      <c r="E362" s="115" t="s">
        <v>358</v>
      </c>
      <c r="F362" s="115" t="s">
        <v>11</v>
      </c>
      <c r="G362" s="115" t="s">
        <v>751</v>
      </c>
      <c r="H362" s="545"/>
      <c r="I362" s="545"/>
    </row>
    <row r="363">
      <c r="A363" s="118" t="s">
        <v>2039</v>
      </c>
      <c r="B363" s="2"/>
      <c r="C363" s="2"/>
      <c r="D363" s="2"/>
      <c r="E363" s="2"/>
      <c r="F363" s="2"/>
      <c r="G363" s="3"/>
      <c r="H363" s="546"/>
      <c r="I363" s="546"/>
    </row>
    <row r="364">
      <c r="A364" s="119"/>
      <c r="B364" s="120" t="s">
        <v>754</v>
      </c>
      <c r="C364" s="120" t="s">
        <v>22</v>
      </c>
      <c r="D364" s="120" t="s">
        <v>757</v>
      </c>
      <c r="E364" s="121">
        <v>10.0</v>
      </c>
      <c r="F364" s="467"/>
      <c r="G364" s="3"/>
      <c r="H364" s="547"/>
      <c r="I364" s="547"/>
    </row>
    <row r="365">
      <c r="A365" s="120" t="s">
        <v>761</v>
      </c>
      <c r="B365" s="123" t="s">
        <v>519</v>
      </c>
      <c r="C365" s="2"/>
      <c r="D365" s="2"/>
      <c r="E365" s="2"/>
      <c r="F365" s="2"/>
      <c r="G365" s="3"/>
      <c r="H365" s="548"/>
      <c r="I365" s="548"/>
    </row>
    <row r="366">
      <c r="A366" s="124" t="s">
        <v>764</v>
      </c>
      <c r="B366" s="2"/>
      <c r="C366" s="2"/>
      <c r="D366" s="2"/>
      <c r="E366" s="2"/>
      <c r="F366" s="3"/>
      <c r="G366" s="125" t="s">
        <v>766</v>
      </c>
      <c r="H366" s="549"/>
      <c r="I366" s="549"/>
    </row>
    <row r="367">
      <c r="A367" s="126"/>
      <c r="B367" s="127" t="s">
        <v>1810</v>
      </c>
      <c r="C367" s="123" t="s">
        <v>2040</v>
      </c>
      <c r="D367" s="2"/>
      <c r="E367" s="3"/>
      <c r="F367" s="467"/>
      <c r="G367" s="3"/>
      <c r="H367" s="547"/>
      <c r="I367" s="547"/>
    </row>
    <row r="368">
      <c r="A368" s="20"/>
      <c r="B368" s="20"/>
      <c r="C368" s="120" t="s">
        <v>22</v>
      </c>
      <c r="D368" s="121">
        <v>10.5</v>
      </c>
      <c r="E368" s="121">
        <v>118.0</v>
      </c>
      <c r="F368" s="121">
        <f>E368*D368</f>
        <v>1239</v>
      </c>
      <c r="G368" s="120" t="s">
        <v>772</v>
      </c>
      <c r="H368" s="550"/>
      <c r="I368" s="550"/>
    </row>
    <row r="369">
      <c r="A369" s="129" t="s">
        <v>1116</v>
      </c>
      <c r="B369" s="2"/>
      <c r="C369" s="3"/>
      <c r="D369" s="121">
        <v>10.0</v>
      </c>
      <c r="E369" s="130" t="s">
        <v>22</v>
      </c>
      <c r="F369" s="121">
        <f>F368</f>
        <v>1239</v>
      </c>
      <c r="G369" s="508"/>
      <c r="H369" s="291"/>
      <c r="I369" s="291"/>
    </row>
    <row r="370">
      <c r="A370" s="129" t="s">
        <v>800</v>
      </c>
      <c r="B370" s="2"/>
      <c r="C370" s="3"/>
      <c r="D370" s="121">
        <v>1.0</v>
      </c>
      <c r="E370" s="130" t="s">
        <v>22</v>
      </c>
      <c r="F370" s="121">
        <f>F369/10</f>
        <v>123.9</v>
      </c>
      <c r="G370" s="508"/>
      <c r="H370" s="291"/>
      <c r="I370" s="291"/>
    </row>
    <row r="371">
      <c r="A371" s="133" t="s">
        <v>802</v>
      </c>
      <c r="B371" s="2"/>
      <c r="C371" s="2"/>
      <c r="D371" s="3"/>
      <c r="E371" s="121"/>
      <c r="F371" s="121">
        <f>F370*1%</f>
        <v>1.239</v>
      </c>
      <c r="G371" s="508"/>
      <c r="H371" s="291"/>
      <c r="I371" s="291"/>
    </row>
    <row r="372">
      <c r="A372" s="133" t="s">
        <v>42</v>
      </c>
      <c r="B372" s="2"/>
      <c r="C372" s="2"/>
      <c r="D372" s="3"/>
      <c r="E372" s="131"/>
      <c r="F372" s="121">
        <f>F370+F371</f>
        <v>125.139</v>
      </c>
      <c r="G372" s="508"/>
      <c r="H372" s="291"/>
      <c r="I372" s="291"/>
    </row>
    <row r="373">
      <c r="A373" s="133" t="s">
        <v>806</v>
      </c>
      <c r="B373" s="2"/>
      <c r="C373" s="2"/>
      <c r="D373" s="3"/>
      <c r="E373" s="121"/>
      <c r="F373" s="121">
        <f>F372*15%</f>
        <v>18.77085</v>
      </c>
      <c r="G373" s="508"/>
      <c r="H373" s="291"/>
      <c r="I373" s="291"/>
    </row>
    <row r="374">
      <c r="A374" s="133" t="s">
        <v>42</v>
      </c>
      <c r="B374" s="2"/>
      <c r="C374" s="2"/>
      <c r="D374" s="3"/>
      <c r="E374" s="131"/>
      <c r="F374" s="300">
        <f>round(F372+F373,2)</f>
        <v>143.91</v>
      </c>
      <c r="G374" s="508"/>
      <c r="H374" s="291"/>
      <c r="I374" s="291"/>
    </row>
    <row r="375">
      <c r="A375" s="124" t="s">
        <v>777</v>
      </c>
      <c r="B375" s="2"/>
      <c r="C375" s="2"/>
      <c r="D375" s="2"/>
      <c r="E375" s="2"/>
      <c r="F375" s="3"/>
      <c r="G375" s="125" t="s">
        <v>778</v>
      </c>
      <c r="H375" s="549"/>
      <c r="I375" s="549"/>
    </row>
    <row r="376">
      <c r="A376" s="127">
        <v>116.0</v>
      </c>
      <c r="B376" s="126"/>
      <c r="C376" s="123" t="s">
        <v>535</v>
      </c>
      <c r="D376" s="2"/>
      <c r="E376" s="3"/>
      <c r="F376" s="467"/>
      <c r="G376" s="3"/>
      <c r="H376" s="547"/>
      <c r="I376" s="547"/>
    </row>
    <row r="377">
      <c r="A377" s="20"/>
      <c r="B377" s="20"/>
      <c r="C377" s="120" t="s">
        <v>27</v>
      </c>
      <c r="D377" s="121">
        <v>0.25</v>
      </c>
      <c r="E377" s="121">
        <v>784.0</v>
      </c>
      <c r="F377" s="121">
        <f>E377*D377</f>
        <v>196</v>
      </c>
      <c r="G377" s="120" t="s">
        <v>780</v>
      </c>
      <c r="H377" s="550"/>
      <c r="I377" s="550"/>
    </row>
    <row r="378">
      <c r="A378" s="127">
        <v>114.0</v>
      </c>
      <c r="B378" s="126"/>
      <c r="C378" s="123" t="s">
        <v>1892</v>
      </c>
      <c r="D378" s="2"/>
      <c r="E378" s="3"/>
      <c r="F378" s="467"/>
      <c r="G378" s="3"/>
      <c r="H378" s="547"/>
      <c r="I378" s="547"/>
    </row>
    <row r="379">
      <c r="A379" s="20"/>
      <c r="B379" s="20"/>
      <c r="C379" s="120" t="s">
        <v>27</v>
      </c>
      <c r="D379" s="121">
        <v>0.66</v>
      </c>
      <c r="E379" s="121">
        <v>645.0</v>
      </c>
      <c r="F379" s="121">
        <f>E379*D379</f>
        <v>425.7</v>
      </c>
      <c r="G379" s="120" t="s">
        <v>782</v>
      </c>
      <c r="H379" s="550"/>
      <c r="I379" s="550"/>
    </row>
    <row r="380">
      <c r="A380" s="127">
        <v>114.0</v>
      </c>
      <c r="B380" s="126"/>
      <c r="C380" s="123" t="s">
        <v>97</v>
      </c>
      <c r="D380" s="2"/>
      <c r="E380" s="3"/>
      <c r="F380" s="467"/>
      <c r="G380" s="3"/>
      <c r="H380" s="547"/>
      <c r="I380" s="547"/>
    </row>
    <row r="381">
      <c r="A381" s="20"/>
      <c r="B381" s="20"/>
      <c r="C381" s="120" t="s">
        <v>27</v>
      </c>
      <c r="D381" s="121">
        <v>0.66</v>
      </c>
      <c r="E381" s="121">
        <v>645.0</v>
      </c>
      <c r="F381" s="121">
        <f>D381*E381</f>
        <v>425.7</v>
      </c>
      <c r="G381" s="120" t="s">
        <v>791</v>
      </c>
      <c r="H381" s="550"/>
      <c r="I381" s="550"/>
    </row>
    <row r="382">
      <c r="A382" s="127">
        <v>115.0</v>
      </c>
      <c r="B382" s="126"/>
      <c r="C382" s="123" t="s">
        <v>26</v>
      </c>
      <c r="D382" s="2"/>
      <c r="E382" s="3"/>
      <c r="F382" s="467"/>
      <c r="G382" s="3"/>
      <c r="H382" s="547"/>
      <c r="I382" s="547"/>
    </row>
    <row r="383">
      <c r="A383" s="20"/>
      <c r="B383" s="20"/>
      <c r="C383" s="120" t="s">
        <v>27</v>
      </c>
      <c r="D383" s="121">
        <v>0.66</v>
      </c>
      <c r="E383" s="121">
        <v>645.0</v>
      </c>
      <c r="F383" s="121">
        <f>D383*E383</f>
        <v>425.7</v>
      </c>
      <c r="G383" s="120" t="s">
        <v>1885</v>
      </c>
      <c r="H383" s="550"/>
      <c r="I383" s="550"/>
    </row>
    <row r="384">
      <c r="A384" s="129" t="s">
        <v>1886</v>
      </c>
      <c r="B384" s="2"/>
      <c r="C384" s="3"/>
      <c r="D384" s="121">
        <v>10.0</v>
      </c>
      <c r="E384" s="130" t="s">
        <v>22</v>
      </c>
      <c r="F384" s="121">
        <f>F383+F381+F379+F377</f>
        <v>1473.1</v>
      </c>
      <c r="G384" s="131"/>
      <c r="H384" s="547"/>
      <c r="I384" s="547"/>
    </row>
    <row r="385">
      <c r="A385" s="129" t="s">
        <v>800</v>
      </c>
      <c r="B385" s="2"/>
      <c r="C385" s="3"/>
      <c r="D385" s="121">
        <v>1.0</v>
      </c>
      <c r="E385" s="130" t="s">
        <v>22</v>
      </c>
      <c r="F385" s="121">
        <f>F384/10</f>
        <v>147.31</v>
      </c>
      <c r="G385" s="131"/>
      <c r="H385" s="547"/>
      <c r="I385" s="547"/>
    </row>
    <row r="386">
      <c r="A386" s="133" t="s">
        <v>802</v>
      </c>
      <c r="B386" s="2"/>
      <c r="C386" s="2"/>
      <c r="D386" s="3"/>
      <c r="E386" s="121"/>
      <c r="F386" s="121">
        <f>F385*1%</f>
        <v>1.4731</v>
      </c>
      <c r="G386" s="131"/>
      <c r="H386" s="547"/>
      <c r="I386" s="547"/>
    </row>
    <row r="387">
      <c r="A387" s="133" t="s">
        <v>42</v>
      </c>
      <c r="B387" s="2"/>
      <c r="C387" s="2"/>
      <c r="D387" s="3"/>
      <c r="E387" s="131"/>
      <c r="F387" s="121">
        <f>F385+F386</f>
        <v>148.7831</v>
      </c>
      <c r="G387" s="131"/>
      <c r="H387" s="547"/>
      <c r="I387" s="547"/>
    </row>
    <row r="388">
      <c r="A388" s="133" t="s">
        <v>806</v>
      </c>
      <c r="B388" s="2"/>
      <c r="C388" s="2"/>
      <c r="D388" s="3"/>
      <c r="E388" s="121"/>
      <c r="F388" s="121">
        <f>F387*15%</f>
        <v>22.317465</v>
      </c>
      <c r="G388" s="131"/>
      <c r="H388" s="547"/>
      <c r="I388" s="547"/>
    </row>
    <row r="389">
      <c r="A389" s="133" t="s">
        <v>42</v>
      </c>
      <c r="B389" s="2"/>
      <c r="C389" s="2"/>
      <c r="D389" s="3"/>
      <c r="E389" s="131"/>
      <c r="F389" s="300">
        <f>round(F387+F388,2)</f>
        <v>171.1</v>
      </c>
      <c r="G389" s="131"/>
      <c r="H389" s="547"/>
      <c r="I389" s="547"/>
    </row>
    <row r="390">
      <c r="A390" s="455" t="str">
        <f>CONCATENATE("Say ₹ ",F374," + ",F389," x Cost Index")</f>
        <v>Say ₹ 143.91 + 171.1 x Cost Index</v>
      </c>
      <c r="B390" s="2"/>
      <c r="C390" s="2"/>
      <c r="D390" s="2"/>
      <c r="E390" s="2"/>
      <c r="F390" s="2"/>
      <c r="G390" s="3"/>
      <c r="H390" s="374">
        <f>((F368*1.01*1.15)/10)</f>
        <v>143.90985</v>
      </c>
      <c r="I390" s="374">
        <f>((SUM(F377,F379,F381,F383)*1.01*1.15)/10)</f>
        <v>171.100565</v>
      </c>
    </row>
    <row r="391">
      <c r="A391" s="111" t="s">
        <v>742</v>
      </c>
      <c r="B391" s="111" t="s">
        <v>745</v>
      </c>
      <c r="C391" s="112" t="s">
        <v>6</v>
      </c>
      <c r="D391" s="2"/>
      <c r="E391" s="3"/>
      <c r="F391" s="112" t="s">
        <v>746</v>
      </c>
      <c r="G391" s="3"/>
      <c r="H391" s="545"/>
      <c r="I391" s="545"/>
    </row>
    <row r="392">
      <c r="A392" s="20"/>
      <c r="B392" s="20"/>
      <c r="C392" s="115" t="s">
        <v>8</v>
      </c>
      <c r="D392" s="115" t="s">
        <v>9</v>
      </c>
      <c r="E392" s="115" t="s">
        <v>358</v>
      </c>
      <c r="F392" s="115" t="s">
        <v>11</v>
      </c>
      <c r="G392" s="115" t="s">
        <v>751</v>
      </c>
      <c r="H392" s="545"/>
      <c r="I392" s="545"/>
    </row>
    <row r="393">
      <c r="A393" s="118" t="s">
        <v>2044</v>
      </c>
      <c r="B393" s="2"/>
      <c r="C393" s="2"/>
      <c r="D393" s="2"/>
      <c r="E393" s="2"/>
      <c r="F393" s="2"/>
      <c r="G393" s="3"/>
      <c r="H393" s="546"/>
      <c r="I393" s="546"/>
    </row>
    <row r="394">
      <c r="A394" s="119"/>
      <c r="B394" s="120" t="s">
        <v>754</v>
      </c>
      <c r="C394" s="120" t="s">
        <v>22</v>
      </c>
      <c r="D394" s="120" t="s">
        <v>757</v>
      </c>
      <c r="E394" s="121">
        <v>10.0</v>
      </c>
      <c r="F394" s="467"/>
      <c r="G394" s="3"/>
      <c r="H394" s="547"/>
      <c r="I394" s="547"/>
    </row>
    <row r="395">
      <c r="A395" s="120" t="s">
        <v>761</v>
      </c>
      <c r="B395" s="123" t="s">
        <v>1745</v>
      </c>
      <c r="C395" s="2"/>
      <c r="D395" s="2"/>
      <c r="E395" s="2"/>
      <c r="F395" s="2"/>
      <c r="G395" s="3"/>
      <c r="H395" s="548"/>
      <c r="I395" s="548"/>
    </row>
    <row r="396">
      <c r="A396" s="124" t="s">
        <v>764</v>
      </c>
      <c r="B396" s="2"/>
      <c r="C396" s="2"/>
      <c r="D396" s="2"/>
      <c r="E396" s="2"/>
      <c r="F396" s="3"/>
      <c r="G396" s="125" t="s">
        <v>766</v>
      </c>
      <c r="H396" s="549"/>
      <c r="I396" s="549"/>
    </row>
    <row r="397">
      <c r="A397" s="126"/>
      <c r="B397" s="127" t="s">
        <v>1824</v>
      </c>
      <c r="C397" s="123" t="s">
        <v>2046</v>
      </c>
      <c r="D397" s="2"/>
      <c r="E397" s="3"/>
      <c r="F397" s="467"/>
      <c r="G397" s="3"/>
      <c r="H397" s="547"/>
      <c r="I397" s="547"/>
    </row>
    <row r="398">
      <c r="A398" s="20"/>
      <c r="B398" s="20"/>
      <c r="C398" s="120" t="s">
        <v>22</v>
      </c>
      <c r="D398" s="121">
        <v>10.5</v>
      </c>
      <c r="E398" s="121">
        <v>83.0</v>
      </c>
      <c r="F398" s="121">
        <f>E398*D398</f>
        <v>871.5</v>
      </c>
      <c r="G398" s="120" t="s">
        <v>772</v>
      </c>
      <c r="H398" s="550"/>
      <c r="I398" s="550"/>
    </row>
    <row r="399">
      <c r="A399" s="129" t="s">
        <v>1116</v>
      </c>
      <c r="B399" s="2"/>
      <c r="C399" s="3"/>
      <c r="D399" s="121">
        <v>10.0</v>
      </c>
      <c r="E399" s="130" t="s">
        <v>22</v>
      </c>
      <c r="F399" s="121">
        <f>F398</f>
        <v>871.5</v>
      </c>
      <c r="G399" s="508"/>
      <c r="H399" s="291"/>
      <c r="I399" s="291"/>
    </row>
    <row r="400">
      <c r="A400" s="129" t="s">
        <v>800</v>
      </c>
      <c r="B400" s="2"/>
      <c r="C400" s="3"/>
      <c r="D400" s="121">
        <v>1.0</v>
      </c>
      <c r="E400" s="130" t="s">
        <v>22</v>
      </c>
      <c r="F400" s="121">
        <f>F399/10</f>
        <v>87.15</v>
      </c>
      <c r="G400" s="508"/>
      <c r="H400" s="291"/>
      <c r="I400" s="291"/>
    </row>
    <row r="401">
      <c r="A401" s="133" t="s">
        <v>802</v>
      </c>
      <c r="B401" s="2"/>
      <c r="C401" s="2"/>
      <c r="D401" s="3"/>
      <c r="E401" s="121"/>
      <c r="F401" s="121">
        <f>F400*1%</f>
        <v>0.8715</v>
      </c>
      <c r="G401" s="508"/>
      <c r="H401" s="291"/>
      <c r="I401" s="291"/>
    </row>
    <row r="402">
      <c r="A402" s="133" t="s">
        <v>42</v>
      </c>
      <c r="B402" s="2"/>
      <c r="C402" s="2"/>
      <c r="D402" s="3"/>
      <c r="E402" s="131"/>
      <c r="F402" s="121">
        <f>F400+F401</f>
        <v>88.0215</v>
      </c>
      <c r="G402" s="508"/>
      <c r="H402" s="291"/>
      <c r="I402" s="291"/>
    </row>
    <row r="403">
      <c r="A403" s="133" t="s">
        <v>806</v>
      </c>
      <c r="B403" s="2"/>
      <c r="C403" s="2"/>
      <c r="D403" s="3"/>
      <c r="E403" s="121"/>
      <c r="F403" s="121">
        <f>F402*15%</f>
        <v>13.203225</v>
      </c>
      <c r="G403" s="508"/>
      <c r="H403" s="291"/>
      <c r="I403" s="291"/>
    </row>
    <row r="404">
      <c r="A404" s="133" t="s">
        <v>42</v>
      </c>
      <c r="B404" s="2"/>
      <c r="C404" s="2"/>
      <c r="D404" s="3"/>
      <c r="E404" s="131"/>
      <c r="F404" s="300">
        <f>round(F402+F403,2)</f>
        <v>101.22</v>
      </c>
      <c r="G404" s="508"/>
      <c r="H404" s="291"/>
      <c r="I404" s="291"/>
    </row>
    <row r="405">
      <c r="A405" s="124" t="s">
        <v>777</v>
      </c>
      <c r="B405" s="2"/>
      <c r="C405" s="2"/>
      <c r="D405" s="2"/>
      <c r="E405" s="2"/>
      <c r="F405" s="3"/>
      <c r="G405" s="125" t="s">
        <v>778</v>
      </c>
      <c r="H405" s="549"/>
      <c r="I405" s="549"/>
    </row>
    <row r="406">
      <c r="A406" s="127">
        <v>116.0</v>
      </c>
      <c r="B406" s="126"/>
      <c r="C406" s="123" t="s">
        <v>535</v>
      </c>
      <c r="D406" s="2"/>
      <c r="E406" s="3"/>
      <c r="F406" s="467"/>
      <c r="G406" s="3"/>
      <c r="H406" s="547"/>
      <c r="I406" s="547"/>
    </row>
    <row r="407">
      <c r="A407" s="20"/>
      <c r="B407" s="20"/>
      <c r="C407" s="120" t="s">
        <v>27</v>
      </c>
      <c r="D407" s="121">
        <v>0.25</v>
      </c>
      <c r="E407" s="121">
        <v>784.0</v>
      </c>
      <c r="F407" s="121">
        <f>E407*D407</f>
        <v>196</v>
      </c>
      <c r="G407" s="120" t="s">
        <v>780</v>
      </c>
      <c r="H407" s="550"/>
      <c r="I407" s="550"/>
    </row>
    <row r="408">
      <c r="A408" s="127">
        <v>114.0</v>
      </c>
      <c r="B408" s="126"/>
      <c r="C408" s="123" t="s">
        <v>97</v>
      </c>
      <c r="D408" s="2"/>
      <c r="E408" s="3"/>
      <c r="F408" s="467"/>
      <c r="G408" s="3"/>
      <c r="H408" s="547"/>
      <c r="I408" s="547"/>
    </row>
    <row r="409">
      <c r="A409" s="20"/>
      <c r="B409" s="20"/>
      <c r="C409" s="120" t="s">
        <v>27</v>
      </c>
      <c r="D409" s="121">
        <v>0.66</v>
      </c>
      <c r="E409" s="121">
        <v>645.0</v>
      </c>
      <c r="F409" s="121">
        <f>E409*D409</f>
        <v>425.7</v>
      </c>
      <c r="G409" s="120" t="s">
        <v>782</v>
      </c>
      <c r="H409" s="550"/>
      <c r="I409" s="550"/>
    </row>
    <row r="410">
      <c r="A410" s="127">
        <v>114.0</v>
      </c>
      <c r="B410" s="126"/>
      <c r="C410" s="123" t="s">
        <v>97</v>
      </c>
      <c r="D410" s="2"/>
      <c r="E410" s="3"/>
      <c r="F410" s="467"/>
      <c r="G410" s="3"/>
      <c r="H410" s="547"/>
      <c r="I410" s="547"/>
    </row>
    <row r="411">
      <c r="A411" s="20"/>
      <c r="B411" s="20"/>
      <c r="C411" s="120" t="s">
        <v>27</v>
      </c>
      <c r="D411" s="121">
        <v>0.66</v>
      </c>
      <c r="E411" s="121">
        <v>645.0</v>
      </c>
      <c r="F411" s="121">
        <f>D411*E411</f>
        <v>425.7</v>
      </c>
      <c r="G411" s="120" t="s">
        <v>791</v>
      </c>
      <c r="H411" s="550"/>
      <c r="I411" s="550"/>
    </row>
    <row r="412">
      <c r="A412" s="127">
        <v>115.0</v>
      </c>
      <c r="B412" s="126"/>
      <c r="C412" s="123" t="s">
        <v>26</v>
      </c>
      <c r="D412" s="2"/>
      <c r="E412" s="3"/>
      <c r="F412" s="467"/>
      <c r="G412" s="3"/>
      <c r="H412" s="547"/>
      <c r="I412" s="547"/>
    </row>
    <row r="413">
      <c r="A413" s="20"/>
      <c r="B413" s="20"/>
      <c r="C413" s="120" t="s">
        <v>27</v>
      </c>
      <c r="D413" s="121">
        <v>0.66</v>
      </c>
      <c r="E413" s="121">
        <v>645.0</v>
      </c>
      <c r="F413" s="121">
        <f>D413*E413</f>
        <v>425.7</v>
      </c>
      <c r="G413" s="120" t="s">
        <v>1885</v>
      </c>
      <c r="H413" s="550"/>
      <c r="I413" s="550"/>
    </row>
    <row r="414">
      <c r="A414" s="129" t="s">
        <v>1886</v>
      </c>
      <c r="B414" s="2"/>
      <c r="C414" s="3"/>
      <c r="D414" s="121">
        <v>10.0</v>
      </c>
      <c r="E414" s="130" t="s">
        <v>22</v>
      </c>
      <c r="F414" s="121">
        <f>F413+F411+F409+F407</f>
        <v>1473.1</v>
      </c>
      <c r="G414" s="131"/>
      <c r="H414" s="547"/>
      <c r="I414" s="547"/>
    </row>
    <row r="415">
      <c r="A415" s="129" t="s">
        <v>800</v>
      </c>
      <c r="B415" s="2"/>
      <c r="C415" s="3"/>
      <c r="D415" s="121">
        <v>1.0</v>
      </c>
      <c r="E415" s="130" t="s">
        <v>22</v>
      </c>
      <c r="F415" s="121">
        <f>F414/10</f>
        <v>147.31</v>
      </c>
      <c r="G415" s="131"/>
      <c r="H415" s="547"/>
      <c r="I415" s="547"/>
    </row>
    <row r="416">
      <c r="A416" s="133" t="s">
        <v>802</v>
      </c>
      <c r="B416" s="2"/>
      <c r="C416" s="2"/>
      <c r="D416" s="3"/>
      <c r="E416" s="121"/>
      <c r="F416" s="121">
        <f>F415*1%</f>
        <v>1.4731</v>
      </c>
      <c r="G416" s="131"/>
      <c r="H416" s="547"/>
      <c r="I416" s="547"/>
    </row>
    <row r="417">
      <c r="A417" s="133" t="s">
        <v>42</v>
      </c>
      <c r="B417" s="2"/>
      <c r="C417" s="2"/>
      <c r="D417" s="3"/>
      <c r="E417" s="131"/>
      <c r="F417" s="121">
        <f>F415+F416</f>
        <v>148.7831</v>
      </c>
      <c r="G417" s="131"/>
      <c r="H417" s="547"/>
      <c r="I417" s="547"/>
    </row>
    <row r="418">
      <c r="A418" s="133" t="s">
        <v>806</v>
      </c>
      <c r="B418" s="2"/>
      <c r="C418" s="2"/>
      <c r="D418" s="3"/>
      <c r="E418" s="121"/>
      <c r="F418" s="121">
        <f>F417*15%</f>
        <v>22.317465</v>
      </c>
      <c r="G418" s="131"/>
      <c r="H418" s="547"/>
      <c r="I418" s="547"/>
    </row>
    <row r="419">
      <c r="A419" s="133" t="s">
        <v>42</v>
      </c>
      <c r="B419" s="2"/>
      <c r="C419" s="2"/>
      <c r="D419" s="3"/>
      <c r="E419" s="131"/>
      <c r="F419" s="300">
        <f>round(F417+F418,2)</f>
        <v>171.1</v>
      </c>
      <c r="G419" s="131"/>
      <c r="H419" s="547"/>
      <c r="I419" s="547"/>
    </row>
    <row r="420">
      <c r="A420" s="455" t="str">
        <f>CONCATENATE("Say ₹ ",F404," + ",F419," x Cost Index")</f>
        <v>Say ₹ 101.22 + 171.1 x Cost Index</v>
      </c>
      <c r="B420" s="2"/>
      <c r="C420" s="2"/>
      <c r="D420" s="2"/>
      <c r="E420" s="2"/>
      <c r="F420" s="2"/>
      <c r="G420" s="3"/>
      <c r="H420" s="374">
        <f>((F398*1.01*1.15)/10)</f>
        <v>101.224725</v>
      </c>
      <c r="I420" s="374">
        <f>((SUM(F407,F409,F411,F413)*1.01*1.15)/10)</f>
        <v>171.100565</v>
      </c>
    </row>
    <row r="421">
      <c r="A421" s="111" t="s">
        <v>742</v>
      </c>
      <c r="B421" s="111" t="s">
        <v>745</v>
      </c>
      <c r="C421" s="112" t="s">
        <v>6</v>
      </c>
      <c r="D421" s="2"/>
      <c r="E421" s="3"/>
      <c r="F421" s="112" t="s">
        <v>746</v>
      </c>
      <c r="G421" s="3"/>
      <c r="H421" s="545"/>
      <c r="I421" s="545"/>
    </row>
    <row r="422">
      <c r="A422" s="20"/>
      <c r="B422" s="20"/>
      <c r="C422" s="115" t="s">
        <v>8</v>
      </c>
      <c r="D422" s="115" t="s">
        <v>9</v>
      </c>
      <c r="E422" s="115" t="s">
        <v>358</v>
      </c>
      <c r="F422" s="115" t="s">
        <v>11</v>
      </c>
      <c r="G422" s="115" t="s">
        <v>751</v>
      </c>
      <c r="H422" s="545"/>
      <c r="I422" s="545"/>
    </row>
    <row r="423">
      <c r="A423" s="118" t="s">
        <v>2053</v>
      </c>
      <c r="B423" s="2"/>
      <c r="C423" s="2"/>
      <c r="D423" s="2"/>
      <c r="E423" s="2"/>
      <c r="F423" s="2"/>
      <c r="G423" s="3"/>
      <c r="H423" s="546"/>
      <c r="I423" s="546"/>
    </row>
    <row r="424">
      <c r="A424" s="119"/>
      <c r="B424" s="120" t="s">
        <v>754</v>
      </c>
      <c r="C424" s="120" t="s">
        <v>22</v>
      </c>
      <c r="D424" s="120" t="s">
        <v>757</v>
      </c>
      <c r="E424" s="121">
        <v>10.0</v>
      </c>
      <c r="F424" s="467"/>
      <c r="G424" s="3"/>
      <c r="H424" s="547"/>
      <c r="I424" s="547"/>
    </row>
    <row r="425">
      <c r="A425" s="120" t="s">
        <v>761</v>
      </c>
      <c r="B425" s="123" t="s">
        <v>1745</v>
      </c>
      <c r="C425" s="2"/>
      <c r="D425" s="2"/>
      <c r="E425" s="2"/>
      <c r="F425" s="2"/>
      <c r="G425" s="3"/>
      <c r="H425" s="548"/>
      <c r="I425" s="548"/>
    </row>
    <row r="426">
      <c r="A426" s="124" t="s">
        <v>764</v>
      </c>
      <c r="B426" s="2"/>
      <c r="C426" s="2"/>
      <c r="D426" s="2"/>
      <c r="E426" s="2"/>
      <c r="F426" s="3"/>
      <c r="G426" s="125" t="s">
        <v>766</v>
      </c>
      <c r="H426" s="549"/>
      <c r="I426" s="549"/>
    </row>
    <row r="427">
      <c r="A427" s="126"/>
      <c r="B427" s="127" t="s">
        <v>1830</v>
      </c>
      <c r="C427" s="123" t="s">
        <v>2056</v>
      </c>
      <c r="D427" s="2"/>
      <c r="E427" s="3"/>
      <c r="F427" s="467"/>
      <c r="G427" s="3"/>
      <c r="H427" s="547"/>
      <c r="I427" s="547"/>
    </row>
    <row r="428">
      <c r="A428" s="20"/>
      <c r="B428" s="20"/>
      <c r="C428" s="120" t="s">
        <v>22</v>
      </c>
      <c r="D428" s="121">
        <v>10.5</v>
      </c>
      <c r="E428" s="121">
        <v>129.0</v>
      </c>
      <c r="F428" s="121">
        <f>E428*D428</f>
        <v>1354.5</v>
      </c>
      <c r="G428" s="120" t="s">
        <v>772</v>
      </c>
      <c r="H428" s="550"/>
      <c r="I428" s="550"/>
    </row>
    <row r="429">
      <c r="A429" s="129" t="s">
        <v>1116</v>
      </c>
      <c r="B429" s="2"/>
      <c r="C429" s="3"/>
      <c r="D429" s="121">
        <v>10.0</v>
      </c>
      <c r="E429" s="130" t="s">
        <v>22</v>
      </c>
      <c r="F429" s="121">
        <f>F428</f>
        <v>1354.5</v>
      </c>
      <c r="G429" s="508"/>
      <c r="H429" s="291"/>
      <c r="I429" s="291"/>
    </row>
    <row r="430">
      <c r="A430" s="129" t="s">
        <v>800</v>
      </c>
      <c r="B430" s="2"/>
      <c r="C430" s="3"/>
      <c r="D430" s="121">
        <v>1.0</v>
      </c>
      <c r="E430" s="130" t="s">
        <v>22</v>
      </c>
      <c r="F430" s="121">
        <f>F429/10</f>
        <v>135.45</v>
      </c>
      <c r="G430" s="508"/>
      <c r="H430" s="291"/>
      <c r="I430" s="291"/>
    </row>
    <row r="431">
      <c r="A431" s="133" t="s">
        <v>802</v>
      </c>
      <c r="B431" s="2"/>
      <c r="C431" s="2"/>
      <c r="D431" s="3"/>
      <c r="E431" s="121"/>
      <c r="F431" s="121">
        <f>F430*1%</f>
        <v>1.3545</v>
      </c>
      <c r="G431" s="508"/>
      <c r="H431" s="291"/>
      <c r="I431" s="291"/>
    </row>
    <row r="432">
      <c r="A432" s="133" t="s">
        <v>42</v>
      </c>
      <c r="B432" s="2"/>
      <c r="C432" s="2"/>
      <c r="D432" s="3"/>
      <c r="E432" s="131"/>
      <c r="F432" s="121">
        <f>F430+F431</f>
        <v>136.8045</v>
      </c>
      <c r="G432" s="508"/>
      <c r="H432" s="291"/>
      <c r="I432" s="291"/>
    </row>
    <row r="433">
      <c r="A433" s="133" t="s">
        <v>806</v>
      </c>
      <c r="B433" s="2"/>
      <c r="C433" s="2"/>
      <c r="D433" s="3"/>
      <c r="E433" s="121"/>
      <c r="F433" s="121">
        <f>F432*15%</f>
        <v>20.520675</v>
      </c>
      <c r="G433" s="508"/>
      <c r="H433" s="291"/>
      <c r="I433" s="291"/>
    </row>
    <row r="434">
      <c r="A434" s="133" t="s">
        <v>42</v>
      </c>
      <c r="B434" s="2"/>
      <c r="C434" s="2"/>
      <c r="D434" s="3"/>
      <c r="E434" s="131"/>
      <c r="F434" s="300">
        <f>round(F432+F433,2)</f>
        <v>157.33</v>
      </c>
      <c r="G434" s="508"/>
      <c r="H434" s="291"/>
      <c r="I434" s="291"/>
    </row>
    <row r="435">
      <c r="A435" s="124" t="s">
        <v>777</v>
      </c>
      <c r="B435" s="2"/>
      <c r="C435" s="2"/>
      <c r="D435" s="2"/>
      <c r="E435" s="2"/>
      <c r="F435" s="3"/>
      <c r="G435" s="125" t="s">
        <v>778</v>
      </c>
      <c r="H435" s="549"/>
      <c r="I435" s="549"/>
    </row>
    <row r="436">
      <c r="A436" s="127">
        <v>116.0</v>
      </c>
      <c r="B436" s="126"/>
      <c r="C436" s="123" t="s">
        <v>535</v>
      </c>
      <c r="D436" s="2"/>
      <c r="E436" s="3"/>
      <c r="F436" s="467"/>
      <c r="G436" s="3"/>
      <c r="H436" s="547"/>
      <c r="I436" s="547"/>
    </row>
    <row r="437">
      <c r="A437" s="20"/>
      <c r="B437" s="20"/>
      <c r="C437" s="120" t="s">
        <v>27</v>
      </c>
      <c r="D437" s="121">
        <v>0.25</v>
      </c>
      <c r="E437" s="121">
        <v>784.0</v>
      </c>
      <c r="F437" s="121">
        <f>E437*D437</f>
        <v>196</v>
      </c>
      <c r="G437" s="120" t="s">
        <v>780</v>
      </c>
      <c r="H437" s="550"/>
      <c r="I437" s="550"/>
    </row>
    <row r="438">
      <c r="A438" s="127">
        <v>114.0</v>
      </c>
      <c r="B438" s="126"/>
      <c r="C438" s="123" t="s">
        <v>1892</v>
      </c>
      <c r="D438" s="2"/>
      <c r="E438" s="3"/>
      <c r="F438" s="467"/>
      <c r="G438" s="3"/>
      <c r="H438" s="547"/>
      <c r="I438" s="547"/>
    </row>
    <row r="439">
      <c r="A439" s="20"/>
      <c r="B439" s="20"/>
      <c r="C439" s="120" t="s">
        <v>27</v>
      </c>
      <c r="D439" s="121">
        <v>0.66</v>
      </c>
      <c r="E439" s="121">
        <v>645.0</v>
      </c>
      <c r="F439" s="121">
        <f>E439*D439</f>
        <v>425.7</v>
      </c>
      <c r="G439" s="120" t="s">
        <v>782</v>
      </c>
      <c r="H439" s="550"/>
      <c r="I439" s="550"/>
    </row>
    <row r="440">
      <c r="A440" s="127">
        <v>114.0</v>
      </c>
      <c r="B440" s="126"/>
      <c r="C440" s="123" t="s">
        <v>97</v>
      </c>
      <c r="D440" s="2"/>
      <c r="E440" s="3"/>
      <c r="F440" s="467"/>
      <c r="G440" s="3"/>
      <c r="H440" s="547"/>
      <c r="I440" s="547"/>
    </row>
    <row r="441">
      <c r="A441" s="20"/>
      <c r="B441" s="20"/>
      <c r="C441" s="120" t="s">
        <v>27</v>
      </c>
      <c r="D441" s="121">
        <v>0.66</v>
      </c>
      <c r="E441" s="121">
        <v>645.0</v>
      </c>
      <c r="F441" s="121">
        <f>D441*E441</f>
        <v>425.7</v>
      </c>
      <c r="G441" s="120" t="s">
        <v>791</v>
      </c>
      <c r="H441" s="550"/>
      <c r="I441" s="550"/>
    </row>
    <row r="442">
      <c r="A442" s="127">
        <v>115.0</v>
      </c>
      <c r="B442" s="126"/>
      <c r="C442" s="123" t="s">
        <v>26</v>
      </c>
      <c r="D442" s="2"/>
      <c r="E442" s="3"/>
      <c r="F442" s="467"/>
      <c r="G442" s="3"/>
      <c r="H442" s="547"/>
      <c r="I442" s="547"/>
    </row>
    <row r="443">
      <c r="A443" s="20"/>
      <c r="B443" s="20"/>
      <c r="C443" s="120" t="s">
        <v>27</v>
      </c>
      <c r="D443" s="121">
        <v>0.66</v>
      </c>
      <c r="E443" s="121">
        <v>645.0</v>
      </c>
      <c r="F443" s="121">
        <f>D443*E443</f>
        <v>425.7</v>
      </c>
      <c r="G443" s="120" t="s">
        <v>1885</v>
      </c>
      <c r="H443" s="550"/>
      <c r="I443" s="550"/>
    </row>
    <row r="444">
      <c r="A444" s="129" t="s">
        <v>1886</v>
      </c>
      <c r="B444" s="2"/>
      <c r="C444" s="3"/>
      <c r="D444" s="121">
        <v>10.0</v>
      </c>
      <c r="E444" s="130" t="s">
        <v>22</v>
      </c>
      <c r="F444" s="121">
        <f>F443+F441+F439+F437</f>
        <v>1473.1</v>
      </c>
      <c r="G444" s="131"/>
      <c r="H444" s="547"/>
      <c r="I444" s="547"/>
    </row>
    <row r="445">
      <c r="A445" s="129" t="s">
        <v>800</v>
      </c>
      <c r="B445" s="2"/>
      <c r="C445" s="3"/>
      <c r="D445" s="121">
        <v>1.0</v>
      </c>
      <c r="E445" s="130" t="s">
        <v>22</v>
      </c>
      <c r="F445" s="121">
        <f>F444/10</f>
        <v>147.31</v>
      </c>
      <c r="G445" s="131"/>
      <c r="H445" s="547"/>
      <c r="I445" s="547"/>
    </row>
    <row r="446">
      <c r="A446" s="133" t="s">
        <v>802</v>
      </c>
      <c r="B446" s="2"/>
      <c r="C446" s="2"/>
      <c r="D446" s="3"/>
      <c r="E446" s="121"/>
      <c r="F446" s="121">
        <f>F445*1%</f>
        <v>1.4731</v>
      </c>
      <c r="G446" s="131"/>
      <c r="H446" s="547"/>
      <c r="I446" s="547"/>
    </row>
    <row r="447">
      <c r="A447" s="133" t="s">
        <v>42</v>
      </c>
      <c r="B447" s="2"/>
      <c r="C447" s="2"/>
      <c r="D447" s="3"/>
      <c r="E447" s="131"/>
      <c r="F447" s="121">
        <f>F445+F446</f>
        <v>148.7831</v>
      </c>
      <c r="G447" s="131"/>
      <c r="H447" s="547"/>
      <c r="I447" s="547"/>
    </row>
    <row r="448">
      <c r="A448" s="133" t="s">
        <v>806</v>
      </c>
      <c r="B448" s="2"/>
      <c r="C448" s="2"/>
      <c r="D448" s="3"/>
      <c r="E448" s="121"/>
      <c r="F448" s="121">
        <f>F447*15%</f>
        <v>22.317465</v>
      </c>
      <c r="G448" s="131"/>
      <c r="H448" s="547"/>
      <c r="I448" s="547"/>
    </row>
    <row r="449">
      <c r="A449" s="133" t="s">
        <v>42</v>
      </c>
      <c r="B449" s="2"/>
      <c r="C449" s="2"/>
      <c r="D449" s="3"/>
      <c r="E449" s="131"/>
      <c r="F449" s="300">
        <f>round(F447+F448,2)</f>
        <v>171.1</v>
      </c>
      <c r="G449" s="131"/>
      <c r="H449" s="547"/>
      <c r="I449" s="547"/>
    </row>
    <row r="450">
      <c r="A450" s="455" t="str">
        <f>CONCATENATE("Say ₹ ",F434," + ",F449," x Cost Index")</f>
        <v>Say ₹ 157.33 + 171.1 x Cost Index</v>
      </c>
      <c r="B450" s="2"/>
      <c r="C450" s="2"/>
      <c r="D450" s="2"/>
      <c r="E450" s="2"/>
      <c r="F450" s="2"/>
      <c r="G450" s="3"/>
      <c r="H450" s="374">
        <f>((F428*1.01*1.15)/10)</f>
        <v>157.325175</v>
      </c>
      <c r="I450" s="374">
        <f>((SUM(F437,F439,F441,F443)*1.01*1.15)/10)</f>
        <v>171.100565</v>
      </c>
    </row>
    <row r="451">
      <c r="A451" s="111" t="s">
        <v>742</v>
      </c>
      <c r="B451" s="111" t="s">
        <v>745</v>
      </c>
      <c r="C451" s="112" t="s">
        <v>6</v>
      </c>
      <c r="D451" s="2"/>
      <c r="E451" s="3"/>
      <c r="F451" s="112" t="s">
        <v>746</v>
      </c>
      <c r="G451" s="3"/>
      <c r="H451" s="545"/>
      <c r="I451" s="545"/>
    </row>
    <row r="452">
      <c r="A452" s="20"/>
      <c r="B452" s="20"/>
      <c r="C452" s="115" t="s">
        <v>8</v>
      </c>
      <c r="D452" s="115" t="s">
        <v>9</v>
      </c>
      <c r="E452" s="115" t="s">
        <v>358</v>
      </c>
      <c r="F452" s="115" t="s">
        <v>11</v>
      </c>
      <c r="G452" s="115" t="s">
        <v>751</v>
      </c>
      <c r="H452" s="545"/>
      <c r="I452" s="545"/>
    </row>
    <row r="453">
      <c r="A453" s="118" t="s">
        <v>2060</v>
      </c>
      <c r="B453" s="2"/>
      <c r="C453" s="2"/>
      <c r="D453" s="2"/>
      <c r="E453" s="2"/>
      <c r="F453" s="2"/>
      <c r="G453" s="3"/>
      <c r="H453" s="546"/>
      <c r="I453" s="546"/>
    </row>
    <row r="454">
      <c r="A454" s="119"/>
      <c r="B454" s="120" t="s">
        <v>754</v>
      </c>
      <c r="C454" s="120" t="s">
        <v>22</v>
      </c>
      <c r="D454" s="120" t="s">
        <v>757</v>
      </c>
      <c r="E454" s="121">
        <v>10.0</v>
      </c>
      <c r="F454" s="467"/>
      <c r="G454" s="3"/>
      <c r="H454" s="547"/>
      <c r="I454" s="547"/>
    </row>
    <row r="455">
      <c r="A455" s="120" t="s">
        <v>761</v>
      </c>
      <c r="B455" s="123" t="s">
        <v>519</v>
      </c>
      <c r="C455" s="2"/>
      <c r="D455" s="2"/>
      <c r="E455" s="2"/>
      <c r="F455" s="2"/>
      <c r="G455" s="3"/>
      <c r="H455" s="548"/>
      <c r="I455" s="548"/>
    </row>
    <row r="456">
      <c r="A456" s="124" t="s">
        <v>764</v>
      </c>
      <c r="B456" s="2"/>
      <c r="C456" s="2"/>
      <c r="D456" s="2"/>
      <c r="E456" s="2"/>
      <c r="F456" s="3"/>
      <c r="G456" s="125" t="s">
        <v>766</v>
      </c>
      <c r="H456" s="549"/>
      <c r="I456" s="549"/>
    </row>
    <row r="457">
      <c r="A457" s="126"/>
      <c r="B457" s="127" t="s">
        <v>1841</v>
      </c>
      <c r="C457" s="123" t="s">
        <v>2061</v>
      </c>
      <c r="D457" s="2"/>
      <c r="E457" s="3"/>
      <c r="F457" s="467"/>
      <c r="G457" s="3"/>
      <c r="H457" s="547"/>
      <c r="I457" s="547"/>
    </row>
    <row r="458">
      <c r="A458" s="20"/>
      <c r="B458" s="20"/>
      <c r="C458" s="120" t="s">
        <v>22</v>
      </c>
      <c r="D458" s="121">
        <v>10.5</v>
      </c>
      <c r="E458" s="121">
        <v>95.0</v>
      </c>
      <c r="F458" s="121">
        <f>E458*D458</f>
        <v>997.5</v>
      </c>
      <c r="G458" s="120" t="s">
        <v>772</v>
      </c>
      <c r="H458" s="550"/>
      <c r="I458" s="550"/>
    </row>
    <row r="459">
      <c r="A459" s="129" t="s">
        <v>1116</v>
      </c>
      <c r="B459" s="2"/>
      <c r="C459" s="3"/>
      <c r="D459" s="121">
        <v>10.0</v>
      </c>
      <c r="E459" s="130" t="s">
        <v>22</v>
      </c>
      <c r="F459" s="121">
        <f>F458</f>
        <v>997.5</v>
      </c>
      <c r="G459" s="508"/>
      <c r="H459" s="291"/>
      <c r="I459" s="291"/>
    </row>
    <row r="460">
      <c r="A460" s="129" t="s">
        <v>800</v>
      </c>
      <c r="B460" s="2"/>
      <c r="C460" s="3"/>
      <c r="D460" s="121">
        <v>1.0</v>
      </c>
      <c r="E460" s="130" t="s">
        <v>22</v>
      </c>
      <c r="F460" s="121">
        <f>F459/10</f>
        <v>99.75</v>
      </c>
      <c r="G460" s="508"/>
      <c r="H460" s="291"/>
      <c r="I460" s="291"/>
    </row>
    <row r="461">
      <c r="A461" s="133" t="s">
        <v>802</v>
      </c>
      <c r="B461" s="2"/>
      <c r="C461" s="2"/>
      <c r="D461" s="3"/>
      <c r="E461" s="121"/>
      <c r="F461" s="121">
        <f>F460*1%</f>
        <v>0.9975</v>
      </c>
      <c r="G461" s="508"/>
      <c r="H461" s="291"/>
      <c r="I461" s="291"/>
    </row>
    <row r="462">
      <c r="A462" s="133" t="s">
        <v>42</v>
      </c>
      <c r="B462" s="2"/>
      <c r="C462" s="2"/>
      <c r="D462" s="3"/>
      <c r="E462" s="131"/>
      <c r="F462" s="121">
        <f>F460+F461</f>
        <v>100.7475</v>
      </c>
      <c r="G462" s="508"/>
      <c r="H462" s="291"/>
      <c r="I462" s="291"/>
    </row>
    <row r="463">
      <c r="A463" s="133" t="s">
        <v>806</v>
      </c>
      <c r="B463" s="2"/>
      <c r="C463" s="2"/>
      <c r="D463" s="3"/>
      <c r="E463" s="121"/>
      <c r="F463" s="121">
        <f>F462*15%</f>
        <v>15.112125</v>
      </c>
      <c r="G463" s="508"/>
      <c r="H463" s="291"/>
      <c r="I463" s="291"/>
    </row>
    <row r="464">
      <c r="A464" s="133" t="s">
        <v>42</v>
      </c>
      <c r="B464" s="2"/>
      <c r="C464" s="2"/>
      <c r="D464" s="3"/>
      <c r="E464" s="131"/>
      <c r="F464" s="300">
        <f>round(F462+F463,2)</f>
        <v>115.86</v>
      </c>
      <c r="G464" s="508"/>
      <c r="H464" s="291"/>
      <c r="I464" s="291"/>
    </row>
    <row r="465">
      <c r="A465" s="124" t="s">
        <v>777</v>
      </c>
      <c r="B465" s="2"/>
      <c r="C465" s="2"/>
      <c r="D465" s="2"/>
      <c r="E465" s="2"/>
      <c r="F465" s="3"/>
      <c r="G465" s="125" t="s">
        <v>778</v>
      </c>
      <c r="H465" s="549"/>
      <c r="I465" s="549"/>
    </row>
    <row r="466">
      <c r="A466" s="127">
        <v>116.0</v>
      </c>
      <c r="B466" s="126"/>
      <c r="C466" s="123" t="s">
        <v>535</v>
      </c>
      <c r="D466" s="2"/>
      <c r="E466" s="3"/>
      <c r="F466" s="467"/>
      <c r="G466" s="3"/>
      <c r="H466" s="547"/>
      <c r="I466" s="547"/>
    </row>
    <row r="467">
      <c r="A467" s="20"/>
      <c r="B467" s="20"/>
      <c r="C467" s="120" t="s">
        <v>27</v>
      </c>
      <c r="D467" s="121">
        <v>0.25</v>
      </c>
      <c r="E467" s="121">
        <v>784.0</v>
      </c>
      <c r="F467" s="121">
        <f>E467*D467</f>
        <v>196</v>
      </c>
      <c r="G467" s="120" t="s">
        <v>780</v>
      </c>
      <c r="H467" s="550"/>
      <c r="I467" s="550"/>
    </row>
    <row r="468">
      <c r="A468" s="127">
        <v>114.0</v>
      </c>
      <c r="B468" s="126"/>
      <c r="C468" s="123" t="s">
        <v>1892</v>
      </c>
      <c r="D468" s="2"/>
      <c r="E468" s="3"/>
      <c r="F468" s="467"/>
      <c r="G468" s="3"/>
      <c r="H468" s="547"/>
      <c r="I468" s="547"/>
    </row>
    <row r="469">
      <c r="A469" s="20"/>
      <c r="B469" s="20"/>
      <c r="C469" s="120" t="s">
        <v>27</v>
      </c>
      <c r="D469" s="121">
        <v>0.66</v>
      </c>
      <c r="E469" s="121">
        <v>645.0</v>
      </c>
      <c r="F469" s="121">
        <f>E469*D469</f>
        <v>425.7</v>
      </c>
      <c r="G469" s="120" t="s">
        <v>782</v>
      </c>
      <c r="H469" s="550"/>
      <c r="I469" s="550"/>
    </row>
    <row r="470">
      <c r="A470" s="127">
        <v>114.0</v>
      </c>
      <c r="B470" s="126"/>
      <c r="C470" s="123" t="s">
        <v>97</v>
      </c>
      <c r="D470" s="2"/>
      <c r="E470" s="3"/>
      <c r="F470" s="467"/>
      <c r="G470" s="3"/>
      <c r="H470" s="547"/>
      <c r="I470" s="547"/>
    </row>
    <row r="471">
      <c r="A471" s="20"/>
      <c r="B471" s="20"/>
      <c r="C471" s="120" t="s">
        <v>27</v>
      </c>
      <c r="D471" s="121">
        <v>0.66</v>
      </c>
      <c r="E471" s="121">
        <v>645.0</v>
      </c>
      <c r="F471" s="121">
        <f>D471*E471</f>
        <v>425.7</v>
      </c>
      <c r="G471" s="120" t="s">
        <v>791</v>
      </c>
      <c r="H471" s="550"/>
      <c r="I471" s="550"/>
    </row>
    <row r="472">
      <c r="A472" s="127">
        <v>115.0</v>
      </c>
      <c r="B472" s="126"/>
      <c r="C472" s="123" t="s">
        <v>26</v>
      </c>
      <c r="D472" s="2"/>
      <c r="E472" s="3"/>
      <c r="F472" s="467"/>
      <c r="G472" s="3"/>
      <c r="H472" s="547"/>
      <c r="I472" s="547"/>
    </row>
    <row r="473">
      <c r="A473" s="20"/>
      <c r="B473" s="20"/>
      <c r="C473" s="120" t="s">
        <v>27</v>
      </c>
      <c r="D473" s="121">
        <v>0.66</v>
      </c>
      <c r="E473" s="121">
        <v>645.0</v>
      </c>
      <c r="F473" s="121">
        <f>D473*E473</f>
        <v>425.7</v>
      </c>
      <c r="G473" s="120" t="s">
        <v>1885</v>
      </c>
      <c r="H473" s="550"/>
      <c r="I473" s="550"/>
    </row>
    <row r="474">
      <c r="A474" s="129" t="s">
        <v>1886</v>
      </c>
      <c r="B474" s="2"/>
      <c r="C474" s="3"/>
      <c r="D474" s="121">
        <v>10.0</v>
      </c>
      <c r="E474" s="130" t="s">
        <v>22</v>
      </c>
      <c r="F474" s="121">
        <f>F473+F471+F469+F467</f>
        <v>1473.1</v>
      </c>
      <c r="G474" s="131"/>
      <c r="H474" s="547"/>
      <c r="I474" s="547"/>
    </row>
    <row r="475">
      <c r="A475" s="129" t="s">
        <v>800</v>
      </c>
      <c r="B475" s="2"/>
      <c r="C475" s="3"/>
      <c r="D475" s="121">
        <v>1.0</v>
      </c>
      <c r="E475" s="130" t="s">
        <v>22</v>
      </c>
      <c r="F475" s="121">
        <f>F474/10</f>
        <v>147.31</v>
      </c>
      <c r="G475" s="131"/>
      <c r="H475" s="547"/>
      <c r="I475" s="547"/>
    </row>
    <row r="476">
      <c r="A476" s="133" t="s">
        <v>802</v>
      </c>
      <c r="B476" s="2"/>
      <c r="C476" s="2"/>
      <c r="D476" s="3"/>
      <c r="E476" s="121"/>
      <c r="F476" s="121">
        <f>F475*1%</f>
        <v>1.4731</v>
      </c>
      <c r="G476" s="131"/>
      <c r="H476" s="547"/>
      <c r="I476" s="547"/>
    </row>
    <row r="477">
      <c r="A477" s="133" t="s">
        <v>42</v>
      </c>
      <c r="B477" s="2"/>
      <c r="C477" s="2"/>
      <c r="D477" s="3"/>
      <c r="E477" s="131"/>
      <c r="F477" s="121">
        <f>F475+F476</f>
        <v>148.7831</v>
      </c>
      <c r="G477" s="131"/>
      <c r="H477" s="547"/>
      <c r="I477" s="547"/>
    </row>
    <row r="478">
      <c r="A478" s="133" t="s">
        <v>806</v>
      </c>
      <c r="B478" s="2"/>
      <c r="C478" s="2"/>
      <c r="D478" s="3"/>
      <c r="E478" s="121"/>
      <c r="F478" s="121">
        <f>F477*15%</f>
        <v>22.317465</v>
      </c>
      <c r="G478" s="131"/>
      <c r="H478" s="547"/>
      <c r="I478" s="547"/>
    </row>
    <row r="479">
      <c r="A479" s="133" t="s">
        <v>42</v>
      </c>
      <c r="B479" s="2"/>
      <c r="C479" s="2"/>
      <c r="D479" s="3"/>
      <c r="E479" s="131"/>
      <c r="F479" s="300">
        <f>round(F477+F478,2)</f>
        <v>171.1</v>
      </c>
      <c r="G479" s="131"/>
      <c r="H479" s="547"/>
      <c r="I479" s="547"/>
    </row>
    <row r="480">
      <c r="A480" s="455" t="str">
        <f>CONCATENATE("Say ₹ ",F464," + ",F479," x Cost Index")</f>
        <v>Say ₹ 115.86 + 171.1 x Cost Index</v>
      </c>
      <c r="B480" s="2"/>
      <c r="C480" s="2"/>
      <c r="D480" s="2"/>
      <c r="E480" s="2"/>
      <c r="F480" s="2"/>
      <c r="G480" s="3"/>
      <c r="H480" s="374">
        <f>((F458*1.01*1.15)/10)</f>
        <v>115.859625</v>
      </c>
      <c r="I480" s="374">
        <f>((SUM(F467,F469,F471,F473)*1.01*1.15)/10)</f>
        <v>171.100565</v>
      </c>
    </row>
    <row r="481">
      <c r="A481" s="111" t="s">
        <v>742</v>
      </c>
      <c r="B481" s="111" t="s">
        <v>745</v>
      </c>
      <c r="C481" s="112" t="s">
        <v>6</v>
      </c>
      <c r="D481" s="2"/>
      <c r="E481" s="3"/>
      <c r="F481" s="112" t="s">
        <v>746</v>
      </c>
      <c r="G481" s="3"/>
      <c r="H481" s="545"/>
      <c r="I481" s="545"/>
    </row>
    <row r="482">
      <c r="A482" s="20"/>
      <c r="B482" s="20"/>
      <c r="C482" s="115" t="s">
        <v>8</v>
      </c>
      <c r="D482" s="115" t="s">
        <v>9</v>
      </c>
      <c r="E482" s="115" t="s">
        <v>358</v>
      </c>
      <c r="F482" s="115" t="s">
        <v>11</v>
      </c>
      <c r="G482" s="115" t="s">
        <v>751</v>
      </c>
      <c r="H482" s="545"/>
      <c r="I482" s="545"/>
    </row>
    <row r="483">
      <c r="A483" s="118" t="s">
        <v>2081</v>
      </c>
      <c r="B483" s="2"/>
      <c r="C483" s="2"/>
      <c r="D483" s="2"/>
      <c r="E483" s="2"/>
      <c r="F483" s="2"/>
      <c r="G483" s="3"/>
      <c r="H483" s="546"/>
      <c r="I483" s="546"/>
    </row>
    <row r="484">
      <c r="A484" s="119"/>
      <c r="B484" s="120" t="s">
        <v>754</v>
      </c>
      <c r="C484" s="120" t="s">
        <v>22</v>
      </c>
      <c r="D484" s="120" t="s">
        <v>757</v>
      </c>
      <c r="E484" s="121">
        <v>10.0</v>
      </c>
      <c r="F484" s="467"/>
      <c r="G484" s="3"/>
      <c r="H484" s="547"/>
      <c r="I484" s="547"/>
    </row>
    <row r="485">
      <c r="A485" s="120" t="s">
        <v>761</v>
      </c>
      <c r="B485" s="123" t="s">
        <v>2085</v>
      </c>
      <c r="C485" s="2"/>
      <c r="D485" s="2"/>
      <c r="E485" s="2"/>
      <c r="F485" s="2"/>
      <c r="G485" s="3"/>
      <c r="H485" s="548"/>
      <c r="I485" s="548"/>
    </row>
    <row r="486">
      <c r="A486" s="124" t="s">
        <v>764</v>
      </c>
      <c r="B486" s="2"/>
      <c r="C486" s="2"/>
      <c r="D486" s="2"/>
      <c r="E486" s="2"/>
      <c r="F486" s="3"/>
      <c r="G486" s="125" t="s">
        <v>766</v>
      </c>
      <c r="H486" s="549"/>
      <c r="I486" s="549"/>
    </row>
    <row r="487">
      <c r="A487" s="126"/>
      <c r="B487" s="127" t="s">
        <v>1844</v>
      </c>
      <c r="C487" s="123" t="s">
        <v>2089</v>
      </c>
      <c r="D487" s="2"/>
      <c r="E487" s="3"/>
      <c r="F487" s="467"/>
      <c r="G487" s="3"/>
      <c r="H487" s="547"/>
      <c r="I487" s="547"/>
    </row>
    <row r="488">
      <c r="A488" s="20"/>
      <c r="B488" s="20"/>
      <c r="C488" s="120" t="s">
        <v>22</v>
      </c>
      <c r="D488" s="121">
        <v>10.5</v>
      </c>
      <c r="E488" s="121">
        <v>211.0</v>
      </c>
      <c r="F488" s="121">
        <f>E488*D488</f>
        <v>2215.5</v>
      </c>
      <c r="G488" s="120" t="s">
        <v>772</v>
      </c>
      <c r="H488" s="550"/>
      <c r="I488" s="550"/>
    </row>
    <row r="489">
      <c r="A489" s="129" t="s">
        <v>1116</v>
      </c>
      <c r="B489" s="2"/>
      <c r="C489" s="3"/>
      <c r="D489" s="121">
        <v>10.0</v>
      </c>
      <c r="E489" s="130" t="s">
        <v>22</v>
      </c>
      <c r="F489" s="121">
        <f>F488</f>
        <v>2215.5</v>
      </c>
      <c r="G489" s="508"/>
      <c r="H489" s="291"/>
      <c r="I489" s="291"/>
    </row>
    <row r="490">
      <c r="A490" s="129" t="s">
        <v>800</v>
      </c>
      <c r="B490" s="2"/>
      <c r="C490" s="3"/>
      <c r="D490" s="121">
        <v>1.0</v>
      </c>
      <c r="E490" s="130" t="s">
        <v>22</v>
      </c>
      <c r="F490" s="121">
        <f>F489/10</f>
        <v>221.55</v>
      </c>
      <c r="G490" s="508"/>
      <c r="H490" s="291"/>
      <c r="I490" s="291"/>
    </row>
    <row r="491">
      <c r="A491" s="133" t="s">
        <v>802</v>
      </c>
      <c r="B491" s="2"/>
      <c r="C491" s="2"/>
      <c r="D491" s="3"/>
      <c r="E491" s="121"/>
      <c r="F491" s="121">
        <f>F490*1%</f>
        <v>2.2155</v>
      </c>
      <c r="G491" s="508"/>
      <c r="H491" s="291"/>
      <c r="I491" s="291"/>
    </row>
    <row r="492">
      <c r="A492" s="133" t="s">
        <v>42</v>
      </c>
      <c r="B492" s="2"/>
      <c r="C492" s="2"/>
      <c r="D492" s="3"/>
      <c r="E492" s="131"/>
      <c r="F492" s="121">
        <f>F490+F491</f>
        <v>223.7655</v>
      </c>
      <c r="G492" s="508"/>
      <c r="H492" s="291"/>
      <c r="I492" s="291"/>
    </row>
    <row r="493">
      <c r="A493" s="133" t="s">
        <v>806</v>
      </c>
      <c r="B493" s="2"/>
      <c r="C493" s="2"/>
      <c r="D493" s="3"/>
      <c r="E493" s="121"/>
      <c r="F493" s="121">
        <f>F492*15%</f>
        <v>33.564825</v>
      </c>
      <c r="G493" s="508"/>
      <c r="H493" s="291"/>
      <c r="I493" s="291"/>
    </row>
    <row r="494">
      <c r="A494" s="133" t="s">
        <v>42</v>
      </c>
      <c r="B494" s="2"/>
      <c r="C494" s="2"/>
      <c r="D494" s="3"/>
      <c r="E494" s="131"/>
      <c r="F494" s="300">
        <f>round(F492+F493,2)</f>
        <v>257.33</v>
      </c>
      <c r="G494" s="508"/>
      <c r="H494" s="291"/>
      <c r="I494" s="291"/>
    </row>
    <row r="495">
      <c r="A495" s="124" t="s">
        <v>777</v>
      </c>
      <c r="B495" s="2"/>
      <c r="C495" s="2"/>
      <c r="D495" s="2"/>
      <c r="E495" s="2"/>
      <c r="F495" s="3"/>
      <c r="G495" s="125" t="s">
        <v>778</v>
      </c>
      <c r="H495" s="549"/>
      <c r="I495" s="549"/>
    </row>
    <row r="496">
      <c r="A496" s="127">
        <v>116.0</v>
      </c>
      <c r="B496" s="126"/>
      <c r="C496" s="123" t="s">
        <v>535</v>
      </c>
      <c r="D496" s="2"/>
      <c r="E496" s="3"/>
      <c r="F496" s="467"/>
      <c r="G496" s="3"/>
      <c r="H496" s="547"/>
      <c r="I496" s="547"/>
    </row>
    <row r="497">
      <c r="A497" s="20"/>
      <c r="B497" s="20"/>
      <c r="C497" s="120" t="s">
        <v>27</v>
      </c>
      <c r="D497" s="121">
        <v>0.37</v>
      </c>
      <c r="E497" s="121">
        <v>784.0</v>
      </c>
      <c r="F497" s="121">
        <f>E497*D497</f>
        <v>290.08</v>
      </c>
      <c r="G497" s="120" t="s">
        <v>780</v>
      </c>
      <c r="H497" s="550"/>
      <c r="I497" s="550"/>
    </row>
    <row r="498">
      <c r="A498" s="127">
        <v>114.0</v>
      </c>
      <c r="B498" s="126"/>
      <c r="C498" s="123" t="s">
        <v>1892</v>
      </c>
      <c r="D498" s="2"/>
      <c r="E498" s="3"/>
      <c r="F498" s="467"/>
      <c r="G498" s="3"/>
      <c r="H498" s="547"/>
      <c r="I498" s="547"/>
    </row>
    <row r="499">
      <c r="A499" s="20"/>
      <c r="B499" s="20"/>
      <c r="C499" s="120" t="s">
        <v>27</v>
      </c>
      <c r="D499" s="121">
        <v>0.97</v>
      </c>
      <c r="E499" s="121">
        <v>645.0</v>
      </c>
      <c r="F499" s="121">
        <f>E499*D499</f>
        <v>625.65</v>
      </c>
      <c r="G499" s="120" t="s">
        <v>782</v>
      </c>
      <c r="H499" s="550"/>
      <c r="I499" s="550"/>
    </row>
    <row r="500">
      <c r="A500" s="127">
        <v>114.0</v>
      </c>
      <c r="B500" s="126"/>
      <c r="C500" s="123" t="s">
        <v>97</v>
      </c>
      <c r="D500" s="2"/>
      <c r="E500" s="3"/>
      <c r="F500" s="467"/>
      <c r="G500" s="3"/>
      <c r="H500" s="547"/>
      <c r="I500" s="547"/>
    </row>
    <row r="501">
      <c r="A501" s="20"/>
      <c r="B501" s="20"/>
      <c r="C501" s="120" t="s">
        <v>27</v>
      </c>
      <c r="D501" s="121">
        <v>0.8</v>
      </c>
      <c r="E501" s="121">
        <v>645.0</v>
      </c>
      <c r="F501" s="121">
        <f>D501*E501</f>
        <v>516</v>
      </c>
      <c r="G501" s="120" t="s">
        <v>791</v>
      </c>
      <c r="H501" s="550"/>
      <c r="I501" s="550"/>
    </row>
    <row r="502">
      <c r="A502" s="127">
        <v>115.0</v>
      </c>
      <c r="B502" s="126"/>
      <c r="C502" s="123" t="s">
        <v>26</v>
      </c>
      <c r="D502" s="2"/>
      <c r="E502" s="3"/>
      <c r="F502" s="467"/>
      <c r="G502" s="3"/>
      <c r="H502" s="547"/>
      <c r="I502" s="547"/>
    </row>
    <row r="503">
      <c r="A503" s="20"/>
      <c r="B503" s="20"/>
      <c r="C503" s="120" t="s">
        <v>27</v>
      </c>
      <c r="D503" s="121">
        <v>0.8</v>
      </c>
      <c r="E503" s="121">
        <v>645.0</v>
      </c>
      <c r="F503" s="121">
        <f>D503*E503</f>
        <v>516</v>
      </c>
      <c r="G503" s="120" t="s">
        <v>1885</v>
      </c>
      <c r="H503" s="550"/>
      <c r="I503" s="550"/>
    </row>
    <row r="504">
      <c r="A504" s="129" t="s">
        <v>1886</v>
      </c>
      <c r="B504" s="2"/>
      <c r="C504" s="3"/>
      <c r="D504" s="121">
        <v>10.0</v>
      </c>
      <c r="E504" s="130" t="s">
        <v>22</v>
      </c>
      <c r="F504" s="121">
        <f>F503+F501+F499+F497</f>
        <v>1947.73</v>
      </c>
      <c r="G504" s="131"/>
      <c r="H504" s="547"/>
      <c r="I504" s="547"/>
    </row>
    <row r="505">
      <c r="A505" s="129" t="s">
        <v>800</v>
      </c>
      <c r="B505" s="2"/>
      <c r="C505" s="3"/>
      <c r="D505" s="121">
        <v>1.0</v>
      </c>
      <c r="E505" s="130" t="s">
        <v>22</v>
      </c>
      <c r="F505" s="121">
        <f>F504/10</f>
        <v>194.773</v>
      </c>
      <c r="G505" s="131"/>
      <c r="H505" s="547"/>
      <c r="I505" s="547"/>
    </row>
    <row r="506">
      <c r="A506" s="133" t="s">
        <v>802</v>
      </c>
      <c r="B506" s="2"/>
      <c r="C506" s="2"/>
      <c r="D506" s="3"/>
      <c r="E506" s="121"/>
      <c r="F506" s="121">
        <f>F505*1%</f>
        <v>1.94773</v>
      </c>
      <c r="G506" s="131"/>
      <c r="H506" s="547"/>
      <c r="I506" s="547"/>
    </row>
    <row r="507">
      <c r="A507" s="133" t="s">
        <v>42</v>
      </c>
      <c r="B507" s="2"/>
      <c r="C507" s="2"/>
      <c r="D507" s="3"/>
      <c r="E507" s="131"/>
      <c r="F507" s="121">
        <f>F505+F506</f>
        <v>196.72073</v>
      </c>
      <c r="G507" s="131"/>
      <c r="H507" s="547"/>
      <c r="I507" s="547"/>
    </row>
    <row r="508">
      <c r="A508" s="133" t="s">
        <v>806</v>
      </c>
      <c r="B508" s="2"/>
      <c r="C508" s="2"/>
      <c r="D508" s="3"/>
      <c r="E508" s="121"/>
      <c r="F508" s="121">
        <f>F507*15%</f>
        <v>29.5081095</v>
      </c>
      <c r="G508" s="131"/>
      <c r="H508" s="547"/>
      <c r="I508" s="547"/>
    </row>
    <row r="509">
      <c r="A509" s="133" t="s">
        <v>42</v>
      </c>
      <c r="B509" s="2"/>
      <c r="C509" s="2"/>
      <c r="D509" s="3"/>
      <c r="E509" s="131"/>
      <c r="F509" s="300">
        <f>round(F507+F508,2)</f>
        <v>226.23</v>
      </c>
      <c r="G509" s="131"/>
      <c r="H509" s="547"/>
      <c r="I509" s="547"/>
    </row>
    <row r="510">
      <c r="A510" s="455" t="str">
        <f>CONCATENATE("Say ₹ ",F494," + ",F509," x Cost Index")</f>
        <v>Say ₹ 257.33 + 226.23 x Cost Index</v>
      </c>
      <c r="B510" s="2"/>
      <c r="C510" s="2"/>
      <c r="D510" s="2"/>
      <c r="E510" s="2"/>
      <c r="F510" s="2"/>
      <c r="G510" s="3"/>
      <c r="H510" s="374">
        <f>((F488*1.01*1.15)/10)</f>
        <v>257.330325</v>
      </c>
      <c r="I510" s="374">
        <f>((SUM(F497,F499,F501,F503)*1.01*1.15)/10)</f>
        <v>226.2288395</v>
      </c>
    </row>
    <row r="511">
      <c r="A511" s="111" t="s">
        <v>742</v>
      </c>
      <c r="B511" s="111" t="s">
        <v>745</v>
      </c>
      <c r="C511" s="112" t="s">
        <v>6</v>
      </c>
      <c r="D511" s="2"/>
      <c r="E511" s="3"/>
      <c r="F511" s="112" t="s">
        <v>746</v>
      </c>
      <c r="G511" s="3"/>
      <c r="H511" s="545"/>
      <c r="I511" s="545"/>
    </row>
    <row r="512">
      <c r="A512" s="20"/>
      <c r="B512" s="20"/>
      <c r="C512" s="115" t="s">
        <v>8</v>
      </c>
      <c r="D512" s="115" t="s">
        <v>9</v>
      </c>
      <c r="E512" s="115" t="s">
        <v>358</v>
      </c>
      <c r="F512" s="115" t="s">
        <v>11</v>
      </c>
      <c r="G512" s="115" t="s">
        <v>751</v>
      </c>
      <c r="H512" s="545"/>
      <c r="I512" s="545"/>
    </row>
    <row r="513">
      <c r="A513" s="118" t="s">
        <v>2096</v>
      </c>
      <c r="B513" s="2"/>
      <c r="C513" s="2"/>
      <c r="D513" s="2"/>
      <c r="E513" s="2"/>
      <c r="F513" s="2"/>
      <c r="G513" s="3"/>
      <c r="H513" s="546"/>
      <c r="I513" s="546"/>
    </row>
    <row r="514">
      <c r="A514" s="119"/>
      <c r="B514" s="120" t="s">
        <v>754</v>
      </c>
      <c r="C514" s="120" t="s">
        <v>22</v>
      </c>
      <c r="D514" s="120" t="s">
        <v>757</v>
      </c>
      <c r="E514" s="121">
        <v>10.0</v>
      </c>
      <c r="F514" s="467"/>
      <c r="G514" s="3"/>
      <c r="H514" s="547"/>
      <c r="I514" s="547"/>
    </row>
    <row r="515">
      <c r="A515" s="120" t="s">
        <v>761</v>
      </c>
      <c r="B515" s="123" t="s">
        <v>1745</v>
      </c>
      <c r="C515" s="2"/>
      <c r="D515" s="2"/>
      <c r="E515" s="2"/>
      <c r="F515" s="2"/>
      <c r="G515" s="3"/>
      <c r="H515" s="548"/>
      <c r="I515" s="548"/>
    </row>
    <row r="516">
      <c r="A516" s="124" t="s">
        <v>764</v>
      </c>
      <c r="B516" s="2"/>
      <c r="C516" s="2"/>
      <c r="D516" s="2"/>
      <c r="E516" s="2"/>
      <c r="F516" s="3"/>
      <c r="G516" s="125" t="s">
        <v>766</v>
      </c>
      <c r="H516" s="549"/>
      <c r="I516" s="549"/>
    </row>
    <row r="517">
      <c r="A517" s="126"/>
      <c r="B517" s="127" t="s">
        <v>812</v>
      </c>
      <c r="C517" s="123" t="s">
        <v>2097</v>
      </c>
      <c r="D517" s="2"/>
      <c r="E517" s="3"/>
      <c r="F517" s="467"/>
      <c r="G517" s="3"/>
      <c r="H517" s="547"/>
      <c r="I517" s="547"/>
    </row>
    <row r="518">
      <c r="A518" s="20"/>
      <c r="B518" s="20"/>
      <c r="C518" s="120" t="s">
        <v>22</v>
      </c>
      <c r="D518" s="121">
        <v>10.5</v>
      </c>
      <c r="E518" s="121">
        <v>170.0</v>
      </c>
      <c r="F518" s="121">
        <f>E518*D518</f>
        <v>1785</v>
      </c>
      <c r="G518" s="120" t="s">
        <v>772</v>
      </c>
      <c r="H518" s="550"/>
      <c r="I518" s="550"/>
    </row>
    <row r="519">
      <c r="A519" s="129" t="s">
        <v>1116</v>
      </c>
      <c r="B519" s="2"/>
      <c r="C519" s="3"/>
      <c r="D519" s="121">
        <v>10.0</v>
      </c>
      <c r="E519" s="130" t="s">
        <v>22</v>
      </c>
      <c r="F519" s="121">
        <f>F518</f>
        <v>1785</v>
      </c>
      <c r="G519" s="508"/>
      <c r="H519" s="291"/>
      <c r="I519" s="291"/>
    </row>
    <row r="520">
      <c r="A520" s="129" t="s">
        <v>800</v>
      </c>
      <c r="B520" s="2"/>
      <c r="C520" s="3"/>
      <c r="D520" s="121">
        <v>1.0</v>
      </c>
      <c r="E520" s="130" t="s">
        <v>22</v>
      </c>
      <c r="F520" s="121">
        <f>F519/10</f>
        <v>178.5</v>
      </c>
      <c r="G520" s="508"/>
      <c r="H520" s="291"/>
      <c r="I520" s="291"/>
    </row>
    <row r="521">
      <c r="A521" s="133" t="s">
        <v>802</v>
      </c>
      <c r="B521" s="2"/>
      <c r="C521" s="2"/>
      <c r="D521" s="3"/>
      <c r="E521" s="121"/>
      <c r="F521" s="121">
        <f>F520*1%</f>
        <v>1.785</v>
      </c>
      <c r="G521" s="508"/>
      <c r="H521" s="291"/>
      <c r="I521" s="291"/>
    </row>
    <row r="522">
      <c r="A522" s="133" t="s">
        <v>42</v>
      </c>
      <c r="B522" s="2"/>
      <c r="C522" s="2"/>
      <c r="D522" s="3"/>
      <c r="E522" s="131"/>
      <c r="F522" s="121">
        <f>F520+F521</f>
        <v>180.285</v>
      </c>
      <c r="G522" s="508"/>
      <c r="H522" s="291"/>
      <c r="I522" s="291"/>
    </row>
    <row r="523">
      <c r="A523" s="133" t="s">
        <v>806</v>
      </c>
      <c r="B523" s="2"/>
      <c r="C523" s="2"/>
      <c r="D523" s="3"/>
      <c r="E523" s="121"/>
      <c r="F523" s="121">
        <f>F522*15%</f>
        <v>27.04275</v>
      </c>
      <c r="G523" s="508"/>
      <c r="H523" s="291"/>
      <c r="I523" s="291"/>
    </row>
    <row r="524">
      <c r="A524" s="133" t="s">
        <v>42</v>
      </c>
      <c r="B524" s="2"/>
      <c r="C524" s="2"/>
      <c r="D524" s="3"/>
      <c r="E524" s="131"/>
      <c r="F524" s="300">
        <f>round(F522+F523,2)</f>
        <v>207.33</v>
      </c>
      <c r="G524" s="508"/>
      <c r="H524" s="291"/>
      <c r="I524" s="291"/>
    </row>
    <row r="525">
      <c r="A525" s="124" t="s">
        <v>777</v>
      </c>
      <c r="B525" s="2"/>
      <c r="C525" s="2"/>
      <c r="D525" s="2"/>
      <c r="E525" s="2"/>
      <c r="F525" s="3"/>
      <c r="G525" s="125" t="s">
        <v>778</v>
      </c>
      <c r="H525" s="549"/>
      <c r="I525" s="549"/>
    </row>
    <row r="526">
      <c r="A526" s="127">
        <v>116.0</v>
      </c>
      <c r="B526" s="126"/>
      <c r="C526" s="123" t="s">
        <v>535</v>
      </c>
      <c r="D526" s="2"/>
      <c r="E526" s="3"/>
      <c r="F526" s="467"/>
      <c r="G526" s="3"/>
      <c r="H526" s="547"/>
      <c r="I526" s="547"/>
    </row>
    <row r="527">
      <c r="A527" s="20"/>
      <c r="B527" s="20"/>
      <c r="C527" s="120" t="s">
        <v>27</v>
      </c>
      <c r="D527" s="121">
        <v>0.37</v>
      </c>
      <c r="E527" s="121">
        <v>784.0</v>
      </c>
      <c r="F527" s="121">
        <f>E527*D527</f>
        <v>290.08</v>
      </c>
      <c r="G527" s="120" t="s">
        <v>780</v>
      </c>
      <c r="H527" s="550"/>
      <c r="I527" s="550"/>
    </row>
    <row r="528">
      <c r="A528" s="127">
        <v>114.0</v>
      </c>
      <c r="B528" s="126"/>
      <c r="C528" s="123" t="s">
        <v>1892</v>
      </c>
      <c r="D528" s="2"/>
      <c r="E528" s="3"/>
      <c r="F528" s="467"/>
      <c r="G528" s="3"/>
      <c r="H528" s="547"/>
      <c r="I528" s="547"/>
    </row>
    <row r="529">
      <c r="A529" s="20"/>
      <c r="B529" s="20"/>
      <c r="C529" s="120" t="s">
        <v>27</v>
      </c>
      <c r="D529" s="121">
        <v>0.97</v>
      </c>
      <c r="E529" s="121">
        <v>645.0</v>
      </c>
      <c r="F529" s="121">
        <f>E529*D529</f>
        <v>625.65</v>
      </c>
      <c r="G529" s="120" t="s">
        <v>782</v>
      </c>
      <c r="H529" s="550"/>
      <c r="I529" s="550"/>
    </row>
    <row r="530">
      <c r="A530" s="127">
        <v>114.0</v>
      </c>
      <c r="B530" s="126"/>
      <c r="C530" s="123" t="s">
        <v>97</v>
      </c>
      <c r="D530" s="2"/>
      <c r="E530" s="3"/>
      <c r="F530" s="467"/>
      <c r="G530" s="3"/>
      <c r="H530" s="547"/>
      <c r="I530" s="547"/>
    </row>
    <row r="531">
      <c r="A531" s="20"/>
      <c r="B531" s="20"/>
      <c r="C531" s="120" t="s">
        <v>27</v>
      </c>
      <c r="D531" s="121">
        <v>0.8</v>
      </c>
      <c r="E531" s="121">
        <v>645.0</v>
      </c>
      <c r="F531" s="121">
        <f>D531*E531</f>
        <v>516</v>
      </c>
      <c r="G531" s="120" t="s">
        <v>791</v>
      </c>
      <c r="H531" s="550"/>
      <c r="I531" s="550"/>
    </row>
    <row r="532">
      <c r="A532" s="127">
        <v>115.0</v>
      </c>
      <c r="B532" s="126"/>
      <c r="C532" s="123" t="s">
        <v>26</v>
      </c>
      <c r="D532" s="2"/>
      <c r="E532" s="3"/>
      <c r="F532" s="467"/>
      <c r="G532" s="3"/>
      <c r="H532" s="547"/>
      <c r="I532" s="547"/>
    </row>
    <row r="533">
      <c r="A533" s="20"/>
      <c r="B533" s="20"/>
      <c r="C533" s="120" t="s">
        <v>27</v>
      </c>
      <c r="D533" s="121">
        <v>0.8</v>
      </c>
      <c r="E533" s="121">
        <v>645.0</v>
      </c>
      <c r="F533" s="121">
        <f>D533*E533</f>
        <v>516</v>
      </c>
      <c r="G533" s="120" t="s">
        <v>1885</v>
      </c>
      <c r="H533" s="550"/>
      <c r="I533" s="550"/>
    </row>
    <row r="534">
      <c r="A534" s="129" t="s">
        <v>1886</v>
      </c>
      <c r="B534" s="2"/>
      <c r="C534" s="3"/>
      <c r="D534" s="121">
        <v>10.0</v>
      </c>
      <c r="E534" s="130" t="s">
        <v>22</v>
      </c>
      <c r="F534" s="121">
        <f>F533+F531+F529+F527</f>
        <v>1947.73</v>
      </c>
      <c r="G534" s="131"/>
      <c r="H534" s="547"/>
      <c r="I534" s="547"/>
    </row>
    <row r="535">
      <c r="A535" s="129" t="s">
        <v>800</v>
      </c>
      <c r="B535" s="2"/>
      <c r="C535" s="3"/>
      <c r="D535" s="121">
        <v>1.0</v>
      </c>
      <c r="E535" s="130" t="s">
        <v>22</v>
      </c>
      <c r="F535" s="121">
        <f>F534/10</f>
        <v>194.773</v>
      </c>
      <c r="G535" s="131"/>
      <c r="H535" s="547"/>
      <c r="I535" s="547"/>
    </row>
    <row r="536">
      <c r="A536" s="133" t="s">
        <v>802</v>
      </c>
      <c r="B536" s="2"/>
      <c r="C536" s="2"/>
      <c r="D536" s="3"/>
      <c r="E536" s="121"/>
      <c r="F536" s="121">
        <f>F535*1%</f>
        <v>1.94773</v>
      </c>
      <c r="G536" s="131"/>
      <c r="H536" s="547"/>
      <c r="I536" s="547"/>
    </row>
    <row r="537">
      <c r="A537" s="133" t="s">
        <v>42</v>
      </c>
      <c r="B537" s="2"/>
      <c r="C537" s="2"/>
      <c r="D537" s="3"/>
      <c r="E537" s="131"/>
      <c r="F537" s="121">
        <f>F535+F536</f>
        <v>196.72073</v>
      </c>
      <c r="G537" s="131"/>
      <c r="H537" s="547"/>
      <c r="I537" s="547"/>
    </row>
    <row r="538">
      <c r="A538" s="133" t="s">
        <v>806</v>
      </c>
      <c r="B538" s="2"/>
      <c r="C538" s="2"/>
      <c r="D538" s="3"/>
      <c r="E538" s="121"/>
      <c r="F538" s="121">
        <f>F537*15%</f>
        <v>29.5081095</v>
      </c>
      <c r="G538" s="131"/>
      <c r="H538" s="547"/>
      <c r="I538" s="547"/>
    </row>
    <row r="539">
      <c r="A539" s="133" t="s">
        <v>42</v>
      </c>
      <c r="B539" s="2"/>
      <c r="C539" s="2"/>
      <c r="D539" s="3"/>
      <c r="E539" s="131"/>
      <c r="F539" s="300">
        <f>round(F537+F538,2)</f>
        <v>226.23</v>
      </c>
      <c r="G539" s="131"/>
      <c r="H539" s="547"/>
      <c r="I539" s="547"/>
    </row>
    <row r="540">
      <c r="A540" s="455" t="str">
        <f>CONCATENATE("Say ₹ ",F524," + ",F539," x Cost Index")</f>
        <v>Say ₹ 207.33 + 226.23 x Cost Index</v>
      </c>
      <c r="B540" s="2"/>
      <c r="C540" s="2"/>
      <c r="D540" s="2"/>
      <c r="E540" s="2"/>
      <c r="F540" s="2"/>
      <c r="G540" s="3"/>
      <c r="H540" s="374">
        <f>((F518*1.01*1.15)/10)</f>
        <v>207.32775</v>
      </c>
      <c r="I540" s="374">
        <f>((SUM(F527,F529,F531,F533)*1.01*1.15)/10)</f>
        <v>226.2288395</v>
      </c>
    </row>
    <row r="541">
      <c r="A541" s="111" t="s">
        <v>742</v>
      </c>
      <c r="B541" s="111" t="s">
        <v>745</v>
      </c>
      <c r="C541" s="112" t="s">
        <v>6</v>
      </c>
      <c r="D541" s="2"/>
      <c r="E541" s="3"/>
      <c r="F541" s="112" t="s">
        <v>746</v>
      </c>
      <c r="G541" s="3"/>
      <c r="H541" s="545"/>
      <c r="I541" s="545"/>
    </row>
    <row r="542">
      <c r="A542" s="20"/>
      <c r="B542" s="20"/>
      <c r="C542" s="115" t="s">
        <v>8</v>
      </c>
      <c r="D542" s="115" t="s">
        <v>9</v>
      </c>
      <c r="E542" s="115" t="s">
        <v>358</v>
      </c>
      <c r="F542" s="115" t="s">
        <v>11</v>
      </c>
      <c r="G542" s="115" t="s">
        <v>751</v>
      </c>
      <c r="H542" s="545"/>
      <c r="I542" s="545"/>
    </row>
    <row r="543">
      <c r="A543" s="118" t="s">
        <v>2105</v>
      </c>
      <c r="B543" s="2"/>
      <c r="C543" s="2"/>
      <c r="D543" s="2"/>
      <c r="E543" s="2"/>
      <c r="F543" s="2"/>
      <c r="G543" s="3"/>
      <c r="H543" s="546"/>
      <c r="I543" s="546"/>
    </row>
    <row r="544">
      <c r="A544" s="119"/>
      <c r="B544" s="120" t="s">
        <v>754</v>
      </c>
      <c r="C544" s="120" t="s">
        <v>22</v>
      </c>
      <c r="D544" s="120" t="s">
        <v>757</v>
      </c>
      <c r="E544" s="121">
        <v>10.0</v>
      </c>
      <c r="F544" s="467"/>
      <c r="G544" s="3"/>
      <c r="H544" s="547"/>
      <c r="I544" s="547"/>
    </row>
    <row r="545">
      <c r="A545" s="120" t="s">
        <v>761</v>
      </c>
      <c r="B545" s="123" t="s">
        <v>1745</v>
      </c>
      <c r="C545" s="2"/>
      <c r="D545" s="2"/>
      <c r="E545" s="2"/>
      <c r="F545" s="2"/>
      <c r="G545" s="3"/>
      <c r="H545" s="548"/>
      <c r="I545" s="548"/>
    </row>
    <row r="546">
      <c r="A546" s="124" t="s">
        <v>764</v>
      </c>
      <c r="B546" s="2"/>
      <c r="C546" s="2"/>
      <c r="D546" s="2"/>
      <c r="E546" s="2"/>
      <c r="F546" s="3"/>
      <c r="G546" s="125" t="s">
        <v>766</v>
      </c>
      <c r="H546" s="549"/>
      <c r="I546" s="549"/>
    </row>
    <row r="547">
      <c r="A547" s="126"/>
      <c r="B547" s="127" t="s">
        <v>1850</v>
      </c>
      <c r="C547" s="123" t="s">
        <v>2106</v>
      </c>
      <c r="D547" s="2"/>
      <c r="E547" s="3"/>
      <c r="F547" s="467"/>
      <c r="G547" s="3"/>
      <c r="H547" s="547"/>
      <c r="I547" s="547"/>
    </row>
    <row r="548">
      <c r="A548" s="20"/>
      <c r="B548" s="20"/>
      <c r="C548" s="120" t="s">
        <v>22</v>
      </c>
      <c r="D548" s="121">
        <v>10.5</v>
      </c>
      <c r="E548" s="121">
        <v>520.0</v>
      </c>
      <c r="F548" s="121">
        <f>E548*D548</f>
        <v>5460</v>
      </c>
      <c r="G548" s="120" t="s">
        <v>772</v>
      </c>
      <c r="H548" s="550"/>
      <c r="I548" s="550"/>
    </row>
    <row r="549">
      <c r="A549" s="129" t="s">
        <v>1116</v>
      </c>
      <c r="B549" s="2"/>
      <c r="C549" s="3"/>
      <c r="D549" s="121">
        <v>10.0</v>
      </c>
      <c r="E549" s="130" t="s">
        <v>22</v>
      </c>
      <c r="F549" s="121">
        <f>F548</f>
        <v>5460</v>
      </c>
      <c r="G549" s="508"/>
      <c r="H549" s="291"/>
      <c r="I549" s="291"/>
    </row>
    <row r="550">
      <c r="A550" s="129" t="s">
        <v>800</v>
      </c>
      <c r="B550" s="2"/>
      <c r="C550" s="3"/>
      <c r="D550" s="121">
        <v>1.0</v>
      </c>
      <c r="E550" s="130" t="s">
        <v>22</v>
      </c>
      <c r="F550" s="121">
        <f>F549/10</f>
        <v>546</v>
      </c>
      <c r="G550" s="508"/>
      <c r="H550" s="291"/>
      <c r="I550" s="291"/>
    </row>
    <row r="551">
      <c r="A551" s="133" t="s">
        <v>802</v>
      </c>
      <c r="B551" s="2"/>
      <c r="C551" s="2"/>
      <c r="D551" s="3"/>
      <c r="E551" s="121"/>
      <c r="F551" s="121">
        <f>F550*1%</f>
        <v>5.46</v>
      </c>
      <c r="G551" s="508"/>
      <c r="H551" s="291"/>
      <c r="I551" s="291"/>
    </row>
    <row r="552">
      <c r="A552" s="133" t="s">
        <v>42</v>
      </c>
      <c r="B552" s="2"/>
      <c r="C552" s="2"/>
      <c r="D552" s="3"/>
      <c r="E552" s="131"/>
      <c r="F552" s="121">
        <f>F550+F551</f>
        <v>551.46</v>
      </c>
      <c r="G552" s="508"/>
      <c r="H552" s="291"/>
      <c r="I552" s="291"/>
    </row>
    <row r="553">
      <c r="A553" s="133" t="s">
        <v>806</v>
      </c>
      <c r="B553" s="2"/>
      <c r="C553" s="2"/>
      <c r="D553" s="3"/>
      <c r="E553" s="121"/>
      <c r="F553" s="121">
        <f>F552*15%</f>
        <v>82.719</v>
      </c>
      <c r="G553" s="508"/>
      <c r="H553" s="291"/>
      <c r="I553" s="291"/>
    </row>
    <row r="554">
      <c r="A554" s="133" t="s">
        <v>42</v>
      </c>
      <c r="B554" s="2"/>
      <c r="C554" s="2"/>
      <c r="D554" s="3"/>
      <c r="E554" s="131"/>
      <c r="F554" s="300">
        <f>round(F552+F553,2)</f>
        <v>634.18</v>
      </c>
      <c r="G554" s="508"/>
      <c r="H554" s="291"/>
      <c r="I554" s="291"/>
    </row>
    <row r="555">
      <c r="A555" s="124" t="s">
        <v>777</v>
      </c>
      <c r="B555" s="2"/>
      <c r="C555" s="2"/>
      <c r="D555" s="2"/>
      <c r="E555" s="2"/>
      <c r="F555" s="3"/>
      <c r="G555" s="125" t="s">
        <v>778</v>
      </c>
      <c r="H555" s="549"/>
      <c r="I555" s="549"/>
    </row>
    <row r="556">
      <c r="A556" s="127">
        <v>116.0</v>
      </c>
      <c r="B556" s="126"/>
      <c r="C556" s="123" t="s">
        <v>535</v>
      </c>
      <c r="D556" s="2"/>
      <c r="E556" s="3"/>
      <c r="F556" s="467"/>
      <c r="G556" s="3"/>
      <c r="H556" s="547"/>
      <c r="I556" s="547"/>
    </row>
    <row r="557">
      <c r="A557" s="20"/>
      <c r="B557" s="20"/>
      <c r="C557" s="120" t="s">
        <v>27</v>
      </c>
      <c r="D557" s="121">
        <v>0.37</v>
      </c>
      <c r="E557" s="121">
        <v>784.0</v>
      </c>
      <c r="F557" s="121">
        <f>E557*D557</f>
        <v>290.08</v>
      </c>
      <c r="G557" s="120" t="s">
        <v>780</v>
      </c>
      <c r="H557" s="550"/>
      <c r="I557" s="550"/>
    </row>
    <row r="558">
      <c r="A558" s="127">
        <v>114.0</v>
      </c>
      <c r="B558" s="126"/>
      <c r="C558" s="123" t="s">
        <v>1882</v>
      </c>
      <c r="D558" s="2"/>
      <c r="E558" s="3"/>
      <c r="F558" s="467"/>
      <c r="G558" s="3"/>
      <c r="H558" s="547"/>
      <c r="I558" s="547"/>
    </row>
    <row r="559">
      <c r="A559" s="20"/>
      <c r="B559" s="20"/>
      <c r="C559" s="120" t="s">
        <v>27</v>
      </c>
      <c r="D559" s="121">
        <v>0.97</v>
      </c>
      <c r="E559" s="121">
        <v>645.0</v>
      </c>
      <c r="F559" s="121">
        <f>E559*D559</f>
        <v>625.65</v>
      </c>
      <c r="G559" s="120" t="s">
        <v>782</v>
      </c>
      <c r="H559" s="550"/>
      <c r="I559" s="550"/>
    </row>
    <row r="560">
      <c r="A560" s="127">
        <v>114.0</v>
      </c>
      <c r="B560" s="126"/>
      <c r="C560" s="123" t="s">
        <v>97</v>
      </c>
      <c r="D560" s="2"/>
      <c r="E560" s="3"/>
      <c r="F560" s="467"/>
      <c r="G560" s="3"/>
      <c r="H560" s="547"/>
      <c r="I560" s="547"/>
    </row>
    <row r="561">
      <c r="A561" s="20"/>
      <c r="B561" s="20"/>
      <c r="C561" s="120" t="s">
        <v>27</v>
      </c>
      <c r="D561" s="121">
        <v>0.8</v>
      </c>
      <c r="E561" s="121">
        <v>645.0</v>
      </c>
      <c r="F561" s="121">
        <f>D561*E561</f>
        <v>516</v>
      </c>
      <c r="G561" s="120" t="s">
        <v>791</v>
      </c>
      <c r="H561" s="550"/>
      <c r="I561" s="550"/>
    </row>
    <row r="562">
      <c r="A562" s="127">
        <v>115.0</v>
      </c>
      <c r="B562" s="126"/>
      <c r="C562" s="123" t="s">
        <v>26</v>
      </c>
      <c r="D562" s="2"/>
      <c r="E562" s="3"/>
      <c r="F562" s="467"/>
      <c r="G562" s="3"/>
      <c r="H562" s="547"/>
      <c r="I562" s="547"/>
    </row>
    <row r="563">
      <c r="A563" s="20"/>
      <c r="B563" s="20"/>
      <c r="C563" s="120" t="s">
        <v>27</v>
      </c>
      <c r="D563" s="121">
        <v>0.8</v>
      </c>
      <c r="E563" s="121">
        <v>645.0</v>
      </c>
      <c r="F563" s="121">
        <f>D563*E563</f>
        <v>516</v>
      </c>
      <c r="G563" s="120" t="s">
        <v>1885</v>
      </c>
      <c r="H563" s="550"/>
      <c r="I563" s="550"/>
    </row>
    <row r="564">
      <c r="A564" s="129" t="s">
        <v>1886</v>
      </c>
      <c r="B564" s="2"/>
      <c r="C564" s="3"/>
      <c r="D564" s="121">
        <v>10.0</v>
      </c>
      <c r="E564" s="130" t="s">
        <v>22</v>
      </c>
      <c r="F564" s="121">
        <f>F563+F561+F559+F557</f>
        <v>1947.73</v>
      </c>
      <c r="G564" s="131"/>
      <c r="H564" s="547"/>
      <c r="I564" s="547"/>
    </row>
    <row r="565">
      <c r="A565" s="129" t="s">
        <v>800</v>
      </c>
      <c r="B565" s="2"/>
      <c r="C565" s="3"/>
      <c r="D565" s="121">
        <v>1.0</v>
      </c>
      <c r="E565" s="130" t="s">
        <v>22</v>
      </c>
      <c r="F565" s="121">
        <f>F564/10</f>
        <v>194.773</v>
      </c>
      <c r="G565" s="131"/>
      <c r="H565" s="547"/>
      <c r="I565" s="547"/>
    </row>
    <row r="566">
      <c r="A566" s="133" t="s">
        <v>802</v>
      </c>
      <c r="B566" s="2"/>
      <c r="C566" s="2"/>
      <c r="D566" s="3"/>
      <c r="E566" s="121"/>
      <c r="F566" s="121">
        <f>F565*1%</f>
        <v>1.94773</v>
      </c>
      <c r="G566" s="131"/>
      <c r="H566" s="547"/>
      <c r="I566" s="547"/>
    </row>
    <row r="567">
      <c r="A567" s="133" t="s">
        <v>42</v>
      </c>
      <c r="B567" s="2"/>
      <c r="C567" s="2"/>
      <c r="D567" s="3"/>
      <c r="E567" s="131"/>
      <c r="F567" s="121">
        <f>F565+F566</f>
        <v>196.72073</v>
      </c>
      <c r="G567" s="131"/>
      <c r="H567" s="547"/>
      <c r="I567" s="547"/>
    </row>
    <row r="568">
      <c r="A568" s="133" t="s">
        <v>806</v>
      </c>
      <c r="B568" s="2"/>
      <c r="C568" s="2"/>
      <c r="D568" s="3"/>
      <c r="E568" s="121"/>
      <c r="F568" s="121">
        <f>F567*15%</f>
        <v>29.5081095</v>
      </c>
      <c r="G568" s="131"/>
      <c r="H568" s="547"/>
      <c r="I568" s="547"/>
    </row>
    <row r="569">
      <c r="A569" s="133" t="s">
        <v>42</v>
      </c>
      <c r="B569" s="2"/>
      <c r="C569" s="2"/>
      <c r="D569" s="3"/>
      <c r="E569" s="131"/>
      <c r="F569" s="300">
        <f>round(F567+F568,2)</f>
        <v>226.23</v>
      </c>
      <c r="G569" s="131"/>
      <c r="H569" s="547"/>
      <c r="I569" s="547"/>
    </row>
    <row r="570">
      <c r="A570" s="455" t="str">
        <f>CONCATENATE("Say ₹ ",F554," + ",F569," x Cost Index")</f>
        <v>Say ₹ 634.18 + 226.23 x Cost Index</v>
      </c>
      <c r="B570" s="2"/>
      <c r="C570" s="2"/>
      <c r="D570" s="2"/>
      <c r="E570" s="2"/>
      <c r="F570" s="2"/>
      <c r="G570" s="3"/>
      <c r="H570" s="374">
        <f>((F548*1.01*1.15)/10)</f>
        <v>634.179</v>
      </c>
      <c r="I570" s="374">
        <f>((SUM(F557,F559,F561,F563)*1.01*1.15)/10)</f>
        <v>226.2288395</v>
      </c>
    </row>
  </sheetData>
  <mergeCells count="798">
    <mergeCell ref="C7:E7"/>
    <mergeCell ref="F7:G7"/>
    <mergeCell ref="B1:B2"/>
    <mergeCell ref="C1:E1"/>
    <mergeCell ref="F1:G1"/>
    <mergeCell ref="A3:G3"/>
    <mergeCell ref="F4:G4"/>
    <mergeCell ref="B5:G5"/>
    <mergeCell ref="A6:F6"/>
    <mergeCell ref="A1:A2"/>
    <mergeCell ref="A7:A8"/>
    <mergeCell ref="B7:B8"/>
    <mergeCell ref="A9:C9"/>
    <mergeCell ref="A10:C10"/>
    <mergeCell ref="A11:D11"/>
    <mergeCell ref="A12:D12"/>
    <mergeCell ref="A13:D13"/>
    <mergeCell ref="A14:D14"/>
    <mergeCell ref="A15:F15"/>
    <mergeCell ref="A16:A17"/>
    <mergeCell ref="B16:B17"/>
    <mergeCell ref="C16:E16"/>
    <mergeCell ref="F16:G16"/>
    <mergeCell ref="C22:E22"/>
    <mergeCell ref="F22:G22"/>
    <mergeCell ref="A18:A19"/>
    <mergeCell ref="B18:B19"/>
    <mergeCell ref="C18:E18"/>
    <mergeCell ref="F18:G18"/>
    <mergeCell ref="B20:B21"/>
    <mergeCell ref="C20:E20"/>
    <mergeCell ref="F20:G20"/>
    <mergeCell ref="A20:A21"/>
    <mergeCell ref="A22:A23"/>
    <mergeCell ref="B22:B23"/>
    <mergeCell ref="A24:C24"/>
    <mergeCell ref="A25:C25"/>
    <mergeCell ref="A26:D26"/>
    <mergeCell ref="A27:D27"/>
    <mergeCell ref="F31:G31"/>
    <mergeCell ref="F34:G34"/>
    <mergeCell ref="A28:D28"/>
    <mergeCell ref="A29:D29"/>
    <mergeCell ref="A30:G30"/>
    <mergeCell ref="A31:A32"/>
    <mergeCell ref="B31:B32"/>
    <mergeCell ref="C31:E31"/>
    <mergeCell ref="A33:G33"/>
    <mergeCell ref="B35:G35"/>
    <mergeCell ref="A36:F36"/>
    <mergeCell ref="A37:A38"/>
    <mergeCell ref="B37:B38"/>
    <mergeCell ref="C37:E37"/>
    <mergeCell ref="F37:G37"/>
    <mergeCell ref="A39:C39"/>
    <mergeCell ref="B46:B47"/>
    <mergeCell ref="C46:E46"/>
    <mergeCell ref="F46:G46"/>
    <mergeCell ref="F48:G48"/>
    <mergeCell ref="C48:E48"/>
    <mergeCell ref="C50:E50"/>
    <mergeCell ref="F50:G50"/>
    <mergeCell ref="C52:E52"/>
    <mergeCell ref="F52:G52"/>
    <mergeCell ref="A40:C40"/>
    <mergeCell ref="A41:D41"/>
    <mergeCell ref="A42:D42"/>
    <mergeCell ref="A43:D43"/>
    <mergeCell ref="A44:D44"/>
    <mergeCell ref="A45:F45"/>
    <mergeCell ref="A46:A47"/>
    <mergeCell ref="A48:A49"/>
    <mergeCell ref="B48:B49"/>
    <mergeCell ref="A50:A51"/>
    <mergeCell ref="B50:B51"/>
    <mergeCell ref="A52:A53"/>
    <mergeCell ref="B52:B53"/>
    <mergeCell ref="A54:C54"/>
    <mergeCell ref="B61:B62"/>
    <mergeCell ref="C61:E61"/>
    <mergeCell ref="A55:C55"/>
    <mergeCell ref="A56:D56"/>
    <mergeCell ref="A57:D57"/>
    <mergeCell ref="A58:D58"/>
    <mergeCell ref="A59:D59"/>
    <mergeCell ref="A60:G60"/>
    <mergeCell ref="A61:A62"/>
    <mergeCell ref="C67:E67"/>
    <mergeCell ref="F67:G67"/>
    <mergeCell ref="F61:G61"/>
    <mergeCell ref="A63:G63"/>
    <mergeCell ref="F64:G64"/>
    <mergeCell ref="B65:G65"/>
    <mergeCell ref="A66:F66"/>
    <mergeCell ref="A67:A68"/>
    <mergeCell ref="B67:B68"/>
    <mergeCell ref="C76:E76"/>
    <mergeCell ref="F76:G76"/>
    <mergeCell ref="C78:E78"/>
    <mergeCell ref="F78:G78"/>
    <mergeCell ref="C80:E80"/>
    <mergeCell ref="F80:G80"/>
    <mergeCell ref="C82:E82"/>
    <mergeCell ref="F82:G82"/>
    <mergeCell ref="A69:C69"/>
    <mergeCell ref="A70:C70"/>
    <mergeCell ref="A71:D71"/>
    <mergeCell ref="A72:D72"/>
    <mergeCell ref="A73:D73"/>
    <mergeCell ref="A74:D74"/>
    <mergeCell ref="A75:F75"/>
    <mergeCell ref="A76:A77"/>
    <mergeCell ref="B76:B77"/>
    <mergeCell ref="A78:A79"/>
    <mergeCell ref="B78:B79"/>
    <mergeCell ref="A80:A81"/>
    <mergeCell ref="B80:B81"/>
    <mergeCell ref="A82:A83"/>
    <mergeCell ref="A89:D89"/>
    <mergeCell ref="A91:A92"/>
    <mergeCell ref="B91:B92"/>
    <mergeCell ref="C91:E91"/>
    <mergeCell ref="B82:B83"/>
    <mergeCell ref="A84:C84"/>
    <mergeCell ref="A85:C85"/>
    <mergeCell ref="A86:D86"/>
    <mergeCell ref="A87:D87"/>
    <mergeCell ref="A88:D88"/>
    <mergeCell ref="A90:G90"/>
    <mergeCell ref="C97:E97"/>
    <mergeCell ref="F97:G97"/>
    <mergeCell ref="F91:G91"/>
    <mergeCell ref="A93:G93"/>
    <mergeCell ref="F94:G94"/>
    <mergeCell ref="B95:G95"/>
    <mergeCell ref="A96:F96"/>
    <mergeCell ref="A97:A98"/>
    <mergeCell ref="B97:B98"/>
    <mergeCell ref="C106:E106"/>
    <mergeCell ref="F106:G106"/>
    <mergeCell ref="C108:E108"/>
    <mergeCell ref="F108:G108"/>
    <mergeCell ref="C110:E110"/>
    <mergeCell ref="F110:G110"/>
    <mergeCell ref="C112:E112"/>
    <mergeCell ref="F112:G112"/>
    <mergeCell ref="A99:C99"/>
    <mergeCell ref="A100:C100"/>
    <mergeCell ref="A101:D101"/>
    <mergeCell ref="A102:D102"/>
    <mergeCell ref="A103:D103"/>
    <mergeCell ref="A104:D104"/>
    <mergeCell ref="A105:F105"/>
    <mergeCell ref="A106:A107"/>
    <mergeCell ref="B106:B107"/>
    <mergeCell ref="A108:A109"/>
    <mergeCell ref="B108:B109"/>
    <mergeCell ref="A110:A111"/>
    <mergeCell ref="B110:B111"/>
    <mergeCell ref="A112:A113"/>
    <mergeCell ref="A119:D119"/>
    <mergeCell ref="A121:A122"/>
    <mergeCell ref="B121:B122"/>
    <mergeCell ref="C121:E121"/>
    <mergeCell ref="B112:B113"/>
    <mergeCell ref="A114:C114"/>
    <mergeCell ref="A115:C115"/>
    <mergeCell ref="A116:D116"/>
    <mergeCell ref="A117:D117"/>
    <mergeCell ref="A118:D118"/>
    <mergeCell ref="A120:G120"/>
    <mergeCell ref="C127:E127"/>
    <mergeCell ref="F127:G127"/>
    <mergeCell ref="F121:G121"/>
    <mergeCell ref="A123:G123"/>
    <mergeCell ref="F124:G124"/>
    <mergeCell ref="B125:G125"/>
    <mergeCell ref="A126:F126"/>
    <mergeCell ref="A127:A128"/>
    <mergeCell ref="B127:B128"/>
    <mergeCell ref="C136:E136"/>
    <mergeCell ref="F136:G136"/>
    <mergeCell ref="C138:E138"/>
    <mergeCell ref="F138:G138"/>
    <mergeCell ref="C140:E140"/>
    <mergeCell ref="F140:G140"/>
    <mergeCell ref="C142:E142"/>
    <mergeCell ref="F142:G142"/>
    <mergeCell ref="A129:C129"/>
    <mergeCell ref="A130:C130"/>
    <mergeCell ref="A131:D131"/>
    <mergeCell ref="A132:D132"/>
    <mergeCell ref="A133:D133"/>
    <mergeCell ref="A134:D134"/>
    <mergeCell ref="A135:F135"/>
    <mergeCell ref="A136:A137"/>
    <mergeCell ref="B136:B137"/>
    <mergeCell ref="A138:A139"/>
    <mergeCell ref="B138:B139"/>
    <mergeCell ref="A140:A141"/>
    <mergeCell ref="B140:B141"/>
    <mergeCell ref="A142:A143"/>
    <mergeCell ref="A149:D149"/>
    <mergeCell ref="A151:A152"/>
    <mergeCell ref="B151:B152"/>
    <mergeCell ref="C151:E151"/>
    <mergeCell ref="B142:B143"/>
    <mergeCell ref="A144:C144"/>
    <mergeCell ref="A145:C145"/>
    <mergeCell ref="A146:D146"/>
    <mergeCell ref="A147:D147"/>
    <mergeCell ref="A148:D148"/>
    <mergeCell ref="A150:G150"/>
    <mergeCell ref="C157:E157"/>
    <mergeCell ref="F157:G157"/>
    <mergeCell ref="F151:G151"/>
    <mergeCell ref="A153:G153"/>
    <mergeCell ref="F154:G154"/>
    <mergeCell ref="B155:G155"/>
    <mergeCell ref="A156:F156"/>
    <mergeCell ref="A157:A158"/>
    <mergeCell ref="B157:B158"/>
    <mergeCell ref="C166:E166"/>
    <mergeCell ref="F166:G166"/>
    <mergeCell ref="C168:E168"/>
    <mergeCell ref="F168:G168"/>
    <mergeCell ref="C170:E170"/>
    <mergeCell ref="F170:G170"/>
    <mergeCell ref="C172:E172"/>
    <mergeCell ref="F172:G172"/>
    <mergeCell ref="A159:C159"/>
    <mergeCell ref="A160:C160"/>
    <mergeCell ref="A161:D161"/>
    <mergeCell ref="A162:D162"/>
    <mergeCell ref="A163:D163"/>
    <mergeCell ref="A164:D164"/>
    <mergeCell ref="A165:F165"/>
    <mergeCell ref="A166:A167"/>
    <mergeCell ref="B166:B167"/>
    <mergeCell ref="A168:A169"/>
    <mergeCell ref="B168:B169"/>
    <mergeCell ref="A170:A171"/>
    <mergeCell ref="B170:B171"/>
    <mergeCell ref="A172:A173"/>
    <mergeCell ref="A179:D179"/>
    <mergeCell ref="A181:A182"/>
    <mergeCell ref="B181:B182"/>
    <mergeCell ref="C181:E181"/>
    <mergeCell ref="B172:B173"/>
    <mergeCell ref="A174:C174"/>
    <mergeCell ref="A175:C175"/>
    <mergeCell ref="A176:D176"/>
    <mergeCell ref="A177:D177"/>
    <mergeCell ref="A178:D178"/>
    <mergeCell ref="A180:G180"/>
    <mergeCell ref="C187:E187"/>
    <mergeCell ref="F187:G187"/>
    <mergeCell ref="F181:G181"/>
    <mergeCell ref="A183:G183"/>
    <mergeCell ref="F184:G184"/>
    <mergeCell ref="B185:G185"/>
    <mergeCell ref="A186:F186"/>
    <mergeCell ref="A187:A188"/>
    <mergeCell ref="B187:B188"/>
    <mergeCell ref="C196:E196"/>
    <mergeCell ref="F196:G196"/>
    <mergeCell ref="C198:E198"/>
    <mergeCell ref="F198:G198"/>
    <mergeCell ref="C200:E200"/>
    <mergeCell ref="F200:G200"/>
    <mergeCell ref="C202:E202"/>
    <mergeCell ref="F202:G202"/>
    <mergeCell ref="A189:C189"/>
    <mergeCell ref="A190:C190"/>
    <mergeCell ref="A191:D191"/>
    <mergeCell ref="A192:D192"/>
    <mergeCell ref="A193:D193"/>
    <mergeCell ref="A194:D194"/>
    <mergeCell ref="A195:F195"/>
    <mergeCell ref="A196:A197"/>
    <mergeCell ref="B196:B197"/>
    <mergeCell ref="A198:A199"/>
    <mergeCell ref="B198:B199"/>
    <mergeCell ref="A200:A201"/>
    <mergeCell ref="B200:B201"/>
    <mergeCell ref="A202:A203"/>
    <mergeCell ref="A419:D419"/>
    <mergeCell ref="A421:A422"/>
    <mergeCell ref="B421:B422"/>
    <mergeCell ref="C421:E421"/>
    <mergeCell ref="B412:B413"/>
    <mergeCell ref="A414:C414"/>
    <mergeCell ref="A415:C415"/>
    <mergeCell ref="A416:D416"/>
    <mergeCell ref="A417:D417"/>
    <mergeCell ref="A418:D418"/>
    <mergeCell ref="A420:G420"/>
    <mergeCell ref="C427:E427"/>
    <mergeCell ref="F427:G427"/>
    <mergeCell ref="F421:G421"/>
    <mergeCell ref="A423:G423"/>
    <mergeCell ref="F424:G424"/>
    <mergeCell ref="B425:G425"/>
    <mergeCell ref="A426:F426"/>
    <mergeCell ref="A427:A428"/>
    <mergeCell ref="B427:B428"/>
    <mergeCell ref="C436:E436"/>
    <mergeCell ref="F436:G436"/>
    <mergeCell ref="C438:E438"/>
    <mergeCell ref="F438:G438"/>
    <mergeCell ref="C440:E440"/>
    <mergeCell ref="F440:G440"/>
    <mergeCell ref="C442:E442"/>
    <mergeCell ref="F442:G442"/>
    <mergeCell ref="A429:C429"/>
    <mergeCell ref="A430:C430"/>
    <mergeCell ref="A431:D431"/>
    <mergeCell ref="A432:D432"/>
    <mergeCell ref="A433:D433"/>
    <mergeCell ref="A434:D434"/>
    <mergeCell ref="A435:F435"/>
    <mergeCell ref="A436:A437"/>
    <mergeCell ref="B436:B437"/>
    <mergeCell ref="A438:A439"/>
    <mergeCell ref="B438:B439"/>
    <mergeCell ref="A440:A441"/>
    <mergeCell ref="B440:B441"/>
    <mergeCell ref="A442:A443"/>
    <mergeCell ref="A449:D449"/>
    <mergeCell ref="A451:A452"/>
    <mergeCell ref="B451:B452"/>
    <mergeCell ref="C451:E451"/>
    <mergeCell ref="B442:B443"/>
    <mergeCell ref="A444:C444"/>
    <mergeCell ref="A445:C445"/>
    <mergeCell ref="A446:D446"/>
    <mergeCell ref="A447:D447"/>
    <mergeCell ref="A448:D448"/>
    <mergeCell ref="A450:G450"/>
    <mergeCell ref="C457:E457"/>
    <mergeCell ref="F457:G457"/>
    <mergeCell ref="F451:G451"/>
    <mergeCell ref="A453:G453"/>
    <mergeCell ref="F454:G454"/>
    <mergeCell ref="B455:G455"/>
    <mergeCell ref="A456:F456"/>
    <mergeCell ref="A457:A458"/>
    <mergeCell ref="B457:B458"/>
    <mergeCell ref="C466:E466"/>
    <mergeCell ref="F466:G466"/>
    <mergeCell ref="C468:E468"/>
    <mergeCell ref="F468:G468"/>
    <mergeCell ref="C470:E470"/>
    <mergeCell ref="F470:G470"/>
    <mergeCell ref="C472:E472"/>
    <mergeCell ref="F472:G472"/>
    <mergeCell ref="A459:C459"/>
    <mergeCell ref="A460:C460"/>
    <mergeCell ref="A461:D461"/>
    <mergeCell ref="A462:D462"/>
    <mergeCell ref="A463:D463"/>
    <mergeCell ref="A464:D464"/>
    <mergeCell ref="A465:F465"/>
    <mergeCell ref="A466:A467"/>
    <mergeCell ref="B466:B467"/>
    <mergeCell ref="A468:A469"/>
    <mergeCell ref="B468:B469"/>
    <mergeCell ref="A470:A471"/>
    <mergeCell ref="B470:B471"/>
    <mergeCell ref="A472:A473"/>
    <mergeCell ref="A479:D479"/>
    <mergeCell ref="A481:A482"/>
    <mergeCell ref="B481:B482"/>
    <mergeCell ref="C481:E481"/>
    <mergeCell ref="B472:B473"/>
    <mergeCell ref="A474:C474"/>
    <mergeCell ref="A475:C475"/>
    <mergeCell ref="A476:D476"/>
    <mergeCell ref="A477:D477"/>
    <mergeCell ref="A478:D478"/>
    <mergeCell ref="A480:G480"/>
    <mergeCell ref="C487:E487"/>
    <mergeCell ref="F487:G487"/>
    <mergeCell ref="F481:G481"/>
    <mergeCell ref="A483:G483"/>
    <mergeCell ref="F484:G484"/>
    <mergeCell ref="B485:G485"/>
    <mergeCell ref="A486:F486"/>
    <mergeCell ref="A487:A488"/>
    <mergeCell ref="B487:B488"/>
    <mergeCell ref="C496:E496"/>
    <mergeCell ref="F496:G496"/>
    <mergeCell ref="C498:E498"/>
    <mergeCell ref="F498:G498"/>
    <mergeCell ref="C500:E500"/>
    <mergeCell ref="F500:G500"/>
    <mergeCell ref="C502:E502"/>
    <mergeCell ref="F502:G502"/>
    <mergeCell ref="A489:C489"/>
    <mergeCell ref="A490:C490"/>
    <mergeCell ref="A491:D491"/>
    <mergeCell ref="A492:D492"/>
    <mergeCell ref="A493:D493"/>
    <mergeCell ref="A494:D494"/>
    <mergeCell ref="A495:F495"/>
    <mergeCell ref="A496:A497"/>
    <mergeCell ref="B496:B497"/>
    <mergeCell ref="A498:A499"/>
    <mergeCell ref="B498:B499"/>
    <mergeCell ref="A500:A501"/>
    <mergeCell ref="B500:B501"/>
    <mergeCell ref="A502:A503"/>
    <mergeCell ref="A539:D539"/>
    <mergeCell ref="A541:A542"/>
    <mergeCell ref="B541:B542"/>
    <mergeCell ref="C541:E541"/>
    <mergeCell ref="B532:B533"/>
    <mergeCell ref="A534:C534"/>
    <mergeCell ref="A535:C535"/>
    <mergeCell ref="A536:D536"/>
    <mergeCell ref="A537:D537"/>
    <mergeCell ref="A538:D538"/>
    <mergeCell ref="A540:G540"/>
    <mergeCell ref="C547:E547"/>
    <mergeCell ref="F547:G547"/>
    <mergeCell ref="F541:G541"/>
    <mergeCell ref="A543:G543"/>
    <mergeCell ref="F544:G544"/>
    <mergeCell ref="B545:G545"/>
    <mergeCell ref="A546:F546"/>
    <mergeCell ref="A547:A548"/>
    <mergeCell ref="B547:B548"/>
    <mergeCell ref="C556:E556"/>
    <mergeCell ref="F556:G556"/>
    <mergeCell ref="C558:E558"/>
    <mergeCell ref="F558:G558"/>
    <mergeCell ref="C560:E560"/>
    <mergeCell ref="F560:G560"/>
    <mergeCell ref="C562:E562"/>
    <mergeCell ref="F562:G562"/>
    <mergeCell ref="A549:C549"/>
    <mergeCell ref="A550:C550"/>
    <mergeCell ref="A551:D551"/>
    <mergeCell ref="A552:D552"/>
    <mergeCell ref="A553:D553"/>
    <mergeCell ref="A554:D554"/>
    <mergeCell ref="A555:F555"/>
    <mergeCell ref="B562:B563"/>
    <mergeCell ref="A564:C564"/>
    <mergeCell ref="A565:C565"/>
    <mergeCell ref="A566:D566"/>
    <mergeCell ref="A567:D567"/>
    <mergeCell ref="A568:D568"/>
    <mergeCell ref="A569:D569"/>
    <mergeCell ref="A570:G570"/>
    <mergeCell ref="A556:A557"/>
    <mergeCell ref="B556:B557"/>
    <mergeCell ref="A558:A559"/>
    <mergeCell ref="B558:B559"/>
    <mergeCell ref="A560:A561"/>
    <mergeCell ref="B560:B561"/>
    <mergeCell ref="A562:A563"/>
    <mergeCell ref="A509:D509"/>
    <mergeCell ref="A511:A512"/>
    <mergeCell ref="B511:B512"/>
    <mergeCell ref="C511:E511"/>
    <mergeCell ref="B502:B503"/>
    <mergeCell ref="A504:C504"/>
    <mergeCell ref="A505:C505"/>
    <mergeCell ref="A506:D506"/>
    <mergeCell ref="A507:D507"/>
    <mergeCell ref="A508:D508"/>
    <mergeCell ref="A510:G510"/>
    <mergeCell ref="C517:E517"/>
    <mergeCell ref="F517:G517"/>
    <mergeCell ref="F511:G511"/>
    <mergeCell ref="A513:G513"/>
    <mergeCell ref="F514:G514"/>
    <mergeCell ref="B515:G515"/>
    <mergeCell ref="A516:F516"/>
    <mergeCell ref="A517:A518"/>
    <mergeCell ref="B517:B518"/>
    <mergeCell ref="C526:E526"/>
    <mergeCell ref="F526:G526"/>
    <mergeCell ref="C528:E528"/>
    <mergeCell ref="F528:G528"/>
    <mergeCell ref="C530:E530"/>
    <mergeCell ref="F530:G530"/>
    <mergeCell ref="C532:E532"/>
    <mergeCell ref="F532:G532"/>
    <mergeCell ref="A519:C519"/>
    <mergeCell ref="A520:C520"/>
    <mergeCell ref="A521:D521"/>
    <mergeCell ref="A522:D522"/>
    <mergeCell ref="A523:D523"/>
    <mergeCell ref="A524:D524"/>
    <mergeCell ref="A525:F525"/>
    <mergeCell ref="A526:A527"/>
    <mergeCell ref="B526:B527"/>
    <mergeCell ref="A528:A529"/>
    <mergeCell ref="B528:B529"/>
    <mergeCell ref="A530:A531"/>
    <mergeCell ref="B530:B531"/>
    <mergeCell ref="A532:A533"/>
    <mergeCell ref="A209:D209"/>
    <mergeCell ref="A211:A212"/>
    <mergeCell ref="B211:B212"/>
    <mergeCell ref="C211:E211"/>
    <mergeCell ref="B202:B203"/>
    <mergeCell ref="A204:C204"/>
    <mergeCell ref="A205:C205"/>
    <mergeCell ref="A206:D206"/>
    <mergeCell ref="A207:D207"/>
    <mergeCell ref="A208:D208"/>
    <mergeCell ref="A210:G210"/>
    <mergeCell ref="C217:E217"/>
    <mergeCell ref="F217:G217"/>
    <mergeCell ref="F211:G211"/>
    <mergeCell ref="A213:G213"/>
    <mergeCell ref="F214:G214"/>
    <mergeCell ref="B215:G215"/>
    <mergeCell ref="A216:F216"/>
    <mergeCell ref="A217:A218"/>
    <mergeCell ref="B217:B218"/>
    <mergeCell ref="C226:E226"/>
    <mergeCell ref="F226:G226"/>
    <mergeCell ref="C228:E228"/>
    <mergeCell ref="F228:G228"/>
    <mergeCell ref="C230:E230"/>
    <mergeCell ref="F230:G230"/>
    <mergeCell ref="C232:E232"/>
    <mergeCell ref="F232:G232"/>
    <mergeCell ref="A219:C219"/>
    <mergeCell ref="A220:C220"/>
    <mergeCell ref="A221:D221"/>
    <mergeCell ref="A222:D222"/>
    <mergeCell ref="A223:D223"/>
    <mergeCell ref="A224:D224"/>
    <mergeCell ref="A225:F225"/>
    <mergeCell ref="A226:A227"/>
    <mergeCell ref="B226:B227"/>
    <mergeCell ref="A228:A229"/>
    <mergeCell ref="B228:B229"/>
    <mergeCell ref="A230:A231"/>
    <mergeCell ref="B230:B231"/>
    <mergeCell ref="A232:A233"/>
    <mergeCell ref="A239:D239"/>
    <mergeCell ref="A241:A242"/>
    <mergeCell ref="B241:B242"/>
    <mergeCell ref="C241:E241"/>
    <mergeCell ref="B232:B233"/>
    <mergeCell ref="A234:C234"/>
    <mergeCell ref="A235:C235"/>
    <mergeCell ref="A236:D236"/>
    <mergeCell ref="A237:D237"/>
    <mergeCell ref="A238:D238"/>
    <mergeCell ref="A240:G240"/>
    <mergeCell ref="C247:E247"/>
    <mergeCell ref="F247:G247"/>
    <mergeCell ref="F241:G241"/>
    <mergeCell ref="A243:G243"/>
    <mergeCell ref="F244:G244"/>
    <mergeCell ref="B245:G245"/>
    <mergeCell ref="A246:F246"/>
    <mergeCell ref="A247:A248"/>
    <mergeCell ref="B247:B248"/>
    <mergeCell ref="C256:E256"/>
    <mergeCell ref="F256:G256"/>
    <mergeCell ref="C258:E258"/>
    <mergeCell ref="F258:G258"/>
    <mergeCell ref="C260:E260"/>
    <mergeCell ref="F260:G260"/>
    <mergeCell ref="C262:E262"/>
    <mergeCell ref="F262:G262"/>
    <mergeCell ref="A249:C249"/>
    <mergeCell ref="A250:C250"/>
    <mergeCell ref="A251:D251"/>
    <mergeCell ref="A252:D252"/>
    <mergeCell ref="A253:D253"/>
    <mergeCell ref="A254:D254"/>
    <mergeCell ref="A255:F255"/>
    <mergeCell ref="A256:A257"/>
    <mergeCell ref="B256:B257"/>
    <mergeCell ref="A258:A259"/>
    <mergeCell ref="B258:B259"/>
    <mergeCell ref="A260:A261"/>
    <mergeCell ref="B260:B261"/>
    <mergeCell ref="A262:A263"/>
    <mergeCell ref="A269:D269"/>
    <mergeCell ref="A271:A272"/>
    <mergeCell ref="B271:B272"/>
    <mergeCell ref="C271:E271"/>
    <mergeCell ref="B262:B263"/>
    <mergeCell ref="A264:C264"/>
    <mergeCell ref="A265:C265"/>
    <mergeCell ref="A266:D266"/>
    <mergeCell ref="A267:D267"/>
    <mergeCell ref="A268:D268"/>
    <mergeCell ref="A270:G270"/>
    <mergeCell ref="C277:E277"/>
    <mergeCell ref="F277:G277"/>
    <mergeCell ref="F271:G271"/>
    <mergeCell ref="A273:G273"/>
    <mergeCell ref="F274:G274"/>
    <mergeCell ref="B275:G275"/>
    <mergeCell ref="A276:F276"/>
    <mergeCell ref="A277:A278"/>
    <mergeCell ref="B277:B278"/>
    <mergeCell ref="C286:E286"/>
    <mergeCell ref="F286:G286"/>
    <mergeCell ref="C288:E288"/>
    <mergeCell ref="F288:G288"/>
    <mergeCell ref="C290:E290"/>
    <mergeCell ref="F290:G290"/>
    <mergeCell ref="C292:E292"/>
    <mergeCell ref="F292:G292"/>
    <mergeCell ref="A279:C279"/>
    <mergeCell ref="A280:C280"/>
    <mergeCell ref="A281:D281"/>
    <mergeCell ref="A282:D282"/>
    <mergeCell ref="A283:D283"/>
    <mergeCell ref="A284:D284"/>
    <mergeCell ref="A285:F285"/>
    <mergeCell ref="A286:A287"/>
    <mergeCell ref="B286:B287"/>
    <mergeCell ref="A288:A289"/>
    <mergeCell ref="B288:B289"/>
    <mergeCell ref="A290:A291"/>
    <mergeCell ref="B290:B291"/>
    <mergeCell ref="A292:A293"/>
    <mergeCell ref="A299:D299"/>
    <mergeCell ref="A301:A302"/>
    <mergeCell ref="B301:B302"/>
    <mergeCell ref="C301:E301"/>
    <mergeCell ref="B292:B293"/>
    <mergeCell ref="A294:C294"/>
    <mergeCell ref="A295:C295"/>
    <mergeCell ref="A296:D296"/>
    <mergeCell ref="A297:D297"/>
    <mergeCell ref="A298:D298"/>
    <mergeCell ref="A300:G300"/>
    <mergeCell ref="C307:E307"/>
    <mergeCell ref="F307:G307"/>
    <mergeCell ref="F301:G301"/>
    <mergeCell ref="A303:G303"/>
    <mergeCell ref="F304:G304"/>
    <mergeCell ref="B305:G305"/>
    <mergeCell ref="A306:F306"/>
    <mergeCell ref="A307:A308"/>
    <mergeCell ref="B307:B308"/>
    <mergeCell ref="C316:E316"/>
    <mergeCell ref="F316:G316"/>
    <mergeCell ref="C318:E318"/>
    <mergeCell ref="F318:G318"/>
    <mergeCell ref="C320:E320"/>
    <mergeCell ref="F320:G320"/>
    <mergeCell ref="C322:E322"/>
    <mergeCell ref="F322:G322"/>
    <mergeCell ref="A309:C309"/>
    <mergeCell ref="A310:C310"/>
    <mergeCell ref="A311:D311"/>
    <mergeCell ref="A312:D312"/>
    <mergeCell ref="A313:D313"/>
    <mergeCell ref="A314:D314"/>
    <mergeCell ref="A315:F315"/>
    <mergeCell ref="A316:A317"/>
    <mergeCell ref="B316:B317"/>
    <mergeCell ref="A318:A319"/>
    <mergeCell ref="B318:B319"/>
    <mergeCell ref="A320:A321"/>
    <mergeCell ref="B320:B321"/>
    <mergeCell ref="A322:A323"/>
    <mergeCell ref="A329:D329"/>
    <mergeCell ref="A331:A332"/>
    <mergeCell ref="B331:B332"/>
    <mergeCell ref="C331:E331"/>
    <mergeCell ref="B322:B323"/>
    <mergeCell ref="A324:C324"/>
    <mergeCell ref="A325:C325"/>
    <mergeCell ref="A326:D326"/>
    <mergeCell ref="A327:D327"/>
    <mergeCell ref="A328:D328"/>
    <mergeCell ref="A330:G330"/>
    <mergeCell ref="C337:E337"/>
    <mergeCell ref="F337:G337"/>
    <mergeCell ref="F331:G331"/>
    <mergeCell ref="A333:G333"/>
    <mergeCell ref="F334:G334"/>
    <mergeCell ref="B335:G335"/>
    <mergeCell ref="A336:F336"/>
    <mergeCell ref="A337:A338"/>
    <mergeCell ref="B337:B338"/>
    <mergeCell ref="C346:E346"/>
    <mergeCell ref="F346:G346"/>
    <mergeCell ref="C348:E348"/>
    <mergeCell ref="F348:G348"/>
    <mergeCell ref="C350:E350"/>
    <mergeCell ref="F350:G350"/>
    <mergeCell ref="C352:E352"/>
    <mergeCell ref="F352:G352"/>
    <mergeCell ref="A339:C339"/>
    <mergeCell ref="A340:C340"/>
    <mergeCell ref="A341:D341"/>
    <mergeCell ref="A342:D342"/>
    <mergeCell ref="A343:D343"/>
    <mergeCell ref="A344:D344"/>
    <mergeCell ref="A345:F345"/>
    <mergeCell ref="A346:A347"/>
    <mergeCell ref="B346:B347"/>
    <mergeCell ref="A348:A349"/>
    <mergeCell ref="B348:B349"/>
    <mergeCell ref="A350:A351"/>
    <mergeCell ref="B350:B351"/>
    <mergeCell ref="A352:A353"/>
    <mergeCell ref="A359:D359"/>
    <mergeCell ref="A361:A362"/>
    <mergeCell ref="B361:B362"/>
    <mergeCell ref="C361:E361"/>
    <mergeCell ref="B352:B353"/>
    <mergeCell ref="A354:C354"/>
    <mergeCell ref="A355:C355"/>
    <mergeCell ref="A356:D356"/>
    <mergeCell ref="A357:D357"/>
    <mergeCell ref="A358:D358"/>
    <mergeCell ref="A360:G360"/>
    <mergeCell ref="C367:E367"/>
    <mergeCell ref="F367:G367"/>
    <mergeCell ref="F361:G361"/>
    <mergeCell ref="A363:G363"/>
    <mergeCell ref="F364:G364"/>
    <mergeCell ref="B365:G365"/>
    <mergeCell ref="A366:F366"/>
    <mergeCell ref="A367:A368"/>
    <mergeCell ref="B367:B368"/>
    <mergeCell ref="C376:E376"/>
    <mergeCell ref="F376:G376"/>
    <mergeCell ref="C378:E378"/>
    <mergeCell ref="F378:G378"/>
    <mergeCell ref="C380:E380"/>
    <mergeCell ref="F380:G380"/>
    <mergeCell ref="C382:E382"/>
    <mergeCell ref="F382:G382"/>
    <mergeCell ref="A369:C369"/>
    <mergeCell ref="A370:C370"/>
    <mergeCell ref="A371:D371"/>
    <mergeCell ref="A372:D372"/>
    <mergeCell ref="A373:D373"/>
    <mergeCell ref="A374:D374"/>
    <mergeCell ref="A375:F375"/>
    <mergeCell ref="A376:A377"/>
    <mergeCell ref="B376:B377"/>
    <mergeCell ref="A378:A379"/>
    <mergeCell ref="B378:B379"/>
    <mergeCell ref="A380:A381"/>
    <mergeCell ref="B380:B381"/>
    <mergeCell ref="A382:A383"/>
    <mergeCell ref="A389:D389"/>
    <mergeCell ref="A391:A392"/>
    <mergeCell ref="B391:B392"/>
    <mergeCell ref="C391:E391"/>
    <mergeCell ref="B382:B383"/>
    <mergeCell ref="A384:C384"/>
    <mergeCell ref="A385:C385"/>
    <mergeCell ref="A386:D386"/>
    <mergeCell ref="A387:D387"/>
    <mergeCell ref="A388:D388"/>
    <mergeCell ref="A390:G390"/>
    <mergeCell ref="C397:E397"/>
    <mergeCell ref="F397:G397"/>
    <mergeCell ref="F391:G391"/>
    <mergeCell ref="A393:G393"/>
    <mergeCell ref="F394:G394"/>
    <mergeCell ref="B395:G395"/>
    <mergeCell ref="A396:F396"/>
    <mergeCell ref="A397:A398"/>
    <mergeCell ref="B397:B398"/>
    <mergeCell ref="C406:E406"/>
    <mergeCell ref="F406:G406"/>
    <mergeCell ref="C408:E408"/>
    <mergeCell ref="F408:G408"/>
    <mergeCell ref="C410:E410"/>
    <mergeCell ref="F410:G410"/>
    <mergeCell ref="C412:E412"/>
    <mergeCell ref="F412:G412"/>
    <mergeCell ref="A399:C399"/>
    <mergeCell ref="A400:C400"/>
    <mergeCell ref="A401:D401"/>
    <mergeCell ref="A402:D402"/>
    <mergeCell ref="A403:D403"/>
    <mergeCell ref="A404:D404"/>
    <mergeCell ref="A405:F405"/>
    <mergeCell ref="A406:A407"/>
    <mergeCell ref="B406:B407"/>
    <mergeCell ref="A408:A409"/>
    <mergeCell ref="B408:B409"/>
    <mergeCell ref="A410:A411"/>
    <mergeCell ref="B410:B411"/>
    <mergeCell ref="A412:A413"/>
  </mergeCells>
  <printOptions/>
  <pageMargins bottom="0.75" footer="0.0" header="0.0" left="0.7" right="0.7" top="0.75"/>
  <pageSetup orientation="portrait"/>
  <drawing r:id="rId1"/>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7.86"/>
    <col customWidth="1" min="2" max="2" width="37.43"/>
    <col customWidth="1" min="3" max="3" width="7.71"/>
    <col customWidth="1" min="4" max="4" width="11.14"/>
    <col customWidth="1" min="5" max="5" width="8.0"/>
    <col customWidth="1" min="6" max="6" width="14.71"/>
  </cols>
  <sheetData>
    <row r="1">
      <c r="A1" s="1" t="s">
        <v>1889</v>
      </c>
      <c r="B1" s="2"/>
      <c r="C1" s="2"/>
      <c r="D1" s="2"/>
      <c r="E1" s="2"/>
      <c r="F1" s="3"/>
    </row>
    <row r="2">
      <c r="A2" s="155">
        <v>0.0</v>
      </c>
      <c r="B2" s="156" t="s">
        <v>1891</v>
      </c>
      <c r="C2" s="136"/>
      <c r="D2" s="136"/>
      <c r="E2" s="136"/>
      <c r="F2" s="137"/>
    </row>
    <row r="3">
      <c r="A3" s="155" t="s">
        <v>4</v>
      </c>
      <c r="B3" s="155" t="s">
        <v>6</v>
      </c>
      <c r="C3" s="155" t="s">
        <v>8</v>
      </c>
      <c r="D3" s="155" t="s">
        <v>9</v>
      </c>
      <c r="E3" s="155" t="s">
        <v>10</v>
      </c>
      <c r="F3" s="155" t="s">
        <v>11</v>
      </c>
    </row>
    <row r="4">
      <c r="A4" s="157"/>
      <c r="B4" s="158" t="s">
        <v>519</v>
      </c>
      <c r="C4" s="157"/>
      <c r="D4" s="157"/>
      <c r="E4" s="157"/>
      <c r="F4" s="157"/>
    </row>
    <row r="5">
      <c r="A5" s="140"/>
      <c r="B5" s="158" t="s">
        <v>838</v>
      </c>
      <c r="C5" s="140"/>
      <c r="D5" s="140"/>
      <c r="E5" s="140"/>
      <c r="F5" s="140"/>
    </row>
    <row r="6">
      <c r="A6" s="163" t="s">
        <v>18</v>
      </c>
      <c r="B6" s="161" t="s">
        <v>19</v>
      </c>
      <c r="C6" s="162" t="s">
        <v>22</v>
      </c>
      <c r="D6" s="162">
        <v>11.5</v>
      </c>
      <c r="E6" s="163">
        <f t="array" ref="E6">IFERROR(INDEX(LMRRates,MATCH(A6,LMRCodes,0), ), )</f>
        <v>281</v>
      </c>
      <c r="F6" s="166">
        <f>D6*E6</f>
        <v>3231.5</v>
      </c>
    </row>
    <row r="7">
      <c r="A7" s="140"/>
      <c r="B7" s="158" t="s">
        <v>915</v>
      </c>
      <c r="C7" s="140"/>
      <c r="D7" s="140"/>
      <c r="E7" s="140"/>
      <c r="F7" s="140"/>
    </row>
    <row r="8">
      <c r="A8" s="167"/>
      <c r="B8" s="168" t="s">
        <v>40</v>
      </c>
      <c r="C8" s="136"/>
      <c r="D8" s="136"/>
      <c r="E8" s="137"/>
      <c r="F8" s="170">
        <f>F6*0.01</f>
        <v>32.315</v>
      </c>
    </row>
    <row r="9">
      <c r="A9" s="167"/>
      <c r="B9" s="168" t="s">
        <v>42</v>
      </c>
      <c r="C9" s="136"/>
      <c r="D9" s="136"/>
      <c r="E9" s="137"/>
      <c r="F9" s="170">
        <f>SUM(F6:F8)</f>
        <v>3263.815</v>
      </c>
    </row>
    <row r="10">
      <c r="A10" s="167"/>
      <c r="B10" s="168" t="s">
        <v>47</v>
      </c>
      <c r="C10" s="136"/>
      <c r="D10" s="136"/>
      <c r="E10" s="137"/>
      <c r="F10" s="170">
        <f>F9*0.15</f>
        <v>489.57225</v>
      </c>
    </row>
    <row r="11">
      <c r="A11" s="167"/>
      <c r="B11" s="168" t="s">
        <v>42</v>
      </c>
      <c r="C11" s="136"/>
      <c r="D11" s="136"/>
      <c r="E11" s="137"/>
      <c r="F11" s="170">
        <f>SUM(F9:F10)</f>
        <v>3753.38725</v>
      </c>
    </row>
    <row r="12">
      <c r="A12" s="167"/>
      <c r="B12" s="168" t="s">
        <v>552</v>
      </c>
      <c r="C12" s="136"/>
      <c r="D12" s="136"/>
      <c r="E12" s="137"/>
      <c r="F12" s="170">
        <f>F11</f>
        <v>3753.38725</v>
      </c>
    </row>
    <row r="13">
      <c r="A13" s="167"/>
      <c r="B13" s="168" t="s">
        <v>76</v>
      </c>
      <c r="C13" s="136"/>
      <c r="D13" s="136"/>
      <c r="E13" s="137"/>
      <c r="F13" s="521">
        <f>round(F12/10,2)</f>
        <v>375.34</v>
      </c>
    </row>
    <row r="14">
      <c r="A14" s="167">
        <v>116.0</v>
      </c>
      <c r="B14" s="158" t="s">
        <v>535</v>
      </c>
      <c r="C14" s="167" t="s">
        <v>27</v>
      </c>
      <c r="D14" s="172">
        <v>0.37</v>
      </c>
      <c r="E14" s="172">
        <v>784.0</v>
      </c>
      <c r="F14" s="170">
        <f t="shared" ref="F14:F15" si="1">D14*E14</f>
        <v>290.08</v>
      </c>
    </row>
    <row r="15">
      <c r="A15" s="162">
        <v>114.0</v>
      </c>
      <c r="B15" s="158" t="s">
        <v>97</v>
      </c>
      <c r="C15" s="162" t="s">
        <v>27</v>
      </c>
      <c r="D15" s="163">
        <v>0.97</v>
      </c>
      <c r="E15" s="163">
        <v>645.0</v>
      </c>
      <c r="F15" s="566">
        <f t="shared" si="1"/>
        <v>625.65</v>
      </c>
    </row>
    <row r="16">
      <c r="A16" s="140"/>
      <c r="B16" s="158" t="s">
        <v>1894</v>
      </c>
      <c r="C16" s="140"/>
      <c r="D16" s="140"/>
      <c r="E16" s="140"/>
      <c r="F16" s="140"/>
    </row>
    <row r="17">
      <c r="A17" s="162">
        <v>114.0</v>
      </c>
      <c r="B17" s="157" t="s">
        <v>97</v>
      </c>
      <c r="C17" s="162" t="s">
        <v>27</v>
      </c>
      <c r="D17" s="163">
        <v>0.8</v>
      </c>
      <c r="E17" s="163">
        <v>645.0</v>
      </c>
      <c r="F17" s="566">
        <f t="shared" ref="F17:F18" si="2">D17*E17</f>
        <v>516</v>
      </c>
    </row>
    <row r="18">
      <c r="A18" s="568">
        <v>115.0</v>
      </c>
      <c r="B18" s="570" t="s">
        <v>26</v>
      </c>
      <c r="C18" s="568" t="s">
        <v>27</v>
      </c>
      <c r="D18" s="571">
        <v>0.8</v>
      </c>
      <c r="E18" s="571">
        <v>645.0</v>
      </c>
      <c r="F18" s="572">
        <f t="shared" si="2"/>
        <v>516</v>
      </c>
    </row>
    <row r="19">
      <c r="A19" s="570"/>
      <c r="B19" s="573" t="s">
        <v>31</v>
      </c>
      <c r="C19" s="574"/>
      <c r="D19" s="574"/>
      <c r="E19" s="575"/>
      <c r="F19" s="572">
        <f>SUM(F14:F18)</f>
        <v>1947.73</v>
      </c>
    </row>
    <row r="20">
      <c r="A20" s="570"/>
      <c r="B20" s="573" t="s">
        <v>40</v>
      </c>
      <c r="C20" s="574"/>
      <c r="D20" s="574"/>
      <c r="E20" s="575"/>
      <c r="F20" s="572">
        <f>F19*0.01</f>
        <v>19.4773</v>
      </c>
    </row>
    <row r="21">
      <c r="A21" s="570"/>
      <c r="B21" s="573" t="s">
        <v>42</v>
      </c>
      <c r="C21" s="574"/>
      <c r="D21" s="574"/>
      <c r="E21" s="575"/>
      <c r="F21" s="572">
        <f>SUM(F19:F20)</f>
        <v>1967.2073</v>
      </c>
    </row>
    <row r="22">
      <c r="A22" s="570"/>
      <c r="B22" s="573" t="s">
        <v>47</v>
      </c>
      <c r="C22" s="574"/>
      <c r="D22" s="574"/>
      <c r="E22" s="575"/>
      <c r="F22" s="572">
        <f>F21*0.15</f>
        <v>295.081095</v>
      </c>
    </row>
    <row r="23">
      <c r="A23" s="570"/>
      <c r="B23" s="573" t="s">
        <v>42</v>
      </c>
      <c r="C23" s="574"/>
      <c r="D23" s="574"/>
      <c r="E23" s="575"/>
      <c r="F23" s="572">
        <f>SUM(F21:F22)</f>
        <v>2262.288395</v>
      </c>
    </row>
    <row r="24">
      <c r="A24" s="570"/>
      <c r="B24" s="573" t="s">
        <v>552</v>
      </c>
      <c r="C24" s="574"/>
      <c r="D24" s="574"/>
      <c r="E24" s="575"/>
      <c r="F24" s="572">
        <f>F23</f>
        <v>2262.288395</v>
      </c>
    </row>
    <row r="25">
      <c r="A25" s="570"/>
      <c r="B25" s="573" t="s">
        <v>76</v>
      </c>
      <c r="C25" s="574"/>
      <c r="D25" s="574"/>
      <c r="E25" s="575"/>
      <c r="F25" s="521">
        <f>round(F24/10,2)</f>
        <v>226.23</v>
      </c>
    </row>
    <row r="26">
      <c r="A26" s="522" t="str">
        <f>CONCATENATE("Say ₹ ",F13," + ",F25," x Cost Index")</f>
        <v>Say ₹ 375.34 + 226.23 x Cost Index</v>
      </c>
      <c r="B26" s="2"/>
      <c r="C26" s="2"/>
      <c r="D26" s="2"/>
      <c r="E26" s="2"/>
      <c r="F26" s="3"/>
    </row>
    <row r="27">
      <c r="A27" s="134">
        <v>0.0</v>
      </c>
      <c r="B27" s="135" t="s">
        <v>1902</v>
      </c>
      <c r="C27" s="136"/>
      <c r="D27" s="136"/>
      <c r="E27" s="136"/>
      <c r="F27" s="137"/>
    </row>
    <row r="28">
      <c r="A28" s="134" t="s">
        <v>4</v>
      </c>
      <c r="B28" s="134" t="s">
        <v>6</v>
      </c>
      <c r="C28" s="134" t="s">
        <v>8</v>
      </c>
      <c r="D28" s="134" t="s">
        <v>9</v>
      </c>
      <c r="E28" s="134" t="s">
        <v>10</v>
      </c>
      <c r="F28" s="134" t="s">
        <v>11</v>
      </c>
    </row>
    <row r="29">
      <c r="A29" s="138"/>
      <c r="B29" s="139" t="s">
        <v>519</v>
      </c>
      <c r="C29" s="138"/>
      <c r="D29" s="138"/>
      <c r="E29" s="138"/>
      <c r="F29" s="138"/>
    </row>
    <row r="30">
      <c r="A30" s="140"/>
      <c r="B30" s="139" t="s">
        <v>838</v>
      </c>
      <c r="C30" s="140"/>
      <c r="D30" s="140"/>
      <c r="E30" s="140"/>
      <c r="F30" s="140"/>
    </row>
    <row r="31">
      <c r="A31" s="143" t="s">
        <v>1869</v>
      </c>
      <c r="B31" s="141" t="s">
        <v>1870</v>
      </c>
      <c r="C31" s="142" t="s">
        <v>22</v>
      </c>
      <c r="D31" s="142">
        <v>11.5</v>
      </c>
      <c r="E31" s="143">
        <f t="array" ref="E31">IFERROR(INDEX(LMRRates,MATCH(A31,LMRCodes,0), ), )</f>
        <v>97</v>
      </c>
      <c r="F31" s="144">
        <f>D31*E31</f>
        <v>1115.5</v>
      </c>
    </row>
    <row r="32">
      <c r="A32" s="140"/>
      <c r="B32" s="139" t="s">
        <v>915</v>
      </c>
      <c r="C32" s="140"/>
      <c r="D32" s="140"/>
      <c r="E32" s="140"/>
      <c r="F32" s="140"/>
    </row>
    <row r="33">
      <c r="A33" s="145"/>
      <c r="B33" s="146" t="s">
        <v>40</v>
      </c>
      <c r="C33" s="136"/>
      <c r="D33" s="136"/>
      <c r="E33" s="137"/>
      <c r="F33" s="147">
        <f>F31*0.01</f>
        <v>11.155</v>
      </c>
    </row>
    <row r="34">
      <c r="A34" s="145"/>
      <c r="B34" s="146" t="s">
        <v>42</v>
      </c>
      <c r="C34" s="136"/>
      <c r="D34" s="136"/>
      <c r="E34" s="137"/>
      <c r="F34" s="147">
        <f>SUM(F31:F33)</f>
        <v>1126.655</v>
      </c>
    </row>
    <row r="35">
      <c r="A35" s="145"/>
      <c r="B35" s="146" t="s">
        <v>47</v>
      </c>
      <c r="C35" s="136"/>
      <c r="D35" s="136"/>
      <c r="E35" s="137"/>
      <c r="F35" s="147">
        <f>F34*0.15</f>
        <v>168.99825</v>
      </c>
    </row>
    <row r="36">
      <c r="A36" s="145"/>
      <c r="B36" s="146" t="s">
        <v>42</v>
      </c>
      <c r="C36" s="136"/>
      <c r="D36" s="136"/>
      <c r="E36" s="137"/>
      <c r="F36" s="147">
        <f>SUM(F34:F35)</f>
        <v>1295.65325</v>
      </c>
    </row>
    <row r="37">
      <c r="A37" s="145"/>
      <c r="B37" s="146" t="s">
        <v>552</v>
      </c>
      <c r="C37" s="136"/>
      <c r="D37" s="136"/>
      <c r="E37" s="137"/>
      <c r="F37" s="147">
        <f>F36</f>
        <v>1295.65325</v>
      </c>
    </row>
    <row r="38">
      <c r="A38" s="145"/>
      <c r="B38" s="146" t="s">
        <v>76</v>
      </c>
      <c r="C38" s="136"/>
      <c r="D38" s="136"/>
      <c r="E38" s="137"/>
      <c r="F38" s="526">
        <f>round(F37/10,2)</f>
        <v>129.57</v>
      </c>
    </row>
    <row r="39">
      <c r="A39" s="145">
        <v>116.0</v>
      </c>
      <c r="B39" s="139" t="s">
        <v>535</v>
      </c>
      <c r="C39" s="145" t="s">
        <v>27</v>
      </c>
      <c r="D39" s="149">
        <v>0.25</v>
      </c>
      <c r="E39" s="149">
        <v>784.0</v>
      </c>
      <c r="F39" s="147">
        <f t="shared" ref="F39:F40" si="3">D39*E39</f>
        <v>196</v>
      </c>
    </row>
    <row r="40">
      <c r="A40" s="142">
        <v>114.0</v>
      </c>
      <c r="B40" s="139" t="s">
        <v>97</v>
      </c>
      <c r="C40" s="142" t="s">
        <v>27</v>
      </c>
      <c r="D40" s="143">
        <v>0.66</v>
      </c>
      <c r="E40" s="143">
        <v>645.0</v>
      </c>
      <c r="F40" s="578">
        <f t="shared" si="3"/>
        <v>425.7</v>
      </c>
    </row>
    <row r="41">
      <c r="A41" s="140"/>
      <c r="B41" s="139" t="s">
        <v>1894</v>
      </c>
      <c r="C41" s="140"/>
      <c r="D41" s="140"/>
      <c r="E41" s="140"/>
      <c r="F41" s="140"/>
    </row>
    <row r="42">
      <c r="A42" s="142">
        <v>114.0</v>
      </c>
      <c r="B42" s="138" t="s">
        <v>97</v>
      </c>
      <c r="C42" s="142" t="s">
        <v>27</v>
      </c>
      <c r="D42" s="142">
        <v>0.66</v>
      </c>
      <c r="E42" s="143">
        <v>645.0</v>
      </c>
      <c r="F42" s="578">
        <f t="shared" ref="F42:F43" si="4">D42*E42</f>
        <v>425.7</v>
      </c>
    </row>
    <row r="43">
      <c r="A43" s="579">
        <v>115.0</v>
      </c>
      <c r="B43" s="580" t="s">
        <v>26</v>
      </c>
      <c r="C43" s="579" t="s">
        <v>27</v>
      </c>
      <c r="D43" s="579">
        <v>0.66</v>
      </c>
      <c r="E43" s="581">
        <v>645.0</v>
      </c>
      <c r="F43" s="582">
        <f t="shared" si="4"/>
        <v>425.7</v>
      </c>
    </row>
    <row r="44">
      <c r="A44" s="580"/>
      <c r="B44" s="583" t="s">
        <v>31</v>
      </c>
      <c r="C44" s="574"/>
      <c r="D44" s="574"/>
      <c r="E44" s="575"/>
      <c r="F44" s="582">
        <f>SUM(F39:F43)</f>
        <v>1473.1</v>
      </c>
    </row>
    <row r="45">
      <c r="A45" s="580"/>
      <c r="B45" s="583" t="s">
        <v>40</v>
      </c>
      <c r="C45" s="574"/>
      <c r="D45" s="574"/>
      <c r="E45" s="575"/>
      <c r="F45" s="582">
        <f>F44*0.01</f>
        <v>14.731</v>
      </c>
    </row>
    <row r="46">
      <c r="A46" s="580"/>
      <c r="B46" s="583" t="s">
        <v>42</v>
      </c>
      <c r="C46" s="574"/>
      <c r="D46" s="574"/>
      <c r="E46" s="575"/>
      <c r="F46" s="582">
        <f>SUM(F44:F45)</f>
        <v>1487.831</v>
      </c>
    </row>
    <row r="47">
      <c r="A47" s="580"/>
      <c r="B47" s="583" t="s">
        <v>47</v>
      </c>
      <c r="C47" s="574"/>
      <c r="D47" s="574"/>
      <c r="E47" s="575"/>
      <c r="F47" s="582">
        <f>F46*0.15</f>
        <v>223.17465</v>
      </c>
    </row>
    <row r="48">
      <c r="A48" s="580"/>
      <c r="B48" s="583" t="s">
        <v>42</v>
      </c>
      <c r="C48" s="574"/>
      <c r="D48" s="574"/>
      <c r="E48" s="575"/>
      <c r="F48" s="582">
        <f>SUM(F46:F47)</f>
        <v>1711.00565</v>
      </c>
    </row>
    <row r="49">
      <c r="A49" s="580"/>
      <c r="B49" s="583" t="s">
        <v>552</v>
      </c>
      <c r="C49" s="574"/>
      <c r="D49" s="574"/>
      <c r="E49" s="575"/>
      <c r="F49" s="582">
        <f>F48</f>
        <v>1711.00565</v>
      </c>
    </row>
    <row r="50">
      <c r="A50" s="580"/>
      <c r="B50" s="583" t="s">
        <v>76</v>
      </c>
      <c r="C50" s="574"/>
      <c r="D50" s="574"/>
      <c r="E50" s="575"/>
      <c r="F50" s="526">
        <f>round(F49/10,2)</f>
        <v>171.1</v>
      </c>
    </row>
    <row r="51">
      <c r="A51" s="36" t="str">
        <f>CONCATENATE("Say ₹ ",F38," + ",F50," x Cost Index")</f>
        <v>Say ₹ 129.57 + 171.1 x Cost Index</v>
      </c>
      <c r="B51" s="2"/>
      <c r="C51" s="2"/>
      <c r="D51" s="2"/>
      <c r="E51" s="2"/>
      <c r="F51" s="3"/>
    </row>
    <row r="52">
      <c r="A52" s="155">
        <v>0.0</v>
      </c>
      <c r="B52" s="156" t="s">
        <v>1903</v>
      </c>
      <c r="C52" s="136"/>
      <c r="D52" s="136"/>
      <c r="E52" s="136"/>
      <c r="F52" s="137"/>
    </row>
    <row r="53">
      <c r="A53" s="155" t="s">
        <v>4</v>
      </c>
      <c r="B53" s="155" t="s">
        <v>6</v>
      </c>
      <c r="C53" s="155" t="s">
        <v>8</v>
      </c>
      <c r="D53" s="155" t="s">
        <v>9</v>
      </c>
      <c r="E53" s="155" t="s">
        <v>10</v>
      </c>
      <c r="F53" s="155" t="s">
        <v>11</v>
      </c>
    </row>
    <row r="54">
      <c r="A54" s="157"/>
      <c r="B54" s="158" t="s">
        <v>519</v>
      </c>
      <c r="C54" s="157"/>
      <c r="D54" s="157"/>
      <c r="E54" s="157"/>
      <c r="F54" s="157"/>
    </row>
    <row r="55">
      <c r="A55" s="140"/>
      <c r="B55" s="158" t="s">
        <v>838</v>
      </c>
      <c r="C55" s="140"/>
      <c r="D55" s="140"/>
      <c r="E55" s="140"/>
      <c r="F55" s="140"/>
    </row>
    <row r="56">
      <c r="A56" s="163" t="s">
        <v>1872</v>
      </c>
      <c r="B56" s="161" t="s">
        <v>1905</v>
      </c>
      <c r="C56" s="162" t="s">
        <v>22</v>
      </c>
      <c r="D56" s="162">
        <v>11.5</v>
      </c>
      <c r="E56" s="163">
        <f t="array" ref="E56">IFERROR(INDEX(LMRRates,MATCH(A56,LMRCodes,0), ), )</f>
        <v>195</v>
      </c>
      <c r="F56" s="166">
        <f>D56*E56</f>
        <v>2242.5</v>
      </c>
    </row>
    <row r="57">
      <c r="A57" s="140"/>
      <c r="B57" s="158" t="s">
        <v>915</v>
      </c>
      <c r="C57" s="140"/>
      <c r="D57" s="140"/>
      <c r="E57" s="140"/>
      <c r="F57" s="140"/>
    </row>
    <row r="58">
      <c r="A58" s="167"/>
      <c r="B58" s="168" t="s">
        <v>40</v>
      </c>
      <c r="C58" s="136"/>
      <c r="D58" s="136"/>
      <c r="E58" s="137"/>
      <c r="F58" s="170">
        <f>F56*0.01</f>
        <v>22.425</v>
      </c>
    </row>
    <row r="59">
      <c r="A59" s="167"/>
      <c r="B59" s="168" t="s">
        <v>42</v>
      </c>
      <c r="C59" s="136"/>
      <c r="D59" s="136"/>
      <c r="E59" s="137"/>
      <c r="F59" s="170">
        <f>SUM(F56:F58)</f>
        <v>2264.925</v>
      </c>
    </row>
    <row r="60">
      <c r="A60" s="167"/>
      <c r="B60" s="168" t="s">
        <v>47</v>
      </c>
      <c r="C60" s="136"/>
      <c r="D60" s="136"/>
      <c r="E60" s="137"/>
      <c r="F60" s="170">
        <f>F59*0.15</f>
        <v>339.73875</v>
      </c>
    </row>
    <row r="61">
      <c r="A61" s="167"/>
      <c r="B61" s="168" t="s">
        <v>42</v>
      </c>
      <c r="C61" s="136"/>
      <c r="D61" s="136"/>
      <c r="E61" s="137"/>
      <c r="F61" s="170">
        <f>SUM(F59:F60)</f>
        <v>2604.66375</v>
      </c>
    </row>
    <row r="62">
      <c r="A62" s="167"/>
      <c r="B62" s="168" t="s">
        <v>552</v>
      </c>
      <c r="C62" s="136"/>
      <c r="D62" s="136"/>
      <c r="E62" s="137"/>
      <c r="F62" s="170">
        <f>F61</f>
        <v>2604.66375</v>
      </c>
    </row>
    <row r="63">
      <c r="A63" s="167"/>
      <c r="B63" s="168" t="s">
        <v>76</v>
      </c>
      <c r="C63" s="136"/>
      <c r="D63" s="136"/>
      <c r="E63" s="137"/>
      <c r="F63" s="521">
        <f>round(F62/10,2)</f>
        <v>260.47</v>
      </c>
    </row>
    <row r="64">
      <c r="A64" s="167">
        <v>116.0</v>
      </c>
      <c r="B64" s="158" t="s">
        <v>535</v>
      </c>
      <c r="C64" s="167" t="s">
        <v>27</v>
      </c>
      <c r="D64" s="172">
        <v>0.37</v>
      </c>
      <c r="E64" s="172">
        <v>784.0</v>
      </c>
      <c r="F64" s="170">
        <f t="shared" ref="F64:F65" si="5">D64*E64</f>
        <v>290.08</v>
      </c>
    </row>
    <row r="65">
      <c r="A65" s="162">
        <v>114.0</v>
      </c>
      <c r="B65" s="158" t="s">
        <v>97</v>
      </c>
      <c r="C65" s="162" t="s">
        <v>27</v>
      </c>
      <c r="D65" s="163">
        <v>0.97</v>
      </c>
      <c r="E65" s="163">
        <v>645.0</v>
      </c>
      <c r="F65" s="566">
        <f t="shared" si="5"/>
        <v>625.65</v>
      </c>
    </row>
    <row r="66">
      <c r="A66" s="140"/>
      <c r="B66" s="158" t="s">
        <v>1894</v>
      </c>
      <c r="C66" s="140"/>
      <c r="D66" s="140"/>
      <c r="E66" s="140"/>
      <c r="F66" s="140"/>
    </row>
    <row r="67">
      <c r="A67" s="162">
        <v>114.0</v>
      </c>
      <c r="B67" s="157" t="s">
        <v>97</v>
      </c>
      <c r="C67" s="162" t="s">
        <v>27</v>
      </c>
      <c r="D67" s="163">
        <v>0.8</v>
      </c>
      <c r="E67" s="163">
        <v>645.0</v>
      </c>
      <c r="F67" s="566">
        <f t="shared" ref="F67:F68" si="6">D67*E67</f>
        <v>516</v>
      </c>
    </row>
    <row r="68">
      <c r="A68" s="568">
        <v>115.0</v>
      </c>
      <c r="B68" s="570" t="s">
        <v>26</v>
      </c>
      <c r="C68" s="568" t="s">
        <v>27</v>
      </c>
      <c r="D68" s="571">
        <v>0.8</v>
      </c>
      <c r="E68" s="571">
        <v>645.0</v>
      </c>
      <c r="F68" s="572">
        <f t="shared" si="6"/>
        <v>516</v>
      </c>
    </row>
    <row r="69">
      <c r="A69" s="570"/>
      <c r="B69" s="573" t="s">
        <v>31</v>
      </c>
      <c r="C69" s="574"/>
      <c r="D69" s="574"/>
      <c r="E69" s="575"/>
      <c r="F69" s="572">
        <f>SUM(F64:F68)</f>
        <v>1947.73</v>
      </c>
    </row>
    <row r="70">
      <c r="A70" s="570"/>
      <c r="B70" s="573" t="s">
        <v>40</v>
      </c>
      <c r="C70" s="574"/>
      <c r="D70" s="574"/>
      <c r="E70" s="575"/>
      <c r="F70" s="572">
        <f>F69*0.01</f>
        <v>19.4773</v>
      </c>
    </row>
    <row r="71">
      <c r="A71" s="570"/>
      <c r="B71" s="573" t="s">
        <v>42</v>
      </c>
      <c r="C71" s="574"/>
      <c r="D71" s="574"/>
      <c r="E71" s="575"/>
      <c r="F71" s="572">
        <f>SUM(F69:F70)</f>
        <v>1967.2073</v>
      </c>
    </row>
    <row r="72">
      <c r="A72" s="570"/>
      <c r="B72" s="573" t="s">
        <v>47</v>
      </c>
      <c r="C72" s="574"/>
      <c r="D72" s="574"/>
      <c r="E72" s="575"/>
      <c r="F72" s="572">
        <f>F71*0.15</f>
        <v>295.081095</v>
      </c>
    </row>
    <row r="73">
      <c r="A73" s="570"/>
      <c r="B73" s="573" t="s">
        <v>42</v>
      </c>
      <c r="C73" s="574"/>
      <c r="D73" s="574"/>
      <c r="E73" s="575"/>
      <c r="F73" s="572">
        <f>SUM(F71:F72)</f>
        <v>2262.288395</v>
      </c>
    </row>
    <row r="74">
      <c r="A74" s="570"/>
      <c r="B74" s="573" t="s">
        <v>552</v>
      </c>
      <c r="C74" s="574"/>
      <c r="D74" s="574"/>
      <c r="E74" s="575"/>
      <c r="F74" s="572">
        <f>F73</f>
        <v>2262.288395</v>
      </c>
    </row>
    <row r="75">
      <c r="A75" s="570"/>
      <c r="B75" s="573" t="s">
        <v>76</v>
      </c>
      <c r="C75" s="574"/>
      <c r="D75" s="574"/>
      <c r="E75" s="575"/>
      <c r="F75" s="521">
        <f>round(F74/10,2)</f>
        <v>226.23</v>
      </c>
    </row>
    <row r="76">
      <c r="A76" s="522" t="str">
        <f>CONCATENATE("Say ₹ ",F63," + ",F75," x Cost Index")</f>
        <v>Say ₹ 260.47 + 226.23 x Cost Index</v>
      </c>
      <c r="B76" s="2"/>
      <c r="C76" s="2"/>
      <c r="D76" s="2"/>
      <c r="E76" s="2"/>
      <c r="F76" s="3"/>
    </row>
    <row r="77">
      <c r="A77" s="134">
        <v>0.0</v>
      </c>
      <c r="B77" s="135" t="s">
        <v>1910</v>
      </c>
      <c r="C77" s="136"/>
      <c r="D77" s="136"/>
      <c r="E77" s="136"/>
      <c r="F77" s="137"/>
    </row>
    <row r="78">
      <c r="A78" s="134" t="s">
        <v>4</v>
      </c>
      <c r="B78" s="134" t="s">
        <v>6</v>
      </c>
      <c r="C78" s="134" t="s">
        <v>8</v>
      </c>
      <c r="D78" s="134" t="s">
        <v>9</v>
      </c>
      <c r="E78" s="134" t="s">
        <v>10</v>
      </c>
      <c r="F78" s="134" t="s">
        <v>11</v>
      </c>
    </row>
    <row r="79">
      <c r="A79" s="138"/>
      <c r="B79" s="139" t="s">
        <v>519</v>
      </c>
      <c r="C79" s="138"/>
      <c r="D79" s="138"/>
      <c r="E79" s="138"/>
      <c r="F79" s="138"/>
    </row>
    <row r="80">
      <c r="A80" s="140"/>
      <c r="B80" s="139" t="s">
        <v>838</v>
      </c>
      <c r="C80" s="140"/>
      <c r="D80" s="140"/>
      <c r="E80" s="140"/>
      <c r="F80" s="140"/>
    </row>
    <row r="81">
      <c r="A81" s="143" t="s">
        <v>1762</v>
      </c>
      <c r="B81" s="141" t="s">
        <v>1912</v>
      </c>
      <c r="C81" s="142" t="s">
        <v>22</v>
      </c>
      <c r="D81" s="142">
        <v>11.5</v>
      </c>
      <c r="E81" s="143">
        <f t="array" ref="E81">IFERROR(INDEX(LMRRates,MATCH(A81,LMRCodes,0), ), )</f>
        <v>128</v>
      </c>
      <c r="F81" s="144">
        <f>D81*E81</f>
        <v>1472</v>
      </c>
    </row>
    <row r="82">
      <c r="A82" s="140"/>
      <c r="B82" s="139" t="s">
        <v>915</v>
      </c>
      <c r="C82" s="140"/>
      <c r="D82" s="140"/>
      <c r="E82" s="140"/>
      <c r="F82" s="140"/>
    </row>
    <row r="83">
      <c r="A83" s="145"/>
      <c r="B83" s="146" t="s">
        <v>40</v>
      </c>
      <c r="C83" s="136"/>
      <c r="D83" s="136"/>
      <c r="E83" s="137"/>
      <c r="F83" s="147">
        <f>F81*0.01</f>
        <v>14.72</v>
      </c>
    </row>
    <row r="84">
      <c r="A84" s="145"/>
      <c r="B84" s="146" t="s">
        <v>42</v>
      </c>
      <c r="C84" s="136"/>
      <c r="D84" s="136"/>
      <c r="E84" s="137"/>
      <c r="F84" s="147">
        <f>SUM(F81:F83)</f>
        <v>1486.72</v>
      </c>
    </row>
    <row r="85">
      <c r="A85" s="145"/>
      <c r="B85" s="146" t="s">
        <v>47</v>
      </c>
      <c r="C85" s="136"/>
      <c r="D85" s="136"/>
      <c r="E85" s="137"/>
      <c r="F85" s="147">
        <f>F84*0.15</f>
        <v>223.008</v>
      </c>
    </row>
    <row r="86">
      <c r="A86" s="145"/>
      <c r="B86" s="146" t="s">
        <v>42</v>
      </c>
      <c r="C86" s="136"/>
      <c r="D86" s="136"/>
      <c r="E86" s="137"/>
      <c r="F86" s="147">
        <f>SUM(F84:F85)</f>
        <v>1709.728</v>
      </c>
    </row>
    <row r="87">
      <c r="A87" s="145"/>
      <c r="B87" s="146" t="s">
        <v>552</v>
      </c>
      <c r="C87" s="136"/>
      <c r="D87" s="136"/>
      <c r="E87" s="137"/>
      <c r="F87" s="147">
        <f>F86</f>
        <v>1709.728</v>
      </c>
    </row>
    <row r="88">
      <c r="A88" s="145"/>
      <c r="B88" s="146" t="s">
        <v>76</v>
      </c>
      <c r="C88" s="136"/>
      <c r="D88" s="136"/>
      <c r="E88" s="137"/>
      <c r="F88" s="526">
        <f>round(F87/10,2)</f>
        <v>170.97</v>
      </c>
    </row>
    <row r="89">
      <c r="A89" s="145">
        <v>116.0</v>
      </c>
      <c r="B89" s="139" t="s">
        <v>535</v>
      </c>
      <c r="C89" s="145" t="s">
        <v>27</v>
      </c>
      <c r="D89" s="149">
        <v>0.37</v>
      </c>
      <c r="E89" s="149">
        <v>784.0</v>
      </c>
      <c r="F89" s="147">
        <f t="shared" ref="F89:F90" si="7">D89*E89</f>
        <v>290.08</v>
      </c>
    </row>
    <row r="90">
      <c r="A90" s="142">
        <v>114.0</v>
      </c>
      <c r="B90" s="139" t="s">
        <v>97</v>
      </c>
      <c r="C90" s="142" t="s">
        <v>27</v>
      </c>
      <c r="D90" s="143">
        <v>0.97</v>
      </c>
      <c r="E90" s="143">
        <v>645.0</v>
      </c>
      <c r="F90" s="578">
        <f t="shared" si="7"/>
        <v>625.65</v>
      </c>
    </row>
    <row r="91">
      <c r="A91" s="140"/>
      <c r="B91" s="139" t="s">
        <v>1894</v>
      </c>
      <c r="C91" s="140"/>
      <c r="D91" s="140"/>
      <c r="E91" s="140"/>
      <c r="F91" s="140"/>
    </row>
    <row r="92">
      <c r="A92" s="142">
        <v>114.0</v>
      </c>
      <c r="B92" s="138" t="s">
        <v>97</v>
      </c>
      <c r="C92" s="142" t="s">
        <v>27</v>
      </c>
      <c r="D92" s="143">
        <v>0.8</v>
      </c>
      <c r="E92" s="143">
        <v>645.0</v>
      </c>
      <c r="F92" s="578">
        <f t="shared" ref="F92:F93" si="8">D92*E92</f>
        <v>516</v>
      </c>
    </row>
    <row r="93">
      <c r="A93" s="579">
        <v>115.0</v>
      </c>
      <c r="B93" s="580" t="s">
        <v>26</v>
      </c>
      <c r="C93" s="579" t="s">
        <v>27</v>
      </c>
      <c r="D93" s="581">
        <v>0.8</v>
      </c>
      <c r="E93" s="581">
        <v>645.0</v>
      </c>
      <c r="F93" s="582">
        <f t="shared" si="8"/>
        <v>516</v>
      </c>
    </row>
    <row r="94">
      <c r="A94" s="580"/>
      <c r="B94" s="583" t="s">
        <v>31</v>
      </c>
      <c r="C94" s="574"/>
      <c r="D94" s="574"/>
      <c r="E94" s="575"/>
      <c r="F94" s="582">
        <f>SUM(F89:F93)</f>
        <v>1947.73</v>
      </c>
    </row>
    <row r="95">
      <c r="A95" s="580"/>
      <c r="B95" s="583" t="s">
        <v>40</v>
      </c>
      <c r="C95" s="574"/>
      <c r="D95" s="574"/>
      <c r="E95" s="575"/>
      <c r="F95" s="582">
        <f>F94*0.01</f>
        <v>19.4773</v>
      </c>
    </row>
    <row r="96">
      <c r="A96" s="580"/>
      <c r="B96" s="583" t="s">
        <v>42</v>
      </c>
      <c r="C96" s="574"/>
      <c r="D96" s="574"/>
      <c r="E96" s="575"/>
      <c r="F96" s="582">
        <f>SUM(F94:F95)</f>
        <v>1967.2073</v>
      </c>
    </row>
    <row r="97">
      <c r="A97" s="580"/>
      <c r="B97" s="583" t="s">
        <v>47</v>
      </c>
      <c r="C97" s="574"/>
      <c r="D97" s="574"/>
      <c r="E97" s="575"/>
      <c r="F97" s="582">
        <f>F96*0.15</f>
        <v>295.081095</v>
      </c>
    </row>
    <row r="98">
      <c r="A98" s="580"/>
      <c r="B98" s="583" t="s">
        <v>42</v>
      </c>
      <c r="C98" s="574"/>
      <c r="D98" s="574"/>
      <c r="E98" s="575"/>
      <c r="F98" s="582">
        <f>SUM(F96:F97)</f>
        <v>2262.288395</v>
      </c>
    </row>
    <row r="99">
      <c r="A99" s="580"/>
      <c r="B99" s="583" t="s">
        <v>552</v>
      </c>
      <c r="C99" s="574"/>
      <c r="D99" s="574"/>
      <c r="E99" s="575"/>
      <c r="F99" s="582">
        <f>F98</f>
        <v>2262.288395</v>
      </c>
    </row>
    <row r="100">
      <c r="A100" s="580"/>
      <c r="B100" s="583" t="s">
        <v>76</v>
      </c>
      <c r="C100" s="574"/>
      <c r="D100" s="574"/>
      <c r="E100" s="575"/>
      <c r="F100" s="526">
        <f>round(F99/10,2)</f>
        <v>226.23</v>
      </c>
    </row>
    <row r="101">
      <c r="A101" s="36" t="str">
        <f>CONCATENATE("Say ₹ ",F88," + ",F100," x Cost Index")</f>
        <v>Say ₹ 170.97 + 226.23 x Cost Index</v>
      </c>
      <c r="B101" s="2"/>
      <c r="C101" s="2"/>
      <c r="D101" s="2"/>
      <c r="E101" s="2"/>
      <c r="F101" s="3"/>
    </row>
  </sheetData>
  <mergeCells count="121">
    <mergeCell ref="C4:C5"/>
    <mergeCell ref="C6:C7"/>
    <mergeCell ref="D6:D7"/>
    <mergeCell ref="E6:E7"/>
    <mergeCell ref="A1:F1"/>
    <mergeCell ref="B2:F2"/>
    <mergeCell ref="A4:A5"/>
    <mergeCell ref="D4:D5"/>
    <mergeCell ref="E4:E5"/>
    <mergeCell ref="F4:F5"/>
    <mergeCell ref="A6:A7"/>
    <mergeCell ref="F6:F7"/>
    <mergeCell ref="B8:E8"/>
    <mergeCell ref="B9:E9"/>
    <mergeCell ref="B10:E10"/>
    <mergeCell ref="B11:E11"/>
    <mergeCell ref="B12:E12"/>
    <mergeCell ref="B13:E13"/>
    <mergeCell ref="A15:A16"/>
    <mergeCell ref="C15:C16"/>
    <mergeCell ref="D15:D16"/>
    <mergeCell ref="E15:E16"/>
    <mergeCell ref="F15:F16"/>
    <mergeCell ref="B19:E19"/>
    <mergeCell ref="B20:E20"/>
    <mergeCell ref="B21:E21"/>
    <mergeCell ref="B22:E22"/>
    <mergeCell ref="B23:E23"/>
    <mergeCell ref="B24:E24"/>
    <mergeCell ref="B25:E25"/>
    <mergeCell ref="A26:F26"/>
    <mergeCell ref="B27:F27"/>
    <mergeCell ref="D31:D32"/>
    <mergeCell ref="E31:E32"/>
    <mergeCell ref="A65:A66"/>
    <mergeCell ref="C65:C66"/>
    <mergeCell ref="D65:D66"/>
    <mergeCell ref="E65:E66"/>
    <mergeCell ref="F65:F66"/>
    <mergeCell ref="B69:E69"/>
    <mergeCell ref="B70:E70"/>
    <mergeCell ref="B71:E71"/>
    <mergeCell ref="B72:E72"/>
    <mergeCell ref="B73:E73"/>
    <mergeCell ref="B74:E74"/>
    <mergeCell ref="B75:E75"/>
    <mergeCell ref="A76:F76"/>
    <mergeCell ref="B77:F77"/>
    <mergeCell ref="D81:D82"/>
    <mergeCell ref="E81:E82"/>
    <mergeCell ref="A79:A80"/>
    <mergeCell ref="C79:C80"/>
    <mergeCell ref="D79:D80"/>
    <mergeCell ref="E79:E80"/>
    <mergeCell ref="F79:F80"/>
    <mergeCell ref="A81:A82"/>
    <mergeCell ref="F81:F82"/>
    <mergeCell ref="C81:C82"/>
    <mergeCell ref="B83:E83"/>
    <mergeCell ref="B84:E84"/>
    <mergeCell ref="B85:E85"/>
    <mergeCell ref="B86:E86"/>
    <mergeCell ref="B87:E87"/>
    <mergeCell ref="B88:E88"/>
    <mergeCell ref="B96:E96"/>
    <mergeCell ref="B97:E97"/>
    <mergeCell ref="B98:E98"/>
    <mergeCell ref="B99:E99"/>
    <mergeCell ref="B100:E100"/>
    <mergeCell ref="A101:F101"/>
    <mergeCell ref="A90:A91"/>
    <mergeCell ref="C90:C91"/>
    <mergeCell ref="D90:D91"/>
    <mergeCell ref="E90:E91"/>
    <mergeCell ref="F90:F91"/>
    <mergeCell ref="B94:E94"/>
    <mergeCell ref="B95:E95"/>
    <mergeCell ref="A29:A30"/>
    <mergeCell ref="C29:C30"/>
    <mergeCell ref="D29:D30"/>
    <mergeCell ref="E29:E30"/>
    <mergeCell ref="F29:F30"/>
    <mergeCell ref="A31:A32"/>
    <mergeCell ref="F31:F32"/>
    <mergeCell ref="C31:C32"/>
    <mergeCell ref="B33:E33"/>
    <mergeCell ref="B34:E34"/>
    <mergeCell ref="B35:E35"/>
    <mergeCell ref="B36:E36"/>
    <mergeCell ref="B37:E37"/>
    <mergeCell ref="B38:E38"/>
    <mergeCell ref="A40:A41"/>
    <mergeCell ref="C40:C41"/>
    <mergeCell ref="D40:D41"/>
    <mergeCell ref="E40:E41"/>
    <mergeCell ref="F40:F41"/>
    <mergeCell ref="B44:E44"/>
    <mergeCell ref="B45:E45"/>
    <mergeCell ref="B46:E46"/>
    <mergeCell ref="B47:E47"/>
    <mergeCell ref="B48:E48"/>
    <mergeCell ref="B49:E49"/>
    <mergeCell ref="B50:E50"/>
    <mergeCell ref="A51:F51"/>
    <mergeCell ref="B52:F52"/>
    <mergeCell ref="D56:D57"/>
    <mergeCell ref="E56:E57"/>
    <mergeCell ref="A54:A55"/>
    <mergeCell ref="C54:C55"/>
    <mergeCell ref="D54:D55"/>
    <mergeCell ref="E54:E55"/>
    <mergeCell ref="F54:F55"/>
    <mergeCell ref="A56:A57"/>
    <mergeCell ref="F56:F57"/>
    <mergeCell ref="C56:C57"/>
    <mergeCell ref="B58:E58"/>
    <mergeCell ref="B59:E59"/>
    <mergeCell ref="B60:E60"/>
    <mergeCell ref="B61:E61"/>
    <mergeCell ref="B62:E62"/>
    <mergeCell ref="B63:E63"/>
  </mergeCells>
  <printOptions/>
  <pageMargins bottom="0.75" footer="0.0" header="0.0" left="0.7" right="0.7" top="0.75"/>
  <pageSetup orientation="portrait"/>
  <drawing r:id="rId1"/>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2" max="2" width="87.57"/>
  </cols>
  <sheetData>
    <row r="1">
      <c r="A1" s="26" t="s">
        <v>354</v>
      </c>
      <c r="B1" s="26" t="s">
        <v>357</v>
      </c>
      <c r="C1" s="26" t="s">
        <v>358</v>
      </c>
      <c r="D1" s="26" t="s">
        <v>8</v>
      </c>
    </row>
    <row r="2">
      <c r="A2" s="29">
        <v>14.72</v>
      </c>
      <c r="B2" s="30" t="s">
        <v>1919</v>
      </c>
      <c r="C2" s="29">
        <v>247.41</v>
      </c>
      <c r="D2" s="29" t="s">
        <v>305</v>
      </c>
    </row>
  </sheetData>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6.14"/>
    <col customWidth="1" min="2" max="2" width="97.0"/>
    <col customWidth="1" min="3" max="3" width="14.57"/>
    <col customWidth="1" min="4" max="4" width="7.14"/>
  </cols>
  <sheetData>
    <row r="1">
      <c r="A1" s="585" t="s">
        <v>1921</v>
      </c>
      <c r="B1" s="586" t="s">
        <v>28</v>
      </c>
      <c r="C1" s="586" t="s">
        <v>8</v>
      </c>
      <c r="D1" s="587" t="s">
        <v>10</v>
      </c>
    </row>
    <row r="2">
      <c r="A2" s="588" t="s">
        <v>1923</v>
      </c>
      <c r="B2" s="589" t="s">
        <v>1924</v>
      </c>
      <c r="C2" s="588" t="s">
        <v>749</v>
      </c>
      <c r="D2" s="590">
        <v>585.0</v>
      </c>
    </row>
    <row r="3">
      <c r="A3" s="588" t="s">
        <v>1925</v>
      </c>
      <c r="B3" s="589" t="s">
        <v>1926</v>
      </c>
      <c r="C3" s="588" t="s">
        <v>749</v>
      </c>
      <c r="D3" s="590">
        <v>1935.0</v>
      </c>
    </row>
    <row r="4">
      <c r="A4" s="588" t="s">
        <v>1927</v>
      </c>
      <c r="B4" s="589" t="s">
        <v>1928</v>
      </c>
      <c r="C4" s="588" t="s">
        <v>749</v>
      </c>
      <c r="D4" s="590">
        <v>3860.0</v>
      </c>
    </row>
    <row r="5">
      <c r="A5" s="588" t="s">
        <v>1929</v>
      </c>
      <c r="B5" s="591" t="s">
        <v>1930</v>
      </c>
      <c r="C5" s="590" t="s">
        <v>43</v>
      </c>
      <c r="D5" s="590">
        <v>14475.0</v>
      </c>
    </row>
    <row r="6">
      <c r="A6" s="588" t="s">
        <v>1931</v>
      </c>
      <c r="B6" s="591" t="s">
        <v>1932</v>
      </c>
      <c r="C6" s="590" t="s">
        <v>488</v>
      </c>
      <c r="D6" s="590">
        <v>390.0</v>
      </c>
    </row>
    <row r="7">
      <c r="A7" s="588" t="s">
        <v>1933</v>
      </c>
      <c r="B7" s="591" t="s">
        <v>1934</v>
      </c>
      <c r="C7" s="590" t="s">
        <v>488</v>
      </c>
      <c r="D7" s="590">
        <v>665.0</v>
      </c>
    </row>
    <row r="8">
      <c r="A8" s="588" t="s">
        <v>1935</v>
      </c>
      <c r="B8" s="591" t="s">
        <v>1936</v>
      </c>
      <c r="C8" s="590" t="s">
        <v>488</v>
      </c>
      <c r="D8" s="590">
        <v>2315.0</v>
      </c>
    </row>
    <row r="9">
      <c r="A9" s="588" t="s">
        <v>1937</v>
      </c>
      <c r="B9" s="591" t="s">
        <v>1938</v>
      </c>
      <c r="C9" s="590" t="s">
        <v>488</v>
      </c>
      <c r="D9" s="590">
        <v>2980.0</v>
      </c>
    </row>
    <row r="10">
      <c r="A10" s="588" t="s">
        <v>1939</v>
      </c>
      <c r="B10" s="591" t="s">
        <v>1940</v>
      </c>
      <c r="C10" s="590" t="s">
        <v>488</v>
      </c>
      <c r="D10" s="590">
        <v>255.0</v>
      </c>
    </row>
    <row r="11">
      <c r="A11" s="588" t="s">
        <v>1941</v>
      </c>
      <c r="B11" s="591" t="s">
        <v>1942</v>
      </c>
      <c r="C11" s="590" t="s">
        <v>43</v>
      </c>
      <c r="D11" s="590">
        <v>5790.0</v>
      </c>
    </row>
    <row r="12">
      <c r="A12" s="588" t="s">
        <v>1943</v>
      </c>
      <c r="B12" s="591" t="s">
        <v>1944</v>
      </c>
      <c r="C12" s="590" t="s">
        <v>43</v>
      </c>
      <c r="D12" s="590">
        <v>15435.0</v>
      </c>
    </row>
    <row r="13">
      <c r="A13" s="588" t="s">
        <v>1945</v>
      </c>
      <c r="B13" s="591" t="s">
        <v>1946</v>
      </c>
      <c r="C13" s="590" t="s">
        <v>43</v>
      </c>
      <c r="D13" s="590">
        <v>2870.0</v>
      </c>
    </row>
    <row r="14">
      <c r="A14" s="588" t="s">
        <v>1947</v>
      </c>
      <c r="B14" s="591" t="s">
        <v>1948</v>
      </c>
      <c r="C14" s="590" t="s">
        <v>1505</v>
      </c>
      <c r="D14" s="590">
        <v>445.0</v>
      </c>
    </row>
    <row r="15">
      <c r="A15" s="588" t="s">
        <v>1949</v>
      </c>
      <c r="B15" s="591" t="s">
        <v>1950</v>
      </c>
      <c r="C15" s="590" t="s">
        <v>1505</v>
      </c>
      <c r="D15" s="590">
        <v>1105.0</v>
      </c>
    </row>
    <row r="16">
      <c r="A16" s="588" t="s">
        <v>1951</v>
      </c>
      <c r="B16" s="591" t="s">
        <v>1952</v>
      </c>
      <c r="C16" s="590" t="s">
        <v>1505</v>
      </c>
      <c r="D16" s="590">
        <v>670.0</v>
      </c>
    </row>
    <row r="17">
      <c r="A17" s="588" t="s">
        <v>1953</v>
      </c>
      <c r="B17" s="591" t="s">
        <v>1954</v>
      </c>
      <c r="C17" s="590" t="s">
        <v>1505</v>
      </c>
      <c r="D17" s="590">
        <v>1330.0</v>
      </c>
    </row>
    <row r="18">
      <c r="A18" s="588" t="s">
        <v>1955</v>
      </c>
      <c r="B18" s="591" t="s">
        <v>1956</v>
      </c>
      <c r="C18" s="590" t="s">
        <v>488</v>
      </c>
      <c r="D18" s="590">
        <f>D6/2</f>
        <v>195</v>
      </c>
    </row>
    <row r="19">
      <c r="A19" s="588" t="s">
        <v>1957</v>
      </c>
      <c r="B19" s="591" t="s">
        <v>1958</v>
      </c>
      <c r="C19" s="590" t="s">
        <v>488</v>
      </c>
      <c r="D19" s="590">
        <v>1985.0</v>
      </c>
    </row>
    <row r="20">
      <c r="A20" s="588" t="s">
        <v>1959</v>
      </c>
      <c r="B20" s="591" t="s">
        <v>1546</v>
      </c>
      <c r="C20" s="590" t="s">
        <v>1545</v>
      </c>
      <c r="D20" s="590">
        <v>7490.0</v>
      </c>
    </row>
    <row r="21">
      <c r="A21" s="588" t="s">
        <v>1960</v>
      </c>
      <c r="B21" s="591" t="s">
        <v>1961</v>
      </c>
      <c r="C21" s="590" t="s">
        <v>488</v>
      </c>
      <c r="D21" s="590">
        <f>D19/2</f>
        <v>992.5</v>
      </c>
    </row>
    <row r="22">
      <c r="A22" s="588" t="s">
        <v>1962</v>
      </c>
      <c r="B22" s="591" t="s">
        <v>1963</v>
      </c>
      <c r="C22" s="590" t="s">
        <v>488</v>
      </c>
      <c r="D22" s="590">
        <f t="shared" ref="D22:D24" si="1">D7/2</f>
        <v>332.5</v>
      </c>
    </row>
    <row r="23">
      <c r="A23" s="588" t="s">
        <v>1964</v>
      </c>
      <c r="B23" s="591" t="s">
        <v>1965</v>
      </c>
      <c r="C23" s="590" t="s">
        <v>488</v>
      </c>
      <c r="D23" s="590">
        <f t="shared" si="1"/>
        <v>1157.5</v>
      </c>
    </row>
    <row r="24">
      <c r="A24" s="588" t="s">
        <v>1966</v>
      </c>
      <c r="B24" s="591" t="s">
        <v>1967</v>
      </c>
      <c r="C24" s="590" t="s">
        <v>488</v>
      </c>
      <c r="D24" s="590">
        <f t="shared" si="1"/>
        <v>1490</v>
      </c>
    </row>
    <row r="25">
      <c r="A25" s="588" t="s">
        <v>1968</v>
      </c>
      <c r="B25" s="591" t="s">
        <v>1969</v>
      </c>
      <c r="C25" s="590" t="s">
        <v>1505</v>
      </c>
      <c r="D25" s="590">
        <v>1105.0</v>
      </c>
    </row>
    <row r="26">
      <c r="A26" s="588" t="s">
        <v>1970</v>
      </c>
      <c r="B26" s="591" t="s">
        <v>1971</v>
      </c>
      <c r="C26" s="590" t="s">
        <v>1505</v>
      </c>
      <c r="D26" s="590">
        <v>1330.0</v>
      </c>
    </row>
    <row r="27">
      <c r="A27" s="588" t="s">
        <v>1972</v>
      </c>
      <c r="B27" s="591" t="s">
        <v>1973</v>
      </c>
      <c r="C27" s="590" t="s">
        <v>43</v>
      </c>
      <c r="D27" s="590">
        <v>1500.0</v>
      </c>
    </row>
    <row r="28">
      <c r="A28" s="588" t="s">
        <v>1974</v>
      </c>
      <c r="B28" s="591" t="s">
        <v>1975</v>
      </c>
      <c r="C28" s="590" t="s">
        <v>43</v>
      </c>
      <c r="D28" s="590">
        <v>225.0</v>
      </c>
    </row>
    <row r="29">
      <c r="A29" s="588" t="s">
        <v>1976</v>
      </c>
      <c r="B29" s="591" t="s">
        <v>1977</v>
      </c>
      <c r="C29" s="590" t="s">
        <v>43</v>
      </c>
      <c r="D29" s="590">
        <v>225.0</v>
      </c>
    </row>
  </sheetData>
  <printOptions/>
  <pageMargins bottom="0.354166666666667" footer="0.0" header="0.0" left="0.708333333333333" right="0.315277777777778" top="0.551388888888889"/>
  <pageSetup paperSize="9" orientation="portrait"/>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pageSetUpPr fitToPage="1"/>
  </sheetPr>
  <sheetViews>
    <sheetView workbookViewId="0"/>
  </sheetViews>
  <sheetFormatPr customHeight="1" defaultColWidth="14.43" defaultRowHeight="15.0"/>
  <cols>
    <col hidden="1" min="8" max="9" width="14.43"/>
  </cols>
  <sheetData>
    <row r="1">
      <c r="A1" s="331" t="s">
        <v>742</v>
      </c>
      <c r="B1" s="331" t="s">
        <v>745</v>
      </c>
      <c r="C1" s="332" t="s">
        <v>6</v>
      </c>
      <c r="D1" s="2"/>
      <c r="E1" s="3"/>
      <c r="F1" s="332" t="s">
        <v>746</v>
      </c>
      <c r="G1" s="3"/>
      <c r="H1" s="374"/>
      <c r="I1" s="374"/>
    </row>
    <row r="2">
      <c r="A2" s="20"/>
      <c r="B2" s="20"/>
      <c r="C2" s="334" t="s">
        <v>8</v>
      </c>
      <c r="D2" s="334" t="s">
        <v>9</v>
      </c>
      <c r="E2" s="334" t="s">
        <v>358</v>
      </c>
      <c r="F2" s="334" t="s">
        <v>11</v>
      </c>
      <c r="G2" s="334" t="s">
        <v>751</v>
      </c>
      <c r="H2" s="374"/>
      <c r="I2" s="374"/>
    </row>
    <row r="3">
      <c r="A3" s="337" t="s">
        <v>1984</v>
      </c>
      <c r="B3" s="2"/>
      <c r="C3" s="2"/>
      <c r="D3" s="2"/>
      <c r="E3" s="2"/>
      <c r="F3" s="2"/>
      <c r="G3" s="3"/>
      <c r="H3" s="374"/>
      <c r="I3" s="374"/>
    </row>
    <row r="4">
      <c r="A4" s="339"/>
      <c r="B4" s="339" t="s">
        <v>754</v>
      </c>
      <c r="C4" s="339" t="s">
        <v>22</v>
      </c>
      <c r="D4" s="339" t="s">
        <v>757</v>
      </c>
      <c r="E4" s="339">
        <v>100.0</v>
      </c>
      <c r="F4" s="339"/>
      <c r="G4" s="339"/>
      <c r="H4" s="374"/>
      <c r="I4" s="374"/>
    </row>
    <row r="5">
      <c r="A5" s="339" t="s">
        <v>761</v>
      </c>
      <c r="B5" s="341" t="s">
        <v>1985</v>
      </c>
      <c r="C5" s="2"/>
      <c r="D5" s="2"/>
      <c r="E5" s="2"/>
      <c r="F5" s="2"/>
      <c r="G5" s="3"/>
      <c r="H5" s="374"/>
      <c r="I5" s="374"/>
    </row>
    <row r="6">
      <c r="A6" s="341" t="s">
        <v>1170</v>
      </c>
      <c r="B6" s="2"/>
      <c r="C6" s="2"/>
      <c r="D6" s="2"/>
      <c r="E6" s="2"/>
      <c r="F6" s="2"/>
      <c r="G6" s="3"/>
      <c r="H6" s="374"/>
      <c r="I6" s="374"/>
    </row>
    <row r="7">
      <c r="A7" s="344"/>
      <c r="B7" s="346" t="s">
        <v>1986</v>
      </c>
      <c r="C7" s="348" t="s">
        <v>1987</v>
      </c>
      <c r="D7" s="2"/>
      <c r="E7" s="3"/>
      <c r="F7" s="349"/>
      <c r="G7" s="3"/>
      <c r="H7" s="374"/>
      <c r="I7" s="374"/>
    </row>
    <row r="8">
      <c r="A8" s="20"/>
      <c r="B8" s="20"/>
      <c r="C8" s="351" t="s">
        <v>22</v>
      </c>
      <c r="D8" s="351">
        <v>100.0</v>
      </c>
      <c r="E8" s="351">
        <v>40.68</v>
      </c>
      <c r="F8" s="351">
        <f>D8*E8</f>
        <v>4068</v>
      </c>
      <c r="G8" s="351" t="s">
        <v>772</v>
      </c>
      <c r="H8" s="374"/>
      <c r="I8" s="374"/>
    </row>
    <row r="9">
      <c r="A9" s="346" t="s">
        <v>1178</v>
      </c>
      <c r="B9" s="344"/>
      <c r="C9" s="348" t="s">
        <v>1988</v>
      </c>
      <c r="D9" s="2"/>
      <c r="E9" s="3"/>
      <c r="F9" s="349"/>
      <c r="G9" s="3"/>
      <c r="H9" s="374"/>
      <c r="I9" s="374"/>
    </row>
    <row r="10">
      <c r="A10" s="20"/>
      <c r="B10" s="20"/>
      <c r="C10" s="351" t="s">
        <v>107</v>
      </c>
      <c r="D10" s="359"/>
      <c r="E10" s="359"/>
      <c r="F10" s="351">
        <f>F8*5%</f>
        <v>203.4</v>
      </c>
      <c r="G10" s="351" t="s">
        <v>1183</v>
      </c>
      <c r="H10" s="374"/>
      <c r="I10" s="374"/>
    </row>
    <row r="11">
      <c r="A11" s="344"/>
      <c r="B11" s="346" t="s">
        <v>1989</v>
      </c>
      <c r="C11" s="348" t="s">
        <v>1990</v>
      </c>
      <c r="D11" s="2"/>
      <c r="E11" s="3"/>
      <c r="F11" s="349"/>
      <c r="G11" s="3"/>
      <c r="H11" s="374"/>
      <c r="I11" s="374"/>
    </row>
    <row r="12">
      <c r="A12" s="20"/>
      <c r="B12" s="20"/>
      <c r="C12" s="351" t="s">
        <v>27</v>
      </c>
      <c r="D12" s="351">
        <v>1.0</v>
      </c>
      <c r="E12" s="351">
        <v>600.0</v>
      </c>
      <c r="F12" s="351">
        <f>D12*E12</f>
        <v>600</v>
      </c>
      <c r="G12" s="351" t="s">
        <v>782</v>
      </c>
      <c r="H12" s="374"/>
      <c r="I12" s="374"/>
    </row>
    <row r="13">
      <c r="A13" s="346" t="s">
        <v>1178</v>
      </c>
      <c r="B13" s="344"/>
      <c r="C13" s="357" t="s">
        <v>1991</v>
      </c>
      <c r="D13" s="2"/>
      <c r="E13" s="3"/>
      <c r="F13" s="349"/>
      <c r="G13" s="3"/>
      <c r="H13" s="374"/>
      <c r="I13" s="374"/>
    </row>
    <row r="14">
      <c r="A14" s="20"/>
      <c r="B14" s="20"/>
      <c r="C14" s="351" t="s">
        <v>107</v>
      </c>
      <c r="D14" s="359"/>
      <c r="E14" s="359"/>
      <c r="F14" s="351">
        <f>(F8+F10+F12)*2%</f>
        <v>97.428</v>
      </c>
      <c r="G14" s="351" t="s">
        <v>1215</v>
      </c>
      <c r="H14" s="374"/>
      <c r="I14" s="374"/>
    </row>
    <row r="15">
      <c r="A15" s="341" t="s">
        <v>42</v>
      </c>
      <c r="B15" s="2"/>
      <c r="C15" s="3"/>
      <c r="D15" s="362">
        <v>100.0</v>
      </c>
      <c r="E15" s="362" t="s">
        <v>22</v>
      </c>
      <c r="F15" s="362">
        <f>F8+F10+F12+F14</f>
        <v>4968.828</v>
      </c>
      <c r="G15" s="339"/>
      <c r="H15" s="374"/>
      <c r="I15" s="374"/>
    </row>
    <row r="16">
      <c r="A16" s="341" t="s">
        <v>800</v>
      </c>
      <c r="B16" s="2"/>
      <c r="C16" s="3"/>
      <c r="D16" s="362">
        <v>1.0</v>
      </c>
      <c r="E16" s="362" t="s">
        <v>22</v>
      </c>
      <c r="F16" s="362">
        <f>F15/D15</f>
        <v>49.68828</v>
      </c>
      <c r="G16" s="339"/>
      <c r="H16" s="374"/>
      <c r="I16" s="374"/>
    </row>
    <row r="17">
      <c r="A17" s="341" t="s">
        <v>1187</v>
      </c>
      <c r="B17" s="2"/>
      <c r="C17" s="2"/>
      <c r="D17" s="3"/>
      <c r="E17" s="366">
        <f>F8*1.05*1.02/100</f>
        <v>43.56828</v>
      </c>
      <c r="F17" s="362">
        <f>E17*1%</f>
        <v>0.4356828</v>
      </c>
      <c r="G17" s="339"/>
      <c r="H17" s="374"/>
      <c r="I17" s="374"/>
    </row>
    <row r="18">
      <c r="A18" s="341" t="s">
        <v>42</v>
      </c>
      <c r="B18" s="2"/>
      <c r="C18" s="2"/>
      <c r="D18" s="3"/>
      <c r="E18" s="339"/>
      <c r="F18" s="362">
        <f>F16+F17</f>
        <v>50.1239628</v>
      </c>
      <c r="G18" s="339"/>
      <c r="H18" s="374"/>
      <c r="I18" s="374"/>
    </row>
    <row r="19">
      <c r="A19" s="341" t="s">
        <v>806</v>
      </c>
      <c r="B19" s="2"/>
      <c r="C19" s="2"/>
      <c r="D19" s="3"/>
      <c r="E19" s="362">
        <f>F18</f>
        <v>50.1239628</v>
      </c>
      <c r="F19" s="362">
        <f>E19*15%</f>
        <v>7.51859442</v>
      </c>
      <c r="G19" s="339"/>
      <c r="H19" s="374"/>
      <c r="I19" s="374"/>
    </row>
    <row r="20">
      <c r="A20" s="367" t="s">
        <v>42</v>
      </c>
      <c r="B20" s="2"/>
      <c r="C20" s="2"/>
      <c r="D20" s="3"/>
      <c r="E20" s="368"/>
      <c r="F20" s="369">
        <f>round(F18+F19,2)</f>
        <v>57.64</v>
      </c>
      <c r="G20" s="339"/>
      <c r="H20" s="374"/>
      <c r="I20" s="374"/>
    </row>
    <row r="21">
      <c r="A21" s="346">
        <v>1001.0</v>
      </c>
      <c r="B21" s="344"/>
      <c r="C21" s="348" t="s">
        <v>1529</v>
      </c>
      <c r="D21" s="2"/>
      <c r="E21" s="3"/>
      <c r="F21" s="349"/>
      <c r="G21" s="3"/>
      <c r="H21" s="374"/>
      <c r="I21" s="374"/>
    </row>
    <row r="22">
      <c r="A22" s="20"/>
      <c r="B22" s="20"/>
      <c r="C22" s="351" t="s">
        <v>27</v>
      </c>
      <c r="D22" s="351">
        <v>1.0</v>
      </c>
      <c r="E22" s="351">
        <v>806.0</v>
      </c>
      <c r="F22" s="351">
        <f>E22*D22</f>
        <v>806</v>
      </c>
      <c r="G22" s="351" t="s">
        <v>780</v>
      </c>
      <c r="H22" s="374"/>
      <c r="I22" s="374"/>
    </row>
    <row r="23">
      <c r="A23" s="346" t="s">
        <v>1178</v>
      </c>
      <c r="B23" s="344"/>
      <c r="C23" s="357" t="s">
        <v>1996</v>
      </c>
      <c r="D23" s="2"/>
      <c r="E23" s="3"/>
      <c r="F23" s="349"/>
      <c r="G23" s="3"/>
      <c r="H23" s="374"/>
      <c r="I23" s="374"/>
    </row>
    <row r="24">
      <c r="A24" s="20"/>
      <c r="B24" s="20"/>
      <c r="C24" s="351" t="s">
        <v>107</v>
      </c>
      <c r="D24" s="359"/>
      <c r="E24" s="359"/>
      <c r="F24" s="351">
        <f>F22*2%</f>
        <v>16.12</v>
      </c>
      <c r="G24" s="351" t="s">
        <v>1998</v>
      </c>
      <c r="H24" s="374"/>
      <c r="I24" s="374"/>
    </row>
    <row r="25">
      <c r="A25" s="341" t="s">
        <v>42</v>
      </c>
      <c r="B25" s="2"/>
      <c r="C25" s="3"/>
      <c r="D25" s="362">
        <v>100.0</v>
      </c>
      <c r="E25" s="362" t="s">
        <v>22</v>
      </c>
      <c r="F25" s="362">
        <f>F22+F24</f>
        <v>822.12</v>
      </c>
      <c r="G25" s="368"/>
      <c r="H25" s="374"/>
      <c r="I25" s="374"/>
    </row>
    <row r="26">
      <c r="A26" s="341" t="s">
        <v>800</v>
      </c>
      <c r="B26" s="2"/>
      <c r="C26" s="3"/>
      <c r="D26" s="362">
        <v>1.0</v>
      </c>
      <c r="E26" s="362" t="s">
        <v>22</v>
      </c>
      <c r="F26" s="362">
        <f>F25/D25</f>
        <v>8.2212</v>
      </c>
      <c r="G26" s="368"/>
      <c r="H26" s="374"/>
      <c r="I26" s="374"/>
    </row>
    <row r="27">
      <c r="A27" s="341" t="s">
        <v>806</v>
      </c>
      <c r="B27" s="2"/>
      <c r="C27" s="2"/>
      <c r="D27" s="3"/>
      <c r="E27" s="362">
        <f>F26</f>
        <v>8.2212</v>
      </c>
      <c r="F27" s="362">
        <f>E27*15%</f>
        <v>1.23318</v>
      </c>
      <c r="G27" s="368"/>
      <c r="H27" s="374"/>
      <c r="I27" s="374"/>
    </row>
    <row r="28">
      <c r="A28" s="367" t="s">
        <v>42</v>
      </c>
      <c r="B28" s="2"/>
      <c r="C28" s="2"/>
      <c r="D28" s="3"/>
      <c r="E28" s="368"/>
      <c r="F28" s="369">
        <f>round(F26+F27,2)</f>
        <v>9.45</v>
      </c>
      <c r="G28" s="339"/>
      <c r="H28" s="374"/>
      <c r="I28" s="374">
        <f>F28+F20</f>
        <v>67.09</v>
      </c>
    </row>
    <row r="29">
      <c r="A29" s="592" t="str">
        <f>CONCATENATE("Say ₹ ",F20," + ",F28," x Cost Index")                                           </f>
        <v>Say ₹ 57.64 + 9.45 x Cost Index</v>
      </c>
      <c r="B29" s="2"/>
      <c r="C29" s="2"/>
      <c r="D29" s="2"/>
      <c r="E29" s="2"/>
      <c r="F29" s="3"/>
      <c r="G29" s="369" t="s">
        <v>939</v>
      </c>
      <c r="H29" s="374">
        <f>(((F8*1.05*1.01)+F12)*1.02*1.15)/100</f>
        <v>57.64255722</v>
      </c>
      <c r="I29" s="374">
        <f>(F22*1.02*1.15)/100</f>
        <v>9.45438</v>
      </c>
    </row>
    <row r="30">
      <c r="A30" s="331" t="s">
        <v>742</v>
      </c>
      <c r="B30" s="331" t="s">
        <v>745</v>
      </c>
      <c r="C30" s="332" t="s">
        <v>6</v>
      </c>
      <c r="D30" s="2"/>
      <c r="E30" s="3"/>
      <c r="F30" s="332" t="s">
        <v>746</v>
      </c>
      <c r="G30" s="3"/>
      <c r="H30" s="374"/>
      <c r="I30" s="374"/>
    </row>
    <row r="31">
      <c r="A31" s="20"/>
      <c r="B31" s="20"/>
      <c r="C31" s="334" t="s">
        <v>8</v>
      </c>
      <c r="D31" s="334" t="s">
        <v>9</v>
      </c>
      <c r="E31" s="334" t="s">
        <v>358</v>
      </c>
      <c r="F31" s="334" t="s">
        <v>11</v>
      </c>
      <c r="G31" s="334" t="s">
        <v>751</v>
      </c>
      <c r="H31" s="374"/>
      <c r="I31" s="374"/>
    </row>
    <row r="32">
      <c r="A32" s="337" t="s">
        <v>2001</v>
      </c>
      <c r="B32" s="2"/>
      <c r="C32" s="2"/>
      <c r="D32" s="2"/>
      <c r="E32" s="2"/>
      <c r="F32" s="2"/>
      <c r="G32" s="3"/>
      <c r="H32" s="374"/>
      <c r="I32" s="374"/>
    </row>
    <row r="33">
      <c r="A33" s="339"/>
      <c r="B33" s="339" t="s">
        <v>754</v>
      </c>
      <c r="C33" s="339" t="s">
        <v>22</v>
      </c>
      <c r="D33" s="339" t="s">
        <v>757</v>
      </c>
      <c r="E33" s="339">
        <v>100.0</v>
      </c>
      <c r="F33" s="339"/>
      <c r="G33" s="339"/>
      <c r="H33" s="374"/>
      <c r="I33" s="374"/>
    </row>
    <row r="34">
      <c r="A34" s="339" t="s">
        <v>761</v>
      </c>
      <c r="B34" s="341" t="s">
        <v>1985</v>
      </c>
      <c r="C34" s="2"/>
      <c r="D34" s="2"/>
      <c r="E34" s="2"/>
      <c r="F34" s="2"/>
      <c r="G34" s="3"/>
      <c r="H34" s="374"/>
      <c r="I34" s="374"/>
    </row>
    <row r="35">
      <c r="A35" s="341" t="s">
        <v>1170</v>
      </c>
      <c r="B35" s="2"/>
      <c r="C35" s="2"/>
      <c r="D35" s="2"/>
      <c r="E35" s="2"/>
      <c r="F35" s="2"/>
      <c r="G35" s="3"/>
      <c r="H35" s="374"/>
      <c r="I35" s="374"/>
    </row>
    <row r="36">
      <c r="A36" s="344"/>
      <c r="B36" s="346" t="s">
        <v>2002</v>
      </c>
      <c r="C36" s="348" t="s">
        <v>2003</v>
      </c>
      <c r="D36" s="2"/>
      <c r="E36" s="3"/>
      <c r="F36" s="349"/>
      <c r="G36" s="3"/>
      <c r="H36" s="374"/>
      <c r="I36" s="374"/>
    </row>
    <row r="37">
      <c r="A37" s="20"/>
      <c r="B37" s="20"/>
      <c r="C37" s="351" t="s">
        <v>22</v>
      </c>
      <c r="D37" s="351">
        <v>100.0</v>
      </c>
      <c r="E37" s="351">
        <v>63.56</v>
      </c>
      <c r="F37" s="351">
        <f>D37*E37</f>
        <v>6356</v>
      </c>
      <c r="G37" s="351" t="s">
        <v>772</v>
      </c>
      <c r="H37" s="374"/>
      <c r="I37" s="374"/>
    </row>
    <row r="38">
      <c r="A38" s="346" t="s">
        <v>1178</v>
      </c>
      <c r="B38" s="344"/>
      <c r="C38" s="348" t="s">
        <v>1988</v>
      </c>
      <c r="D38" s="2"/>
      <c r="E38" s="3"/>
      <c r="F38" s="349"/>
      <c r="G38" s="3"/>
      <c r="H38" s="374"/>
      <c r="I38" s="374"/>
    </row>
    <row r="39">
      <c r="A39" s="20"/>
      <c r="B39" s="20"/>
      <c r="C39" s="351" t="s">
        <v>107</v>
      </c>
      <c r="D39" s="359"/>
      <c r="E39" s="359"/>
      <c r="F39" s="351">
        <f>F37*5%</f>
        <v>317.8</v>
      </c>
      <c r="G39" s="351" t="s">
        <v>1183</v>
      </c>
      <c r="H39" s="374"/>
      <c r="I39" s="374"/>
    </row>
    <row r="40">
      <c r="A40" s="344"/>
      <c r="B40" s="346" t="s">
        <v>1989</v>
      </c>
      <c r="C40" s="348" t="s">
        <v>1990</v>
      </c>
      <c r="D40" s="2"/>
      <c r="E40" s="3"/>
      <c r="F40" s="349"/>
      <c r="G40" s="3"/>
      <c r="H40" s="374"/>
      <c r="I40" s="374"/>
    </row>
    <row r="41">
      <c r="A41" s="20"/>
      <c r="B41" s="20"/>
      <c r="C41" s="351" t="s">
        <v>27</v>
      </c>
      <c r="D41" s="351">
        <v>1.0</v>
      </c>
      <c r="E41" s="351">
        <v>600.0</v>
      </c>
      <c r="F41" s="351">
        <f>D41*E41</f>
        <v>600</v>
      </c>
      <c r="G41" s="351" t="s">
        <v>782</v>
      </c>
      <c r="H41" s="374"/>
      <c r="I41" s="374"/>
    </row>
    <row r="42">
      <c r="A42" s="346" t="s">
        <v>1178</v>
      </c>
      <c r="B42" s="344"/>
      <c r="C42" s="357" t="s">
        <v>1991</v>
      </c>
      <c r="D42" s="2"/>
      <c r="E42" s="3"/>
      <c r="F42" s="349"/>
      <c r="G42" s="3"/>
      <c r="H42" s="374"/>
      <c r="I42" s="374"/>
    </row>
    <row r="43">
      <c r="A43" s="20"/>
      <c r="B43" s="20"/>
      <c r="C43" s="351" t="s">
        <v>107</v>
      </c>
      <c r="D43" s="359"/>
      <c r="E43" s="359"/>
      <c r="F43" s="351">
        <f>(F37+F39+F41)*2%</f>
        <v>145.476</v>
      </c>
      <c r="G43" s="351" t="s">
        <v>1215</v>
      </c>
      <c r="H43" s="374"/>
      <c r="I43" s="374"/>
    </row>
    <row r="44">
      <c r="A44" s="341" t="s">
        <v>42</v>
      </c>
      <c r="B44" s="2"/>
      <c r="C44" s="3"/>
      <c r="D44" s="362">
        <v>100.0</v>
      </c>
      <c r="E44" s="362" t="s">
        <v>22</v>
      </c>
      <c r="F44" s="362">
        <f>F37+F39+F41+F43</f>
        <v>7419.276</v>
      </c>
      <c r="G44" s="339"/>
      <c r="H44" s="374"/>
      <c r="I44" s="374"/>
    </row>
    <row r="45">
      <c r="A45" s="341" t="s">
        <v>800</v>
      </c>
      <c r="B45" s="2"/>
      <c r="C45" s="3"/>
      <c r="D45" s="362">
        <v>1.0</v>
      </c>
      <c r="E45" s="362" t="s">
        <v>22</v>
      </c>
      <c r="F45" s="362">
        <f>F44/D44</f>
        <v>74.19276</v>
      </c>
      <c r="G45" s="339"/>
      <c r="H45" s="374"/>
      <c r="I45" s="374"/>
    </row>
    <row r="46">
      <c r="A46" s="341" t="s">
        <v>1187</v>
      </c>
      <c r="B46" s="2"/>
      <c r="C46" s="2"/>
      <c r="D46" s="3"/>
      <c r="E46" s="366">
        <f>F37*1.05*1.02/100</f>
        <v>68.07276</v>
      </c>
      <c r="F46" s="362">
        <f>E46*1%</f>
        <v>0.6807276</v>
      </c>
      <c r="G46" s="339"/>
      <c r="H46" s="374"/>
      <c r="I46" s="374"/>
    </row>
    <row r="47">
      <c r="A47" s="341" t="s">
        <v>42</v>
      </c>
      <c r="B47" s="2"/>
      <c r="C47" s="2"/>
      <c r="D47" s="3"/>
      <c r="E47" s="339"/>
      <c r="F47" s="362">
        <f>F45+F46</f>
        <v>74.8734876</v>
      </c>
      <c r="G47" s="339"/>
      <c r="H47" s="374"/>
      <c r="I47" s="374"/>
    </row>
    <row r="48">
      <c r="A48" s="341" t="s">
        <v>806</v>
      </c>
      <c r="B48" s="2"/>
      <c r="C48" s="2"/>
      <c r="D48" s="3"/>
      <c r="E48" s="362">
        <f>F47</f>
        <v>74.8734876</v>
      </c>
      <c r="F48" s="362">
        <f>E48*15%</f>
        <v>11.23102314</v>
      </c>
      <c r="G48" s="339"/>
      <c r="H48" s="374"/>
      <c r="I48" s="374"/>
    </row>
    <row r="49">
      <c r="A49" s="367" t="s">
        <v>42</v>
      </c>
      <c r="B49" s="2"/>
      <c r="C49" s="2"/>
      <c r="D49" s="3"/>
      <c r="E49" s="368"/>
      <c r="F49" s="369">
        <f>round(F47+F48,2)</f>
        <v>86.1</v>
      </c>
      <c r="G49" s="339"/>
      <c r="H49" s="374"/>
      <c r="I49" s="374"/>
    </row>
    <row r="50">
      <c r="A50" s="346">
        <v>1001.0</v>
      </c>
      <c r="B50" s="344"/>
      <c r="C50" s="348" t="s">
        <v>1529</v>
      </c>
      <c r="D50" s="2"/>
      <c r="E50" s="3"/>
      <c r="F50" s="349"/>
      <c r="G50" s="3"/>
      <c r="H50" s="374"/>
      <c r="I50" s="374"/>
    </row>
    <row r="51">
      <c r="A51" s="20"/>
      <c r="B51" s="20"/>
      <c r="C51" s="351" t="s">
        <v>27</v>
      </c>
      <c r="D51" s="351">
        <v>1.0</v>
      </c>
      <c r="E51" s="351">
        <v>806.0</v>
      </c>
      <c r="F51" s="351">
        <f>E51*D51</f>
        <v>806</v>
      </c>
      <c r="G51" s="351" t="s">
        <v>780</v>
      </c>
      <c r="H51" s="374"/>
      <c r="I51" s="374"/>
    </row>
    <row r="52">
      <c r="A52" s="346" t="s">
        <v>1178</v>
      </c>
      <c r="B52" s="344"/>
      <c r="C52" s="357" t="s">
        <v>1996</v>
      </c>
      <c r="D52" s="2"/>
      <c r="E52" s="3"/>
      <c r="F52" s="349"/>
      <c r="G52" s="3"/>
      <c r="H52" s="374"/>
      <c r="I52" s="374"/>
    </row>
    <row r="53">
      <c r="A53" s="20"/>
      <c r="B53" s="20"/>
      <c r="C53" s="351" t="s">
        <v>107</v>
      </c>
      <c r="D53" s="359"/>
      <c r="E53" s="359"/>
      <c r="F53" s="351">
        <f>F51*2%</f>
        <v>16.12</v>
      </c>
      <c r="G53" s="351" t="s">
        <v>1998</v>
      </c>
      <c r="H53" s="374"/>
      <c r="I53" s="374"/>
    </row>
    <row r="54">
      <c r="A54" s="341" t="s">
        <v>42</v>
      </c>
      <c r="B54" s="2"/>
      <c r="C54" s="3"/>
      <c r="D54" s="362">
        <v>100.0</v>
      </c>
      <c r="E54" s="362" t="s">
        <v>22</v>
      </c>
      <c r="F54" s="362">
        <f>F51+F53</f>
        <v>822.12</v>
      </c>
      <c r="G54" s="368"/>
      <c r="H54" s="374"/>
      <c r="I54" s="374"/>
    </row>
    <row r="55">
      <c r="A55" s="341" t="s">
        <v>800</v>
      </c>
      <c r="B55" s="2"/>
      <c r="C55" s="3"/>
      <c r="D55" s="362">
        <v>1.0</v>
      </c>
      <c r="E55" s="362" t="s">
        <v>22</v>
      </c>
      <c r="F55" s="362">
        <f>F54/D54</f>
        <v>8.2212</v>
      </c>
      <c r="G55" s="368"/>
      <c r="H55" s="374"/>
      <c r="I55" s="374"/>
    </row>
    <row r="56">
      <c r="A56" s="341" t="s">
        <v>806</v>
      </c>
      <c r="B56" s="2"/>
      <c r="C56" s="2"/>
      <c r="D56" s="3"/>
      <c r="E56" s="362">
        <f>F55</f>
        <v>8.2212</v>
      </c>
      <c r="F56" s="362">
        <f>E56*15%</f>
        <v>1.23318</v>
      </c>
      <c r="G56" s="368"/>
      <c r="H56" s="374"/>
      <c r="I56" s="374"/>
    </row>
    <row r="57">
      <c r="A57" s="367" t="s">
        <v>42</v>
      </c>
      <c r="B57" s="2"/>
      <c r="C57" s="2"/>
      <c r="D57" s="3"/>
      <c r="E57" s="368"/>
      <c r="F57" s="369">
        <f>round(F55+F56,2)</f>
        <v>9.45</v>
      </c>
      <c r="G57" s="339"/>
      <c r="H57" s="374"/>
      <c r="I57" s="374">
        <f>F57+F49</f>
        <v>95.55</v>
      </c>
    </row>
    <row r="58">
      <c r="A58" s="592" t="str">
        <f>CONCATENATE("Say ₹ ",F49," + ",F57," x Cost Index")                                           </f>
        <v>Say ₹ 86.1 + 9.45 x Cost Index</v>
      </c>
      <c r="B58" s="2"/>
      <c r="C58" s="2"/>
      <c r="D58" s="2"/>
      <c r="E58" s="2"/>
      <c r="F58" s="3"/>
      <c r="G58" s="369" t="s">
        <v>939</v>
      </c>
      <c r="H58" s="374">
        <f>(((F37*1.05*1.01)+F41)*1.02*1.15)/100</f>
        <v>86.10451074</v>
      </c>
      <c r="I58" s="374">
        <f>(F51*1.02*1.15)/100</f>
        <v>9.45438</v>
      </c>
    </row>
    <row r="59">
      <c r="A59" s="331" t="s">
        <v>742</v>
      </c>
      <c r="B59" s="331" t="s">
        <v>745</v>
      </c>
      <c r="C59" s="332" t="s">
        <v>6</v>
      </c>
      <c r="D59" s="2"/>
      <c r="E59" s="3"/>
      <c r="F59" s="332" t="s">
        <v>746</v>
      </c>
      <c r="G59" s="3"/>
      <c r="H59" s="374"/>
      <c r="I59" s="374"/>
    </row>
    <row r="60">
      <c r="A60" s="20"/>
      <c r="B60" s="20"/>
      <c r="C60" s="334" t="s">
        <v>8</v>
      </c>
      <c r="D60" s="334" t="s">
        <v>9</v>
      </c>
      <c r="E60" s="334" t="s">
        <v>358</v>
      </c>
      <c r="F60" s="334" t="s">
        <v>11</v>
      </c>
      <c r="G60" s="334" t="s">
        <v>751</v>
      </c>
      <c r="H60" s="374"/>
      <c r="I60" s="374"/>
    </row>
    <row r="61">
      <c r="A61" s="337" t="s">
        <v>2009</v>
      </c>
      <c r="B61" s="2"/>
      <c r="C61" s="2"/>
      <c r="D61" s="2"/>
      <c r="E61" s="2"/>
      <c r="F61" s="2"/>
      <c r="G61" s="3"/>
      <c r="H61" s="374"/>
      <c r="I61" s="374"/>
    </row>
    <row r="62">
      <c r="A62" s="339"/>
      <c r="B62" s="339" t="s">
        <v>754</v>
      </c>
      <c r="C62" s="339" t="s">
        <v>22</v>
      </c>
      <c r="D62" s="339" t="s">
        <v>757</v>
      </c>
      <c r="E62" s="339">
        <v>100.0</v>
      </c>
      <c r="F62" s="339"/>
      <c r="G62" s="339"/>
      <c r="H62" s="374"/>
      <c r="I62" s="374"/>
    </row>
    <row r="63">
      <c r="A63" s="339" t="s">
        <v>761</v>
      </c>
      <c r="B63" s="341" t="s">
        <v>1985</v>
      </c>
      <c r="C63" s="2"/>
      <c r="D63" s="2"/>
      <c r="E63" s="2"/>
      <c r="F63" s="2"/>
      <c r="G63" s="3"/>
      <c r="H63" s="374"/>
      <c r="I63" s="374"/>
    </row>
    <row r="64">
      <c r="A64" s="341" t="s">
        <v>1170</v>
      </c>
      <c r="B64" s="2"/>
      <c r="C64" s="2"/>
      <c r="D64" s="2"/>
      <c r="E64" s="2"/>
      <c r="F64" s="2"/>
      <c r="G64" s="3"/>
      <c r="H64" s="374"/>
      <c r="I64" s="374"/>
    </row>
    <row r="65">
      <c r="A65" s="344"/>
      <c r="B65" s="346" t="s">
        <v>2011</v>
      </c>
      <c r="C65" s="348" t="s">
        <v>2012</v>
      </c>
      <c r="D65" s="2"/>
      <c r="E65" s="3"/>
      <c r="F65" s="349"/>
      <c r="G65" s="3"/>
      <c r="H65" s="374"/>
      <c r="I65" s="374"/>
    </row>
    <row r="66">
      <c r="A66" s="20"/>
      <c r="B66" s="20"/>
      <c r="C66" s="351" t="s">
        <v>22</v>
      </c>
      <c r="D66" s="351">
        <v>100.0</v>
      </c>
      <c r="E66" s="351">
        <v>93.22</v>
      </c>
      <c r="F66" s="351">
        <f>D66*E66</f>
        <v>9322</v>
      </c>
      <c r="G66" s="351" t="s">
        <v>772</v>
      </c>
      <c r="H66" s="374"/>
      <c r="I66" s="374"/>
    </row>
    <row r="67">
      <c r="A67" s="346" t="s">
        <v>1178</v>
      </c>
      <c r="B67" s="344"/>
      <c r="C67" s="348" t="s">
        <v>1988</v>
      </c>
      <c r="D67" s="2"/>
      <c r="E67" s="3"/>
      <c r="F67" s="349"/>
      <c r="G67" s="3"/>
      <c r="H67" s="374"/>
      <c r="I67" s="374"/>
    </row>
    <row r="68">
      <c r="A68" s="20"/>
      <c r="B68" s="20"/>
      <c r="C68" s="351" t="s">
        <v>107</v>
      </c>
      <c r="D68" s="359"/>
      <c r="E68" s="359"/>
      <c r="F68" s="351">
        <f>F66*5%</f>
        <v>466.1</v>
      </c>
      <c r="G68" s="351" t="s">
        <v>1183</v>
      </c>
      <c r="H68" s="374"/>
      <c r="I68" s="374"/>
    </row>
    <row r="69">
      <c r="A69" s="344"/>
      <c r="B69" s="346" t="s">
        <v>1989</v>
      </c>
      <c r="C69" s="348" t="s">
        <v>1990</v>
      </c>
      <c r="D69" s="2"/>
      <c r="E69" s="3"/>
      <c r="F69" s="349"/>
      <c r="G69" s="3"/>
      <c r="H69" s="374"/>
      <c r="I69" s="374"/>
    </row>
    <row r="70">
      <c r="A70" s="20"/>
      <c r="B70" s="20"/>
      <c r="C70" s="351" t="s">
        <v>27</v>
      </c>
      <c r="D70" s="351">
        <v>1.0</v>
      </c>
      <c r="E70" s="351">
        <v>600.0</v>
      </c>
      <c r="F70" s="351">
        <f>D70*E70</f>
        <v>600</v>
      </c>
      <c r="G70" s="351" t="s">
        <v>782</v>
      </c>
      <c r="H70" s="374"/>
      <c r="I70" s="374"/>
    </row>
    <row r="71">
      <c r="A71" s="346" t="s">
        <v>1178</v>
      </c>
      <c r="B71" s="344"/>
      <c r="C71" s="357" t="s">
        <v>1991</v>
      </c>
      <c r="D71" s="2"/>
      <c r="E71" s="3"/>
      <c r="F71" s="349"/>
      <c r="G71" s="3"/>
      <c r="H71" s="374"/>
      <c r="I71" s="374"/>
    </row>
    <row r="72">
      <c r="A72" s="20"/>
      <c r="B72" s="20"/>
      <c r="C72" s="351" t="s">
        <v>107</v>
      </c>
      <c r="D72" s="359"/>
      <c r="E72" s="359"/>
      <c r="F72" s="351">
        <f>(F66+F68+F70)*2%</f>
        <v>207.762</v>
      </c>
      <c r="G72" s="351" t="s">
        <v>1215</v>
      </c>
      <c r="H72" s="374"/>
      <c r="I72" s="374"/>
    </row>
    <row r="73">
      <c r="A73" s="341" t="s">
        <v>42</v>
      </c>
      <c r="B73" s="2"/>
      <c r="C73" s="3"/>
      <c r="D73" s="362">
        <v>100.0</v>
      </c>
      <c r="E73" s="362" t="s">
        <v>22</v>
      </c>
      <c r="F73" s="362">
        <f>F66+F68+F70+F72</f>
        <v>10595.862</v>
      </c>
      <c r="G73" s="339"/>
      <c r="H73" s="374"/>
      <c r="I73" s="374"/>
    </row>
    <row r="74">
      <c r="A74" s="341" t="s">
        <v>800</v>
      </c>
      <c r="B74" s="2"/>
      <c r="C74" s="3"/>
      <c r="D74" s="362">
        <v>1.0</v>
      </c>
      <c r="E74" s="362" t="s">
        <v>22</v>
      </c>
      <c r="F74" s="362">
        <f>F73/D73</f>
        <v>105.95862</v>
      </c>
      <c r="G74" s="339"/>
      <c r="H74" s="374"/>
      <c r="I74" s="374"/>
    </row>
    <row r="75">
      <c r="A75" s="341" t="s">
        <v>1187</v>
      </c>
      <c r="B75" s="2"/>
      <c r="C75" s="2"/>
      <c r="D75" s="3"/>
      <c r="E75" s="366">
        <f>F66*1.05*1.02/100</f>
        <v>99.83862</v>
      </c>
      <c r="F75" s="362">
        <f>E75*1%</f>
        <v>0.9983862</v>
      </c>
      <c r="G75" s="339"/>
      <c r="H75" s="374"/>
      <c r="I75" s="374"/>
    </row>
    <row r="76">
      <c r="A76" s="341" t="s">
        <v>42</v>
      </c>
      <c r="B76" s="2"/>
      <c r="C76" s="2"/>
      <c r="D76" s="3"/>
      <c r="E76" s="339"/>
      <c r="F76" s="362">
        <f>F74+F75</f>
        <v>106.9570062</v>
      </c>
      <c r="G76" s="339"/>
      <c r="H76" s="374"/>
      <c r="I76" s="374"/>
    </row>
    <row r="77">
      <c r="A77" s="341" t="s">
        <v>806</v>
      </c>
      <c r="B77" s="2"/>
      <c r="C77" s="2"/>
      <c r="D77" s="3"/>
      <c r="E77" s="362">
        <f>F76</f>
        <v>106.9570062</v>
      </c>
      <c r="F77" s="362">
        <f>E77*15%</f>
        <v>16.04355093</v>
      </c>
      <c r="G77" s="339"/>
      <c r="H77" s="374"/>
      <c r="I77" s="374"/>
    </row>
    <row r="78">
      <c r="A78" s="367" t="s">
        <v>42</v>
      </c>
      <c r="B78" s="2"/>
      <c r="C78" s="2"/>
      <c r="D78" s="3"/>
      <c r="E78" s="368"/>
      <c r="F78" s="369">
        <f>round(F76+F77,2)</f>
        <v>123</v>
      </c>
      <c r="G78" s="339"/>
      <c r="H78" s="374"/>
      <c r="I78" s="374"/>
    </row>
    <row r="79">
      <c r="A79" s="346">
        <v>1001.0</v>
      </c>
      <c r="B79" s="344"/>
      <c r="C79" s="348" t="s">
        <v>1529</v>
      </c>
      <c r="D79" s="2"/>
      <c r="E79" s="3"/>
      <c r="F79" s="349"/>
      <c r="G79" s="3"/>
      <c r="H79" s="374"/>
      <c r="I79" s="374"/>
    </row>
    <row r="80">
      <c r="A80" s="20"/>
      <c r="B80" s="20"/>
      <c r="C80" s="351" t="s">
        <v>27</v>
      </c>
      <c r="D80" s="351">
        <v>1.0</v>
      </c>
      <c r="E80" s="351">
        <v>806.0</v>
      </c>
      <c r="F80" s="351">
        <f>E80*D80</f>
        <v>806</v>
      </c>
      <c r="G80" s="351" t="s">
        <v>780</v>
      </c>
      <c r="H80" s="374"/>
      <c r="I80" s="374"/>
    </row>
    <row r="81">
      <c r="A81" s="346" t="s">
        <v>1178</v>
      </c>
      <c r="B81" s="344"/>
      <c r="C81" s="357" t="s">
        <v>1996</v>
      </c>
      <c r="D81" s="2"/>
      <c r="E81" s="3"/>
      <c r="F81" s="349"/>
      <c r="G81" s="3"/>
      <c r="H81" s="374"/>
      <c r="I81" s="374"/>
    </row>
    <row r="82">
      <c r="A82" s="20"/>
      <c r="B82" s="20"/>
      <c r="C82" s="351" t="s">
        <v>107</v>
      </c>
      <c r="D82" s="359"/>
      <c r="E82" s="359"/>
      <c r="F82" s="351">
        <f>F80*2%</f>
        <v>16.12</v>
      </c>
      <c r="G82" s="351" t="s">
        <v>1998</v>
      </c>
      <c r="H82" s="374">
        <f>F82+F72</f>
        <v>223.882</v>
      </c>
      <c r="I82" s="374"/>
    </row>
    <row r="83">
      <c r="A83" s="341" t="s">
        <v>42</v>
      </c>
      <c r="B83" s="2"/>
      <c r="C83" s="3"/>
      <c r="D83" s="362">
        <v>100.0</v>
      </c>
      <c r="E83" s="362" t="s">
        <v>22</v>
      </c>
      <c r="F83" s="362">
        <f>F80+F82</f>
        <v>822.12</v>
      </c>
      <c r="G83" s="368"/>
      <c r="H83" s="374"/>
      <c r="I83" s="374"/>
    </row>
    <row r="84">
      <c r="A84" s="341" t="s">
        <v>800</v>
      </c>
      <c r="B84" s="2"/>
      <c r="C84" s="3"/>
      <c r="D84" s="362">
        <v>1.0</v>
      </c>
      <c r="E84" s="362" t="s">
        <v>22</v>
      </c>
      <c r="F84" s="362">
        <f>F83/D83</f>
        <v>8.2212</v>
      </c>
      <c r="G84" s="368"/>
      <c r="H84" s="374"/>
      <c r="I84" s="374"/>
    </row>
    <row r="85">
      <c r="A85" s="341" t="s">
        <v>806</v>
      </c>
      <c r="B85" s="2"/>
      <c r="C85" s="2"/>
      <c r="D85" s="3"/>
      <c r="E85" s="362">
        <f>F84</f>
        <v>8.2212</v>
      </c>
      <c r="F85" s="362">
        <f>E85*15%</f>
        <v>1.23318</v>
      </c>
      <c r="G85" s="368"/>
      <c r="H85" s="374"/>
      <c r="I85" s="374"/>
    </row>
    <row r="86">
      <c r="A86" s="367" t="s">
        <v>42</v>
      </c>
      <c r="B86" s="2"/>
      <c r="C86" s="2"/>
      <c r="D86" s="3"/>
      <c r="E86" s="368"/>
      <c r="F86" s="369">
        <f>round(F84+F85,2)</f>
        <v>9.45</v>
      </c>
      <c r="G86" s="339"/>
      <c r="H86" s="374"/>
      <c r="I86" s="374">
        <f>F86+F78</f>
        <v>132.45</v>
      </c>
    </row>
    <row r="87">
      <c r="A87" s="592" t="str">
        <f>CONCATENATE("Say ₹ ",F78," + ",F86," x Cost Index")                                           </f>
        <v>Say ₹ 123 + 9.45 x Cost Index</v>
      </c>
      <c r="B87" s="2"/>
      <c r="C87" s="2"/>
      <c r="D87" s="2"/>
      <c r="E87" s="2"/>
      <c r="F87" s="3"/>
      <c r="G87" s="369" t="s">
        <v>939</v>
      </c>
      <c r="H87" s="374">
        <f>(((F66*1.05*1.01)+F70)*1.02*1.15)/100</f>
        <v>123.0005571</v>
      </c>
      <c r="I87" s="374">
        <f>(F80*1.02*1.15)/100</f>
        <v>9.45438</v>
      </c>
    </row>
    <row r="88">
      <c r="A88" s="331" t="s">
        <v>742</v>
      </c>
      <c r="B88" s="331" t="s">
        <v>745</v>
      </c>
      <c r="C88" s="332" t="s">
        <v>6</v>
      </c>
      <c r="D88" s="2"/>
      <c r="E88" s="3"/>
      <c r="F88" s="332" t="s">
        <v>746</v>
      </c>
      <c r="G88" s="3"/>
      <c r="H88" s="374"/>
      <c r="I88" s="374"/>
    </row>
    <row r="89">
      <c r="A89" s="20"/>
      <c r="B89" s="20"/>
      <c r="C89" s="334" t="s">
        <v>8</v>
      </c>
      <c r="D89" s="334" t="s">
        <v>9</v>
      </c>
      <c r="E89" s="334" t="s">
        <v>358</v>
      </c>
      <c r="F89" s="334" t="s">
        <v>11</v>
      </c>
      <c r="G89" s="334" t="s">
        <v>751</v>
      </c>
      <c r="H89" s="374"/>
      <c r="I89" s="374"/>
    </row>
    <row r="90">
      <c r="A90" s="337" t="s">
        <v>2017</v>
      </c>
      <c r="B90" s="2"/>
      <c r="C90" s="2"/>
      <c r="D90" s="2"/>
      <c r="E90" s="2"/>
      <c r="F90" s="2"/>
      <c r="G90" s="3"/>
      <c r="H90" s="374"/>
      <c r="I90" s="374"/>
    </row>
    <row r="91">
      <c r="A91" s="339"/>
      <c r="B91" s="339" t="s">
        <v>754</v>
      </c>
      <c r="C91" s="339" t="s">
        <v>22</v>
      </c>
      <c r="D91" s="339" t="s">
        <v>757</v>
      </c>
      <c r="E91" s="339">
        <v>100.0</v>
      </c>
      <c r="F91" s="339"/>
      <c r="G91" s="339"/>
      <c r="H91" s="374"/>
      <c r="I91" s="374"/>
    </row>
    <row r="92">
      <c r="A92" s="339" t="s">
        <v>761</v>
      </c>
      <c r="B92" s="341" t="s">
        <v>1985</v>
      </c>
      <c r="C92" s="2"/>
      <c r="D92" s="2"/>
      <c r="E92" s="2"/>
      <c r="F92" s="2"/>
      <c r="G92" s="3"/>
      <c r="H92" s="374"/>
      <c r="I92" s="374"/>
    </row>
    <row r="93">
      <c r="A93" s="341" t="s">
        <v>1170</v>
      </c>
      <c r="B93" s="2"/>
      <c r="C93" s="2"/>
      <c r="D93" s="2"/>
      <c r="E93" s="2"/>
      <c r="F93" s="2"/>
      <c r="G93" s="3"/>
      <c r="H93" s="374"/>
      <c r="I93" s="374"/>
    </row>
    <row r="94">
      <c r="A94" s="344"/>
      <c r="B94" s="346" t="s">
        <v>2018</v>
      </c>
      <c r="C94" s="348" t="s">
        <v>2019</v>
      </c>
      <c r="D94" s="2"/>
      <c r="E94" s="3"/>
      <c r="F94" s="349"/>
      <c r="G94" s="3"/>
      <c r="H94" s="374"/>
      <c r="I94" s="374"/>
    </row>
    <row r="95">
      <c r="A95" s="20"/>
      <c r="B95" s="20"/>
      <c r="C95" s="351" t="s">
        <v>22</v>
      </c>
      <c r="D95" s="351">
        <v>100.0</v>
      </c>
      <c r="E95" s="351">
        <v>137.29</v>
      </c>
      <c r="F95" s="351">
        <f>D95*E95</f>
        <v>13729</v>
      </c>
      <c r="G95" s="351" t="s">
        <v>772</v>
      </c>
      <c r="H95" s="374"/>
      <c r="I95" s="374"/>
    </row>
    <row r="96">
      <c r="A96" s="346" t="s">
        <v>1178</v>
      </c>
      <c r="B96" s="344"/>
      <c r="C96" s="348" t="s">
        <v>1988</v>
      </c>
      <c r="D96" s="2"/>
      <c r="E96" s="3"/>
      <c r="F96" s="349"/>
      <c r="G96" s="3"/>
      <c r="H96" s="374"/>
      <c r="I96" s="374"/>
    </row>
    <row r="97">
      <c r="A97" s="20"/>
      <c r="B97" s="20"/>
      <c r="C97" s="351" t="s">
        <v>107</v>
      </c>
      <c r="D97" s="359"/>
      <c r="E97" s="359"/>
      <c r="F97" s="351">
        <f>F95*5%</f>
        <v>686.45</v>
      </c>
      <c r="G97" s="351" t="s">
        <v>1183</v>
      </c>
      <c r="H97" s="374"/>
      <c r="I97" s="374"/>
    </row>
    <row r="98">
      <c r="A98" s="344"/>
      <c r="B98" s="346" t="s">
        <v>1989</v>
      </c>
      <c r="C98" s="348" t="s">
        <v>1990</v>
      </c>
      <c r="D98" s="2"/>
      <c r="E98" s="3"/>
      <c r="F98" s="349"/>
      <c r="G98" s="3"/>
      <c r="H98" s="374"/>
      <c r="I98" s="374"/>
    </row>
    <row r="99">
      <c r="A99" s="20"/>
      <c r="B99" s="20"/>
      <c r="C99" s="351" t="s">
        <v>27</v>
      </c>
      <c r="D99" s="351">
        <v>1.0</v>
      </c>
      <c r="E99" s="351">
        <v>600.0</v>
      </c>
      <c r="F99" s="351">
        <f>D99*E99</f>
        <v>600</v>
      </c>
      <c r="G99" s="351" t="s">
        <v>782</v>
      </c>
      <c r="H99" s="374"/>
      <c r="I99" s="374"/>
    </row>
    <row r="100">
      <c r="A100" s="346" t="s">
        <v>1178</v>
      </c>
      <c r="B100" s="344"/>
      <c r="C100" s="357" t="s">
        <v>1991</v>
      </c>
      <c r="D100" s="2"/>
      <c r="E100" s="3"/>
      <c r="F100" s="349"/>
      <c r="G100" s="3"/>
      <c r="H100" s="374"/>
      <c r="I100" s="374"/>
    </row>
    <row r="101">
      <c r="A101" s="20"/>
      <c r="B101" s="20"/>
      <c r="C101" s="351" t="s">
        <v>107</v>
      </c>
      <c r="D101" s="359"/>
      <c r="E101" s="359"/>
      <c r="F101" s="351">
        <f>(F95+F97+F99)*2%</f>
        <v>300.309</v>
      </c>
      <c r="G101" s="351" t="s">
        <v>1215</v>
      </c>
      <c r="H101" s="374"/>
      <c r="I101" s="374"/>
    </row>
    <row r="102">
      <c r="A102" s="341" t="s">
        <v>42</v>
      </c>
      <c r="B102" s="2"/>
      <c r="C102" s="3"/>
      <c r="D102" s="362">
        <v>100.0</v>
      </c>
      <c r="E102" s="362" t="s">
        <v>22</v>
      </c>
      <c r="F102" s="362">
        <f>F95+F97+F99+F101</f>
        <v>15315.759</v>
      </c>
      <c r="G102" s="339"/>
      <c r="H102" s="374"/>
      <c r="I102" s="374"/>
    </row>
    <row r="103">
      <c r="A103" s="341" t="s">
        <v>800</v>
      </c>
      <c r="B103" s="2"/>
      <c r="C103" s="3"/>
      <c r="D103" s="362">
        <v>1.0</v>
      </c>
      <c r="E103" s="362" t="s">
        <v>22</v>
      </c>
      <c r="F103" s="362">
        <f>F102/D102</f>
        <v>153.15759</v>
      </c>
      <c r="G103" s="339"/>
      <c r="H103" s="374"/>
      <c r="I103" s="374"/>
    </row>
    <row r="104">
      <c r="A104" s="341" t="s">
        <v>1187</v>
      </c>
      <c r="B104" s="2"/>
      <c r="C104" s="2"/>
      <c r="D104" s="3"/>
      <c r="E104" s="366">
        <f>F95*1.05*1.02/100</f>
        <v>147.03759</v>
      </c>
      <c r="F104" s="362">
        <f>E104*1%</f>
        <v>1.4703759</v>
      </c>
      <c r="G104" s="339"/>
      <c r="H104" s="374"/>
      <c r="I104" s="374"/>
    </row>
    <row r="105">
      <c r="A105" s="341" t="s">
        <v>42</v>
      </c>
      <c r="B105" s="2"/>
      <c r="C105" s="2"/>
      <c r="D105" s="3"/>
      <c r="E105" s="339"/>
      <c r="F105" s="362">
        <f>F103+F104</f>
        <v>154.6279659</v>
      </c>
      <c r="G105" s="339"/>
      <c r="H105" s="374"/>
      <c r="I105" s="374"/>
    </row>
    <row r="106">
      <c r="A106" s="341" t="s">
        <v>806</v>
      </c>
      <c r="B106" s="2"/>
      <c r="C106" s="2"/>
      <c r="D106" s="3"/>
      <c r="E106" s="362">
        <f>F105</f>
        <v>154.6279659</v>
      </c>
      <c r="F106" s="362">
        <f>E106*15%</f>
        <v>23.19419489</v>
      </c>
      <c r="G106" s="339"/>
      <c r="H106" s="374"/>
      <c r="I106" s="374"/>
    </row>
    <row r="107">
      <c r="A107" s="367" t="s">
        <v>42</v>
      </c>
      <c r="B107" s="2"/>
      <c r="C107" s="2"/>
      <c r="D107" s="3"/>
      <c r="E107" s="368"/>
      <c r="F107" s="369">
        <f>round(F105+F106,2)</f>
        <v>177.82</v>
      </c>
      <c r="G107" s="339"/>
      <c r="H107" s="374"/>
      <c r="I107" s="374"/>
    </row>
    <row r="108">
      <c r="A108" s="346">
        <v>1001.0</v>
      </c>
      <c r="B108" s="344"/>
      <c r="C108" s="348" t="s">
        <v>1529</v>
      </c>
      <c r="D108" s="2"/>
      <c r="E108" s="3"/>
      <c r="F108" s="349"/>
      <c r="G108" s="3"/>
      <c r="H108" s="374"/>
      <c r="I108" s="374"/>
    </row>
    <row r="109">
      <c r="A109" s="20"/>
      <c r="B109" s="20"/>
      <c r="C109" s="351" t="s">
        <v>27</v>
      </c>
      <c r="D109" s="351">
        <v>1.0</v>
      </c>
      <c r="E109" s="351">
        <v>806.0</v>
      </c>
      <c r="F109" s="351">
        <f>E109*D109</f>
        <v>806</v>
      </c>
      <c r="G109" s="351" t="s">
        <v>780</v>
      </c>
      <c r="H109" s="374"/>
      <c r="I109" s="374"/>
    </row>
    <row r="110">
      <c r="A110" s="346" t="s">
        <v>1178</v>
      </c>
      <c r="B110" s="344"/>
      <c r="C110" s="357" t="s">
        <v>1996</v>
      </c>
      <c r="D110" s="2"/>
      <c r="E110" s="3"/>
      <c r="F110" s="349"/>
      <c r="G110" s="3"/>
      <c r="H110" s="374"/>
      <c r="I110" s="374"/>
    </row>
    <row r="111">
      <c r="A111" s="20"/>
      <c r="B111" s="20"/>
      <c r="C111" s="351" t="s">
        <v>107</v>
      </c>
      <c r="D111" s="359"/>
      <c r="E111" s="359"/>
      <c r="F111" s="351">
        <f>F109*2%</f>
        <v>16.12</v>
      </c>
      <c r="G111" s="351" t="s">
        <v>1998</v>
      </c>
      <c r="H111" s="374">
        <f>F111+F101</f>
        <v>316.429</v>
      </c>
      <c r="I111" s="374"/>
    </row>
    <row r="112">
      <c r="A112" s="341" t="s">
        <v>42</v>
      </c>
      <c r="B112" s="2"/>
      <c r="C112" s="3"/>
      <c r="D112" s="362">
        <v>100.0</v>
      </c>
      <c r="E112" s="362" t="s">
        <v>22</v>
      </c>
      <c r="F112" s="362">
        <f>F109+F111</f>
        <v>822.12</v>
      </c>
      <c r="G112" s="368"/>
      <c r="H112" s="374"/>
      <c r="I112" s="374"/>
    </row>
    <row r="113">
      <c r="A113" s="341" t="s">
        <v>800</v>
      </c>
      <c r="B113" s="2"/>
      <c r="C113" s="3"/>
      <c r="D113" s="362">
        <v>1.0</v>
      </c>
      <c r="E113" s="362" t="s">
        <v>22</v>
      </c>
      <c r="F113" s="362">
        <f>F112/D112</f>
        <v>8.2212</v>
      </c>
      <c r="G113" s="368"/>
      <c r="H113" s="374"/>
      <c r="I113" s="374"/>
    </row>
    <row r="114">
      <c r="A114" s="341" t="s">
        <v>806</v>
      </c>
      <c r="B114" s="2"/>
      <c r="C114" s="2"/>
      <c r="D114" s="3"/>
      <c r="E114" s="362">
        <f>F113</f>
        <v>8.2212</v>
      </c>
      <c r="F114" s="362">
        <f>E114*15%</f>
        <v>1.23318</v>
      </c>
      <c r="G114" s="368"/>
      <c r="H114" s="374"/>
      <c r="I114" s="374"/>
    </row>
    <row r="115">
      <c r="A115" s="367" t="s">
        <v>42</v>
      </c>
      <c r="B115" s="2"/>
      <c r="C115" s="2"/>
      <c r="D115" s="3"/>
      <c r="E115" s="368"/>
      <c r="F115" s="369">
        <f>round(F113+F114,2)</f>
        <v>9.45</v>
      </c>
      <c r="G115" s="339"/>
      <c r="H115" s="374"/>
      <c r="I115" s="374">
        <f>F115+F107</f>
        <v>187.27</v>
      </c>
    </row>
    <row r="116">
      <c r="A116" s="592" t="str">
        <f>CONCATENATE("Say ₹ ",F107," + ",F115," x Cost Index")                                           </f>
        <v>Say ₹ 177.82 + 9.45 x Cost Index</v>
      </c>
      <c r="B116" s="2"/>
      <c r="C116" s="2"/>
      <c r="D116" s="2"/>
      <c r="E116" s="2"/>
      <c r="F116" s="3"/>
      <c r="G116" s="369" t="s">
        <v>939</v>
      </c>
      <c r="H116" s="374">
        <f>(((F95*1.05*1.01)+F99)*1.02*1.15)/100</f>
        <v>177.8221608</v>
      </c>
      <c r="I116" s="374">
        <f>(F109*1.02*1.15)/100</f>
        <v>9.45438</v>
      </c>
    </row>
    <row r="117">
      <c r="A117" s="331" t="s">
        <v>742</v>
      </c>
      <c r="B117" s="331" t="s">
        <v>745</v>
      </c>
      <c r="C117" s="332" t="s">
        <v>6</v>
      </c>
      <c r="D117" s="2"/>
      <c r="E117" s="3"/>
      <c r="F117" s="332" t="s">
        <v>746</v>
      </c>
      <c r="G117" s="3"/>
      <c r="H117" s="374"/>
      <c r="I117" s="374"/>
    </row>
    <row r="118">
      <c r="A118" s="20"/>
      <c r="B118" s="20"/>
      <c r="C118" s="334" t="s">
        <v>8</v>
      </c>
      <c r="D118" s="334" t="s">
        <v>9</v>
      </c>
      <c r="E118" s="334" t="s">
        <v>358</v>
      </c>
      <c r="F118" s="334" t="s">
        <v>11</v>
      </c>
      <c r="G118" s="334" t="s">
        <v>751</v>
      </c>
      <c r="H118" s="374"/>
      <c r="I118" s="374"/>
    </row>
    <row r="119">
      <c r="A119" s="337" t="s">
        <v>2026</v>
      </c>
      <c r="B119" s="2"/>
      <c r="C119" s="2"/>
      <c r="D119" s="2"/>
      <c r="E119" s="2"/>
      <c r="F119" s="2"/>
      <c r="G119" s="3"/>
      <c r="H119" s="374"/>
      <c r="I119" s="374"/>
    </row>
    <row r="120">
      <c r="A120" s="339"/>
      <c r="B120" s="339" t="s">
        <v>754</v>
      </c>
      <c r="C120" s="339" t="s">
        <v>22</v>
      </c>
      <c r="D120" s="339" t="s">
        <v>757</v>
      </c>
      <c r="E120" s="339">
        <v>100.0</v>
      </c>
      <c r="F120" s="339"/>
      <c r="G120" s="339"/>
      <c r="H120" s="374"/>
      <c r="I120" s="374"/>
    </row>
    <row r="121">
      <c r="A121" s="339" t="s">
        <v>761</v>
      </c>
      <c r="B121" s="341" t="s">
        <v>1985</v>
      </c>
      <c r="C121" s="2"/>
      <c r="D121" s="2"/>
      <c r="E121" s="2"/>
      <c r="F121" s="2"/>
      <c r="G121" s="3"/>
      <c r="H121" s="374"/>
      <c r="I121" s="374"/>
    </row>
    <row r="122">
      <c r="A122" s="341" t="s">
        <v>1170</v>
      </c>
      <c r="B122" s="2"/>
      <c r="C122" s="2"/>
      <c r="D122" s="2"/>
      <c r="E122" s="2"/>
      <c r="F122" s="2"/>
      <c r="G122" s="3"/>
      <c r="H122" s="374"/>
      <c r="I122" s="374"/>
    </row>
    <row r="123">
      <c r="A123" s="344"/>
      <c r="B123" s="346" t="s">
        <v>2027</v>
      </c>
      <c r="C123" s="348" t="s">
        <v>2028</v>
      </c>
      <c r="D123" s="2"/>
      <c r="E123" s="3"/>
      <c r="F123" s="349"/>
      <c r="G123" s="3"/>
      <c r="H123" s="374"/>
      <c r="I123" s="374"/>
    </row>
    <row r="124">
      <c r="A124" s="20"/>
      <c r="B124" s="20"/>
      <c r="C124" s="351" t="s">
        <v>22</v>
      </c>
      <c r="D124" s="351">
        <v>100.0</v>
      </c>
      <c r="E124" s="351">
        <v>227.97</v>
      </c>
      <c r="F124" s="351">
        <f>D124*E124</f>
        <v>22797</v>
      </c>
      <c r="G124" s="351" t="s">
        <v>772</v>
      </c>
      <c r="H124" s="374"/>
      <c r="I124" s="374"/>
    </row>
    <row r="125">
      <c r="A125" s="346" t="s">
        <v>1178</v>
      </c>
      <c r="B125" s="344"/>
      <c r="C125" s="348" t="s">
        <v>1988</v>
      </c>
      <c r="D125" s="2"/>
      <c r="E125" s="3"/>
      <c r="F125" s="349"/>
      <c r="G125" s="3"/>
      <c r="H125" s="374"/>
      <c r="I125" s="374"/>
    </row>
    <row r="126">
      <c r="A126" s="20"/>
      <c r="B126" s="20"/>
      <c r="C126" s="351" t="s">
        <v>107</v>
      </c>
      <c r="D126" s="359"/>
      <c r="E126" s="359"/>
      <c r="F126" s="351">
        <f>F124*5%</f>
        <v>1139.85</v>
      </c>
      <c r="G126" s="351" t="s">
        <v>1183</v>
      </c>
      <c r="H126" s="374"/>
      <c r="I126" s="374"/>
    </row>
    <row r="127">
      <c r="A127" s="344"/>
      <c r="B127" s="346" t="s">
        <v>1989</v>
      </c>
      <c r="C127" s="348" t="s">
        <v>1990</v>
      </c>
      <c r="D127" s="2"/>
      <c r="E127" s="3"/>
      <c r="F127" s="349"/>
      <c r="G127" s="3"/>
      <c r="H127" s="374"/>
      <c r="I127" s="374"/>
    </row>
    <row r="128">
      <c r="A128" s="20"/>
      <c r="B128" s="20"/>
      <c r="C128" s="351" t="s">
        <v>27</v>
      </c>
      <c r="D128" s="351">
        <v>1.0</v>
      </c>
      <c r="E128" s="351">
        <v>600.0</v>
      </c>
      <c r="F128" s="351">
        <f>D128*E128</f>
        <v>600</v>
      </c>
      <c r="G128" s="351" t="s">
        <v>782</v>
      </c>
      <c r="H128" s="374"/>
      <c r="I128" s="374"/>
    </row>
    <row r="129">
      <c r="A129" s="346" t="s">
        <v>1178</v>
      </c>
      <c r="B129" s="344"/>
      <c r="C129" s="357" t="s">
        <v>1991</v>
      </c>
      <c r="D129" s="2"/>
      <c r="E129" s="3"/>
      <c r="F129" s="349"/>
      <c r="G129" s="3"/>
      <c r="H129" s="374"/>
      <c r="I129" s="374"/>
    </row>
    <row r="130">
      <c r="A130" s="20"/>
      <c r="B130" s="20"/>
      <c r="C130" s="351" t="s">
        <v>107</v>
      </c>
      <c r="D130" s="359"/>
      <c r="E130" s="359"/>
      <c r="F130" s="351">
        <f>(F124+F126+F128)*2%</f>
        <v>490.737</v>
      </c>
      <c r="G130" s="351" t="s">
        <v>1215</v>
      </c>
      <c r="H130" s="374"/>
      <c r="I130" s="374"/>
    </row>
    <row r="131">
      <c r="A131" s="341" t="s">
        <v>42</v>
      </c>
      <c r="B131" s="2"/>
      <c r="C131" s="3"/>
      <c r="D131" s="362">
        <v>100.0</v>
      </c>
      <c r="E131" s="362" t="s">
        <v>22</v>
      </c>
      <c r="F131" s="362">
        <f>F124+F126+F128+F130</f>
        <v>25027.587</v>
      </c>
      <c r="G131" s="339"/>
      <c r="H131" s="374"/>
      <c r="I131" s="374"/>
    </row>
    <row r="132">
      <c r="A132" s="341" t="s">
        <v>800</v>
      </c>
      <c r="B132" s="2"/>
      <c r="C132" s="3"/>
      <c r="D132" s="362">
        <v>1.0</v>
      </c>
      <c r="E132" s="362" t="s">
        <v>22</v>
      </c>
      <c r="F132" s="362">
        <f>F131/D131</f>
        <v>250.27587</v>
      </c>
      <c r="G132" s="339"/>
      <c r="H132" s="374"/>
      <c r="I132" s="374"/>
    </row>
    <row r="133">
      <c r="A133" s="341" t="s">
        <v>1187</v>
      </c>
      <c r="B133" s="2"/>
      <c r="C133" s="2"/>
      <c r="D133" s="3"/>
      <c r="E133" s="366">
        <f>F124*1.05*1.02/100</f>
        <v>244.15587</v>
      </c>
      <c r="F133" s="362">
        <f>E133*1%</f>
        <v>2.4415587</v>
      </c>
      <c r="G133" s="339"/>
      <c r="H133" s="374"/>
      <c r="I133" s="374"/>
    </row>
    <row r="134">
      <c r="A134" s="341" t="s">
        <v>42</v>
      </c>
      <c r="B134" s="2"/>
      <c r="C134" s="2"/>
      <c r="D134" s="3"/>
      <c r="E134" s="339"/>
      <c r="F134" s="362">
        <f>F132+F133</f>
        <v>252.7174287</v>
      </c>
      <c r="G134" s="339"/>
      <c r="H134" s="374"/>
      <c r="I134" s="374"/>
    </row>
    <row r="135">
      <c r="A135" s="341" t="s">
        <v>806</v>
      </c>
      <c r="B135" s="2"/>
      <c r="C135" s="2"/>
      <c r="D135" s="3"/>
      <c r="E135" s="362">
        <f>F134</f>
        <v>252.7174287</v>
      </c>
      <c r="F135" s="362">
        <f>E135*15%</f>
        <v>37.90761431</v>
      </c>
      <c r="G135" s="339"/>
      <c r="H135" s="374"/>
      <c r="I135" s="374"/>
    </row>
    <row r="136">
      <c r="A136" s="367" t="s">
        <v>42</v>
      </c>
      <c r="B136" s="2"/>
      <c r="C136" s="2"/>
      <c r="D136" s="3"/>
      <c r="E136" s="368"/>
      <c r="F136" s="369">
        <f>round(F134+F135,2)</f>
        <v>290.63</v>
      </c>
      <c r="G136" s="339"/>
      <c r="H136" s="374"/>
      <c r="I136" s="374"/>
    </row>
    <row r="137">
      <c r="A137" s="346">
        <v>1001.0</v>
      </c>
      <c r="B137" s="344"/>
      <c r="C137" s="348" t="s">
        <v>1529</v>
      </c>
      <c r="D137" s="2"/>
      <c r="E137" s="3"/>
      <c r="F137" s="349"/>
      <c r="G137" s="3"/>
      <c r="H137" s="374"/>
      <c r="I137" s="374"/>
    </row>
    <row r="138">
      <c r="A138" s="20"/>
      <c r="B138" s="20"/>
      <c r="C138" s="351" t="s">
        <v>27</v>
      </c>
      <c r="D138" s="351">
        <v>1.0</v>
      </c>
      <c r="E138" s="351">
        <v>806.0</v>
      </c>
      <c r="F138" s="351">
        <f>E138*D138</f>
        <v>806</v>
      </c>
      <c r="G138" s="351" t="s">
        <v>780</v>
      </c>
      <c r="H138" s="374"/>
      <c r="I138" s="374"/>
    </row>
    <row r="139">
      <c r="A139" s="346" t="s">
        <v>1178</v>
      </c>
      <c r="B139" s="344"/>
      <c r="C139" s="357" t="s">
        <v>1996</v>
      </c>
      <c r="D139" s="2"/>
      <c r="E139" s="3"/>
      <c r="F139" s="349"/>
      <c r="G139" s="3"/>
      <c r="H139" s="374"/>
      <c r="I139" s="374"/>
    </row>
    <row r="140">
      <c r="A140" s="20"/>
      <c r="B140" s="20"/>
      <c r="C140" s="351" t="s">
        <v>107</v>
      </c>
      <c r="D140" s="359"/>
      <c r="E140" s="359"/>
      <c r="F140" s="351">
        <f>F138*2%</f>
        <v>16.12</v>
      </c>
      <c r="G140" s="351" t="s">
        <v>1998</v>
      </c>
      <c r="H140" s="374">
        <f>F140+F130</f>
        <v>506.857</v>
      </c>
      <c r="I140" s="374"/>
    </row>
    <row r="141">
      <c r="A141" s="341" t="s">
        <v>42</v>
      </c>
      <c r="B141" s="2"/>
      <c r="C141" s="3"/>
      <c r="D141" s="362">
        <v>100.0</v>
      </c>
      <c r="E141" s="362" t="s">
        <v>22</v>
      </c>
      <c r="F141" s="362">
        <f>F138+F140</f>
        <v>822.12</v>
      </c>
      <c r="G141" s="368"/>
      <c r="H141" s="374"/>
      <c r="I141" s="374"/>
    </row>
    <row r="142">
      <c r="A142" s="341" t="s">
        <v>800</v>
      </c>
      <c r="B142" s="2"/>
      <c r="C142" s="3"/>
      <c r="D142" s="362">
        <v>1.0</v>
      </c>
      <c r="E142" s="362" t="s">
        <v>22</v>
      </c>
      <c r="F142" s="362">
        <f>F141/D141</f>
        <v>8.2212</v>
      </c>
      <c r="G142" s="368"/>
      <c r="H142" s="374"/>
      <c r="I142" s="374"/>
    </row>
    <row r="143">
      <c r="A143" s="341" t="s">
        <v>806</v>
      </c>
      <c r="B143" s="2"/>
      <c r="C143" s="2"/>
      <c r="D143" s="3"/>
      <c r="E143" s="362">
        <f>F142</f>
        <v>8.2212</v>
      </c>
      <c r="F143" s="362">
        <f>E143*15%</f>
        <v>1.23318</v>
      </c>
      <c r="G143" s="368"/>
      <c r="H143" s="374"/>
      <c r="I143" s="374"/>
    </row>
    <row r="144">
      <c r="A144" s="367" t="s">
        <v>42</v>
      </c>
      <c r="B144" s="2"/>
      <c r="C144" s="2"/>
      <c r="D144" s="3"/>
      <c r="E144" s="368"/>
      <c r="F144" s="369">
        <f>round(F142+F143,2)</f>
        <v>9.45</v>
      </c>
      <c r="G144" s="339"/>
      <c r="H144" s="374"/>
      <c r="I144" s="374">
        <f>F144+F136</f>
        <v>300.08</v>
      </c>
    </row>
    <row r="145">
      <c r="A145" s="592" t="str">
        <f>CONCATENATE("Say ₹ ",F136," + ",F144," x Cost Index")                                           </f>
        <v>Say ₹ 290.63 + 9.45 x Cost Index</v>
      </c>
      <c r="B145" s="2"/>
      <c r="C145" s="2"/>
      <c r="D145" s="2"/>
      <c r="E145" s="2"/>
      <c r="F145" s="3"/>
      <c r="G145" s="369" t="s">
        <v>939</v>
      </c>
      <c r="H145" s="374">
        <f>(((F124*1.05*1.01)+F128)*1.02*1.15)/100</f>
        <v>290.625043</v>
      </c>
      <c r="I145" s="374">
        <f>(F138*1.02*1.15)/100</f>
        <v>9.45438</v>
      </c>
    </row>
    <row r="146">
      <c r="A146" s="331" t="s">
        <v>742</v>
      </c>
      <c r="B146" s="331" t="s">
        <v>745</v>
      </c>
      <c r="C146" s="332" t="s">
        <v>6</v>
      </c>
      <c r="D146" s="2"/>
      <c r="E146" s="3"/>
      <c r="F146" s="332" t="s">
        <v>746</v>
      </c>
      <c r="G146" s="3"/>
      <c r="H146" s="374"/>
      <c r="I146" s="374"/>
    </row>
    <row r="147">
      <c r="A147" s="20"/>
      <c r="B147" s="20"/>
      <c r="C147" s="334" t="s">
        <v>8</v>
      </c>
      <c r="D147" s="334" t="s">
        <v>9</v>
      </c>
      <c r="E147" s="334" t="s">
        <v>358</v>
      </c>
      <c r="F147" s="334" t="s">
        <v>11</v>
      </c>
      <c r="G147" s="334" t="s">
        <v>751</v>
      </c>
      <c r="H147" s="374"/>
      <c r="I147" s="374"/>
    </row>
    <row r="148">
      <c r="A148" s="337" t="s">
        <v>2035</v>
      </c>
      <c r="B148" s="2"/>
      <c r="C148" s="2"/>
      <c r="D148" s="2"/>
      <c r="E148" s="2"/>
      <c r="F148" s="2"/>
      <c r="G148" s="3"/>
      <c r="H148" s="374"/>
      <c r="I148" s="374"/>
    </row>
    <row r="149">
      <c r="A149" s="339"/>
      <c r="B149" s="339" t="s">
        <v>754</v>
      </c>
      <c r="C149" s="339" t="s">
        <v>22</v>
      </c>
      <c r="D149" s="339" t="s">
        <v>757</v>
      </c>
      <c r="E149" s="339">
        <v>100.0</v>
      </c>
      <c r="F149" s="339"/>
      <c r="G149" s="339"/>
      <c r="H149" s="374"/>
      <c r="I149" s="374"/>
    </row>
    <row r="150">
      <c r="A150" s="339" t="s">
        <v>761</v>
      </c>
      <c r="B150" s="341" t="s">
        <v>1985</v>
      </c>
      <c r="C150" s="2"/>
      <c r="D150" s="2"/>
      <c r="E150" s="2"/>
      <c r="F150" s="2"/>
      <c r="G150" s="3"/>
      <c r="H150" s="374"/>
      <c r="I150" s="374"/>
    </row>
    <row r="151">
      <c r="A151" s="341" t="s">
        <v>1170</v>
      </c>
      <c r="B151" s="2"/>
      <c r="C151" s="2"/>
      <c r="D151" s="2"/>
      <c r="E151" s="2"/>
      <c r="F151" s="2"/>
      <c r="G151" s="3"/>
      <c r="H151" s="374"/>
      <c r="I151" s="374"/>
    </row>
    <row r="152">
      <c r="A152" s="344"/>
      <c r="B152" s="346" t="s">
        <v>2036</v>
      </c>
      <c r="C152" s="348" t="s">
        <v>2037</v>
      </c>
      <c r="D152" s="2"/>
      <c r="E152" s="3"/>
      <c r="F152" s="349"/>
      <c r="G152" s="3"/>
      <c r="H152" s="374"/>
      <c r="I152" s="374"/>
    </row>
    <row r="153">
      <c r="A153" s="20"/>
      <c r="B153" s="20"/>
      <c r="C153" s="351" t="s">
        <v>22</v>
      </c>
      <c r="D153" s="351">
        <v>100.0</v>
      </c>
      <c r="E153" s="351">
        <v>366.1</v>
      </c>
      <c r="F153" s="351">
        <f>D153*E153</f>
        <v>36610</v>
      </c>
      <c r="G153" s="351" t="s">
        <v>772</v>
      </c>
      <c r="H153" s="374"/>
      <c r="I153" s="374"/>
    </row>
    <row r="154">
      <c r="A154" s="346" t="s">
        <v>1178</v>
      </c>
      <c r="B154" s="344"/>
      <c r="C154" s="348" t="s">
        <v>1988</v>
      </c>
      <c r="D154" s="2"/>
      <c r="E154" s="3"/>
      <c r="F154" s="349"/>
      <c r="G154" s="3"/>
      <c r="H154" s="374"/>
      <c r="I154" s="374"/>
    </row>
    <row r="155">
      <c r="A155" s="20"/>
      <c r="B155" s="20"/>
      <c r="C155" s="351" t="s">
        <v>107</v>
      </c>
      <c r="D155" s="359"/>
      <c r="E155" s="359"/>
      <c r="F155" s="351">
        <f>F153*5%</f>
        <v>1830.5</v>
      </c>
      <c r="G155" s="351" t="s">
        <v>1183</v>
      </c>
      <c r="H155" s="374"/>
      <c r="I155" s="374"/>
    </row>
    <row r="156">
      <c r="A156" s="344"/>
      <c r="B156" s="346" t="s">
        <v>1989</v>
      </c>
      <c r="C156" s="348" t="s">
        <v>1990</v>
      </c>
      <c r="D156" s="2"/>
      <c r="E156" s="3"/>
      <c r="F156" s="349"/>
      <c r="G156" s="3"/>
      <c r="H156" s="374"/>
      <c r="I156" s="374"/>
    </row>
    <row r="157">
      <c r="A157" s="20"/>
      <c r="B157" s="20"/>
      <c r="C157" s="351" t="s">
        <v>27</v>
      </c>
      <c r="D157" s="351">
        <v>1.5</v>
      </c>
      <c r="E157" s="351">
        <v>600.0</v>
      </c>
      <c r="F157" s="351">
        <f>D157*E157</f>
        <v>900</v>
      </c>
      <c r="G157" s="351" t="s">
        <v>782</v>
      </c>
      <c r="H157" s="374"/>
      <c r="I157" s="374"/>
    </row>
    <row r="158">
      <c r="A158" s="346" t="s">
        <v>1178</v>
      </c>
      <c r="B158" s="344"/>
      <c r="C158" s="357" t="s">
        <v>1991</v>
      </c>
      <c r="D158" s="2"/>
      <c r="E158" s="3"/>
      <c r="F158" s="349"/>
      <c r="G158" s="3"/>
      <c r="H158" s="374"/>
      <c r="I158" s="374"/>
    </row>
    <row r="159">
      <c r="A159" s="20"/>
      <c r="B159" s="20"/>
      <c r="C159" s="351" t="s">
        <v>107</v>
      </c>
      <c r="D159" s="359"/>
      <c r="E159" s="359"/>
      <c r="F159" s="351">
        <f>(F153+F155+F157)*2%</f>
        <v>786.81</v>
      </c>
      <c r="G159" s="351" t="s">
        <v>1215</v>
      </c>
      <c r="H159" s="374"/>
      <c r="I159" s="374"/>
    </row>
    <row r="160">
      <c r="A160" s="341" t="s">
        <v>42</v>
      </c>
      <c r="B160" s="2"/>
      <c r="C160" s="3"/>
      <c r="D160" s="362">
        <v>100.0</v>
      </c>
      <c r="E160" s="362" t="s">
        <v>22</v>
      </c>
      <c r="F160" s="362">
        <f>F153+F155+F157+F159</f>
        <v>40127.31</v>
      </c>
      <c r="G160" s="339"/>
      <c r="H160" s="374"/>
      <c r="I160" s="374"/>
    </row>
    <row r="161">
      <c r="A161" s="341" t="s">
        <v>800</v>
      </c>
      <c r="B161" s="2"/>
      <c r="C161" s="3"/>
      <c r="D161" s="362">
        <v>1.0</v>
      </c>
      <c r="E161" s="362" t="s">
        <v>22</v>
      </c>
      <c r="F161" s="362">
        <f>F160/D160</f>
        <v>401.2731</v>
      </c>
      <c r="G161" s="339"/>
      <c r="H161" s="374"/>
      <c r="I161" s="374"/>
    </row>
    <row r="162">
      <c r="A162" s="341" t="s">
        <v>1187</v>
      </c>
      <c r="B162" s="2"/>
      <c r="C162" s="2"/>
      <c r="D162" s="3"/>
      <c r="E162" s="366">
        <f>F153*1.05*1.02/100</f>
        <v>392.0931</v>
      </c>
      <c r="F162" s="362">
        <f>E162*1%</f>
        <v>3.920931</v>
      </c>
      <c r="G162" s="339"/>
      <c r="H162" s="374"/>
      <c r="I162" s="374"/>
    </row>
    <row r="163">
      <c r="A163" s="341" t="s">
        <v>42</v>
      </c>
      <c r="B163" s="2"/>
      <c r="C163" s="2"/>
      <c r="D163" s="3"/>
      <c r="E163" s="339"/>
      <c r="F163" s="362">
        <f>F161+F162</f>
        <v>405.194031</v>
      </c>
      <c r="G163" s="339"/>
      <c r="H163" s="374"/>
      <c r="I163" s="374"/>
    </row>
    <row r="164">
      <c r="A164" s="341" t="s">
        <v>806</v>
      </c>
      <c r="B164" s="2"/>
      <c r="C164" s="2"/>
      <c r="D164" s="3"/>
      <c r="E164" s="362">
        <f>F163</f>
        <v>405.194031</v>
      </c>
      <c r="F164" s="362">
        <f>E164*15%</f>
        <v>60.77910465</v>
      </c>
      <c r="G164" s="339"/>
      <c r="H164" s="374"/>
      <c r="I164" s="374"/>
    </row>
    <row r="165">
      <c r="A165" s="367" t="s">
        <v>42</v>
      </c>
      <c r="B165" s="2"/>
      <c r="C165" s="2"/>
      <c r="D165" s="3"/>
      <c r="E165" s="368"/>
      <c r="F165" s="369">
        <f>round(F163+F164,2)</f>
        <v>465.97</v>
      </c>
      <c r="G165" s="339"/>
      <c r="H165" s="374"/>
      <c r="I165" s="374"/>
    </row>
    <row r="166">
      <c r="A166" s="346">
        <v>1001.0</v>
      </c>
      <c r="B166" s="344"/>
      <c r="C166" s="348" t="s">
        <v>1529</v>
      </c>
      <c r="D166" s="2"/>
      <c r="E166" s="3"/>
      <c r="F166" s="349"/>
      <c r="G166" s="3"/>
      <c r="H166" s="374"/>
      <c r="I166" s="374"/>
    </row>
    <row r="167">
      <c r="A167" s="20"/>
      <c r="B167" s="20"/>
      <c r="C167" s="351" t="s">
        <v>27</v>
      </c>
      <c r="D167" s="351">
        <v>1.5</v>
      </c>
      <c r="E167" s="351">
        <v>806.0</v>
      </c>
      <c r="F167" s="351">
        <f>E167*D167</f>
        <v>1209</v>
      </c>
      <c r="G167" s="351" t="s">
        <v>780</v>
      </c>
      <c r="H167" s="374"/>
      <c r="I167" s="374"/>
    </row>
    <row r="168">
      <c r="A168" s="346" t="s">
        <v>1178</v>
      </c>
      <c r="B168" s="344"/>
      <c r="C168" s="357" t="s">
        <v>1996</v>
      </c>
      <c r="D168" s="2"/>
      <c r="E168" s="3"/>
      <c r="F168" s="349"/>
      <c r="G168" s="3"/>
      <c r="H168" s="374"/>
      <c r="I168" s="374"/>
    </row>
    <row r="169">
      <c r="A169" s="20"/>
      <c r="B169" s="20"/>
      <c r="C169" s="351" t="s">
        <v>107</v>
      </c>
      <c r="D169" s="359"/>
      <c r="E169" s="359"/>
      <c r="F169" s="351">
        <f>F167*2%</f>
        <v>24.18</v>
      </c>
      <c r="G169" s="351" t="s">
        <v>1998</v>
      </c>
      <c r="H169" s="374">
        <f>F169+F159</f>
        <v>810.99</v>
      </c>
      <c r="I169" s="374"/>
    </row>
    <row r="170">
      <c r="A170" s="341" t="s">
        <v>42</v>
      </c>
      <c r="B170" s="2"/>
      <c r="C170" s="3"/>
      <c r="D170" s="362">
        <v>100.0</v>
      </c>
      <c r="E170" s="362" t="s">
        <v>22</v>
      </c>
      <c r="F170" s="362">
        <f>F167+F169</f>
        <v>1233.18</v>
      </c>
      <c r="G170" s="368"/>
      <c r="H170" s="374"/>
      <c r="I170" s="374"/>
    </row>
    <row r="171">
      <c r="A171" s="341" t="s">
        <v>800</v>
      </c>
      <c r="B171" s="2"/>
      <c r="C171" s="3"/>
      <c r="D171" s="362">
        <v>1.0</v>
      </c>
      <c r="E171" s="362" t="s">
        <v>22</v>
      </c>
      <c r="F171" s="362">
        <f>F170/D170</f>
        <v>12.3318</v>
      </c>
      <c r="G171" s="368"/>
      <c r="H171" s="374"/>
      <c r="I171" s="374"/>
    </row>
    <row r="172">
      <c r="A172" s="341" t="s">
        <v>806</v>
      </c>
      <c r="B172" s="2"/>
      <c r="C172" s="2"/>
      <c r="D172" s="3"/>
      <c r="E172" s="362">
        <f>F171</f>
        <v>12.3318</v>
      </c>
      <c r="F172" s="362">
        <f>E172*15%</f>
        <v>1.84977</v>
      </c>
      <c r="G172" s="368"/>
      <c r="H172" s="374"/>
      <c r="I172" s="374"/>
    </row>
    <row r="173">
      <c r="A173" s="367" t="s">
        <v>42</v>
      </c>
      <c r="B173" s="2"/>
      <c r="C173" s="2"/>
      <c r="D173" s="3"/>
      <c r="E173" s="368"/>
      <c r="F173" s="369">
        <f>round(F171+F172,2)</f>
        <v>14.18</v>
      </c>
      <c r="G173" s="339"/>
      <c r="H173" s="374"/>
      <c r="I173" s="374">
        <f>F173+F165</f>
        <v>480.15</v>
      </c>
    </row>
    <row r="174">
      <c r="A174" s="592" t="str">
        <f>CONCATENATE("Say ₹ ",F165," + ",F173," x Cost Index")                                           </f>
        <v>Say ₹ 465.97 + 14.18 x Cost Index</v>
      </c>
      <c r="B174" s="2"/>
      <c r="C174" s="2"/>
      <c r="D174" s="2"/>
      <c r="E174" s="2"/>
      <c r="F174" s="3"/>
      <c r="G174" s="369" t="s">
        <v>939</v>
      </c>
      <c r="H174" s="374">
        <f>(((F153*1.05*1.01)+F157)*1.02*1.15)/100</f>
        <v>465.9731357</v>
      </c>
      <c r="I174" s="374">
        <f>(F167*1.02*1.15)/100</f>
        <v>14.18157</v>
      </c>
    </row>
    <row r="175">
      <c r="A175" s="331" t="s">
        <v>742</v>
      </c>
      <c r="B175" s="331" t="s">
        <v>745</v>
      </c>
      <c r="C175" s="332" t="s">
        <v>6</v>
      </c>
      <c r="D175" s="2"/>
      <c r="E175" s="3"/>
      <c r="F175" s="332" t="s">
        <v>746</v>
      </c>
      <c r="G175" s="3"/>
      <c r="H175" s="374"/>
      <c r="I175" s="374"/>
    </row>
    <row r="176">
      <c r="A176" s="20"/>
      <c r="B176" s="20"/>
      <c r="C176" s="334" t="s">
        <v>8</v>
      </c>
      <c r="D176" s="334" t="s">
        <v>9</v>
      </c>
      <c r="E176" s="334" t="s">
        <v>358</v>
      </c>
      <c r="F176" s="334" t="s">
        <v>11</v>
      </c>
      <c r="G176" s="334" t="s">
        <v>751</v>
      </c>
      <c r="H176" s="374"/>
      <c r="I176" s="374"/>
    </row>
    <row r="177">
      <c r="A177" s="337" t="s">
        <v>2041</v>
      </c>
      <c r="B177" s="2"/>
      <c r="C177" s="2"/>
      <c r="D177" s="2"/>
      <c r="E177" s="2"/>
      <c r="F177" s="2"/>
      <c r="G177" s="3"/>
      <c r="H177" s="374"/>
      <c r="I177" s="374"/>
    </row>
    <row r="178">
      <c r="A178" s="339"/>
      <c r="B178" s="339" t="s">
        <v>754</v>
      </c>
      <c r="C178" s="339" t="s">
        <v>22</v>
      </c>
      <c r="D178" s="339" t="s">
        <v>757</v>
      </c>
      <c r="E178" s="339">
        <v>100.0</v>
      </c>
      <c r="F178" s="339"/>
      <c r="G178" s="339"/>
      <c r="H178" s="374"/>
      <c r="I178" s="374"/>
    </row>
    <row r="179">
      <c r="A179" s="339" t="s">
        <v>761</v>
      </c>
      <c r="B179" s="341" t="s">
        <v>1985</v>
      </c>
      <c r="C179" s="2"/>
      <c r="D179" s="2"/>
      <c r="E179" s="2"/>
      <c r="F179" s="2"/>
      <c r="G179" s="3"/>
      <c r="H179" s="374"/>
      <c r="I179" s="374"/>
    </row>
    <row r="180">
      <c r="A180" s="341" t="s">
        <v>1170</v>
      </c>
      <c r="B180" s="2"/>
      <c r="C180" s="2"/>
      <c r="D180" s="2"/>
      <c r="E180" s="2"/>
      <c r="F180" s="2"/>
      <c r="G180" s="3"/>
      <c r="H180" s="374"/>
      <c r="I180" s="374"/>
    </row>
    <row r="181">
      <c r="A181" s="344"/>
      <c r="B181" s="346" t="s">
        <v>2042</v>
      </c>
      <c r="C181" s="348" t="s">
        <v>2043</v>
      </c>
      <c r="D181" s="2"/>
      <c r="E181" s="3"/>
      <c r="F181" s="349"/>
      <c r="G181" s="3"/>
      <c r="H181" s="374"/>
      <c r="I181" s="374"/>
    </row>
    <row r="182">
      <c r="A182" s="20"/>
      <c r="B182" s="20"/>
      <c r="C182" s="351" t="s">
        <v>22</v>
      </c>
      <c r="D182" s="351">
        <v>100.0</v>
      </c>
      <c r="E182" s="351">
        <v>628.81</v>
      </c>
      <c r="F182" s="351">
        <f>D182*E182</f>
        <v>62881</v>
      </c>
      <c r="G182" s="351" t="s">
        <v>772</v>
      </c>
      <c r="H182" s="374"/>
      <c r="I182" s="374"/>
    </row>
    <row r="183">
      <c r="A183" s="346" t="s">
        <v>1178</v>
      </c>
      <c r="B183" s="344"/>
      <c r="C183" s="348" t="s">
        <v>1988</v>
      </c>
      <c r="D183" s="2"/>
      <c r="E183" s="3"/>
      <c r="F183" s="349"/>
      <c r="G183" s="3"/>
      <c r="H183" s="374"/>
      <c r="I183" s="374"/>
    </row>
    <row r="184">
      <c r="A184" s="20"/>
      <c r="B184" s="20"/>
      <c r="C184" s="351" t="s">
        <v>107</v>
      </c>
      <c r="D184" s="359"/>
      <c r="E184" s="359"/>
      <c r="F184" s="351">
        <f>F182*5%</f>
        <v>3144.05</v>
      </c>
      <c r="G184" s="351" t="s">
        <v>1183</v>
      </c>
      <c r="H184" s="374"/>
      <c r="I184" s="374"/>
    </row>
    <row r="185">
      <c r="A185" s="344"/>
      <c r="B185" s="346" t="s">
        <v>1989</v>
      </c>
      <c r="C185" s="348" t="s">
        <v>1990</v>
      </c>
      <c r="D185" s="2"/>
      <c r="E185" s="3"/>
      <c r="F185" s="349"/>
      <c r="G185" s="3"/>
      <c r="H185" s="374"/>
      <c r="I185" s="374"/>
    </row>
    <row r="186">
      <c r="A186" s="20"/>
      <c r="B186" s="20"/>
      <c r="C186" s="351" t="s">
        <v>27</v>
      </c>
      <c r="D186" s="351">
        <v>1.5</v>
      </c>
      <c r="E186" s="351">
        <v>600.0</v>
      </c>
      <c r="F186" s="351">
        <f>D186*E186</f>
        <v>900</v>
      </c>
      <c r="G186" s="351" t="s">
        <v>782</v>
      </c>
      <c r="H186" s="374"/>
      <c r="I186" s="374"/>
    </row>
    <row r="187">
      <c r="A187" s="346" t="s">
        <v>1178</v>
      </c>
      <c r="B187" s="344"/>
      <c r="C187" s="357" t="s">
        <v>1991</v>
      </c>
      <c r="D187" s="2"/>
      <c r="E187" s="3"/>
      <c r="F187" s="349"/>
      <c r="G187" s="3"/>
      <c r="H187" s="374"/>
      <c r="I187" s="374"/>
    </row>
    <row r="188">
      <c r="A188" s="20"/>
      <c r="B188" s="20"/>
      <c r="C188" s="351" t="s">
        <v>107</v>
      </c>
      <c r="D188" s="359"/>
      <c r="E188" s="359"/>
      <c r="F188" s="351">
        <f>(F182+F184+F186)*2%</f>
        <v>1338.501</v>
      </c>
      <c r="G188" s="351" t="s">
        <v>1215</v>
      </c>
      <c r="H188" s="374"/>
      <c r="I188" s="374"/>
    </row>
    <row r="189">
      <c r="A189" s="341" t="s">
        <v>42</v>
      </c>
      <c r="B189" s="2"/>
      <c r="C189" s="3"/>
      <c r="D189" s="362">
        <v>100.0</v>
      </c>
      <c r="E189" s="362" t="s">
        <v>22</v>
      </c>
      <c r="F189" s="362">
        <f>F182+F184+F186+F188</f>
        <v>68263.551</v>
      </c>
      <c r="G189" s="339"/>
      <c r="H189" s="374"/>
      <c r="I189" s="374"/>
    </row>
    <row r="190">
      <c r="A190" s="341" t="s">
        <v>800</v>
      </c>
      <c r="B190" s="2"/>
      <c r="C190" s="3"/>
      <c r="D190" s="362">
        <v>1.0</v>
      </c>
      <c r="E190" s="362" t="s">
        <v>22</v>
      </c>
      <c r="F190" s="362">
        <f>F189/D189</f>
        <v>682.63551</v>
      </c>
      <c r="G190" s="339"/>
      <c r="H190" s="374"/>
      <c r="I190" s="374"/>
    </row>
    <row r="191">
      <c r="A191" s="341" t="s">
        <v>1187</v>
      </c>
      <c r="B191" s="2"/>
      <c r="C191" s="2"/>
      <c r="D191" s="3"/>
      <c r="E191" s="366">
        <f>F182*1.05*1.02/100</f>
        <v>673.45551</v>
      </c>
      <c r="F191" s="362">
        <f>E191*1%</f>
        <v>6.7345551</v>
      </c>
      <c r="G191" s="339"/>
      <c r="H191" s="374"/>
      <c r="I191" s="374"/>
    </row>
    <row r="192">
      <c r="A192" s="341" t="s">
        <v>42</v>
      </c>
      <c r="B192" s="2"/>
      <c r="C192" s="2"/>
      <c r="D192" s="3"/>
      <c r="E192" s="339"/>
      <c r="F192" s="362">
        <f>F190+F191</f>
        <v>689.3700651</v>
      </c>
      <c r="G192" s="339"/>
      <c r="H192" s="374"/>
      <c r="I192" s="374"/>
    </row>
    <row r="193">
      <c r="A193" s="341" t="s">
        <v>806</v>
      </c>
      <c r="B193" s="2"/>
      <c r="C193" s="2"/>
      <c r="D193" s="3"/>
      <c r="E193" s="362">
        <f>F192</f>
        <v>689.3700651</v>
      </c>
      <c r="F193" s="362">
        <f>E193*15%</f>
        <v>103.4055098</v>
      </c>
      <c r="G193" s="339"/>
      <c r="H193" s="374"/>
      <c r="I193" s="374"/>
    </row>
    <row r="194">
      <c r="A194" s="367" t="s">
        <v>42</v>
      </c>
      <c r="B194" s="2"/>
      <c r="C194" s="2"/>
      <c r="D194" s="3"/>
      <c r="E194" s="368"/>
      <c r="F194" s="369">
        <f>round(F192+F193,2)</f>
        <v>792.78</v>
      </c>
      <c r="G194" s="339"/>
      <c r="H194" s="374"/>
      <c r="I194" s="374"/>
    </row>
    <row r="195">
      <c r="A195" s="346">
        <v>1001.0</v>
      </c>
      <c r="B195" s="344"/>
      <c r="C195" s="348" t="s">
        <v>1529</v>
      </c>
      <c r="D195" s="2"/>
      <c r="E195" s="3"/>
      <c r="F195" s="349"/>
      <c r="G195" s="3"/>
      <c r="H195" s="374"/>
      <c r="I195" s="374"/>
    </row>
    <row r="196">
      <c r="A196" s="20"/>
      <c r="B196" s="20"/>
      <c r="C196" s="351" t="s">
        <v>27</v>
      </c>
      <c r="D196" s="351">
        <v>1.5</v>
      </c>
      <c r="E196" s="351">
        <v>806.0</v>
      </c>
      <c r="F196" s="351">
        <f>E196*D196</f>
        <v>1209</v>
      </c>
      <c r="G196" s="351" t="s">
        <v>780</v>
      </c>
      <c r="H196" s="374"/>
      <c r="I196" s="374"/>
    </row>
    <row r="197">
      <c r="A197" s="346" t="s">
        <v>1178</v>
      </c>
      <c r="B197" s="344"/>
      <c r="C197" s="357" t="s">
        <v>1996</v>
      </c>
      <c r="D197" s="2"/>
      <c r="E197" s="3"/>
      <c r="F197" s="349"/>
      <c r="G197" s="3"/>
      <c r="H197" s="374"/>
      <c r="I197" s="374"/>
    </row>
    <row r="198">
      <c r="A198" s="20"/>
      <c r="B198" s="20"/>
      <c r="C198" s="351" t="s">
        <v>107</v>
      </c>
      <c r="D198" s="359"/>
      <c r="E198" s="359"/>
      <c r="F198" s="351">
        <f>F196*2%</f>
        <v>24.18</v>
      </c>
      <c r="G198" s="351" t="s">
        <v>1998</v>
      </c>
      <c r="H198" s="374">
        <f>F198+F188</f>
        <v>1362.681</v>
      </c>
      <c r="I198" s="374"/>
    </row>
    <row r="199">
      <c r="A199" s="341" t="s">
        <v>42</v>
      </c>
      <c r="B199" s="2"/>
      <c r="C199" s="3"/>
      <c r="D199" s="362">
        <v>100.0</v>
      </c>
      <c r="E199" s="362" t="s">
        <v>22</v>
      </c>
      <c r="F199" s="362">
        <f>F196+F198</f>
        <v>1233.18</v>
      </c>
      <c r="G199" s="368"/>
      <c r="H199" s="374"/>
      <c r="I199" s="374"/>
    </row>
    <row r="200">
      <c r="A200" s="341" t="s">
        <v>800</v>
      </c>
      <c r="B200" s="2"/>
      <c r="C200" s="3"/>
      <c r="D200" s="362">
        <v>1.0</v>
      </c>
      <c r="E200" s="362" t="s">
        <v>22</v>
      </c>
      <c r="F200" s="362">
        <f>F199/D199</f>
        <v>12.3318</v>
      </c>
      <c r="G200" s="368"/>
      <c r="H200" s="374"/>
      <c r="I200" s="374"/>
    </row>
    <row r="201">
      <c r="A201" s="341" t="s">
        <v>806</v>
      </c>
      <c r="B201" s="2"/>
      <c r="C201" s="2"/>
      <c r="D201" s="3"/>
      <c r="E201" s="362">
        <f>F200</f>
        <v>12.3318</v>
      </c>
      <c r="F201" s="362">
        <f>E201*15%</f>
        <v>1.84977</v>
      </c>
      <c r="G201" s="368"/>
      <c r="H201" s="374"/>
      <c r="I201" s="374"/>
    </row>
    <row r="202">
      <c r="A202" s="367" t="s">
        <v>42</v>
      </c>
      <c r="B202" s="2"/>
      <c r="C202" s="2"/>
      <c r="D202" s="3"/>
      <c r="E202" s="368"/>
      <c r="F202" s="369">
        <f>round(F200+F201,2)</f>
        <v>14.18</v>
      </c>
      <c r="G202" s="339"/>
      <c r="H202" s="374"/>
      <c r="I202" s="374">
        <f>F202+F194</f>
        <v>806.96</v>
      </c>
    </row>
    <row r="203">
      <c r="A203" s="592" t="str">
        <f>CONCATENATE("Say ₹ ",F194," + ",F202," x Cost Index")                                           </f>
        <v>Say ₹ 792.78 + 14.18 x Cost Index</v>
      </c>
      <c r="B203" s="2"/>
      <c r="C203" s="2"/>
      <c r="D203" s="2"/>
      <c r="E203" s="2"/>
      <c r="F203" s="3"/>
      <c r="G203" s="369" t="s">
        <v>939</v>
      </c>
      <c r="H203" s="374">
        <f>(((F182*1.05*1.01)+F186)*1.02*1.15)/100</f>
        <v>792.7755749</v>
      </c>
      <c r="I203" s="374">
        <f>(F196*1.02*1.15)/100</f>
        <v>14.18157</v>
      </c>
    </row>
    <row r="204">
      <c r="A204" s="331" t="s">
        <v>742</v>
      </c>
      <c r="B204" s="331" t="s">
        <v>745</v>
      </c>
      <c r="C204" s="332" t="s">
        <v>6</v>
      </c>
      <c r="D204" s="2"/>
      <c r="E204" s="3"/>
      <c r="F204" s="332" t="s">
        <v>746</v>
      </c>
      <c r="G204" s="3"/>
      <c r="H204" s="374"/>
      <c r="I204" s="374"/>
    </row>
    <row r="205">
      <c r="A205" s="20"/>
      <c r="B205" s="20"/>
      <c r="C205" s="334" t="s">
        <v>8</v>
      </c>
      <c r="D205" s="334" t="s">
        <v>9</v>
      </c>
      <c r="E205" s="334" t="s">
        <v>358</v>
      </c>
      <c r="F205" s="334" t="s">
        <v>11</v>
      </c>
      <c r="G205" s="334" t="s">
        <v>751</v>
      </c>
      <c r="H205" s="374"/>
      <c r="I205" s="374"/>
    </row>
    <row r="206">
      <c r="A206" s="337" t="s">
        <v>2052</v>
      </c>
      <c r="B206" s="2"/>
      <c r="C206" s="2"/>
      <c r="D206" s="2"/>
      <c r="E206" s="2"/>
      <c r="F206" s="2"/>
      <c r="G206" s="3"/>
      <c r="H206" s="374"/>
      <c r="I206" s="374"/>
    </row>
    <row r="207">
      <c r="A207" s="339"/>
      <c r="B207" s="339" t="s">
        <v>754</v>
      </c>
      <c r="C207" s="339" t="s">
        <v>22</v>
      </c>
      <c r="D207" s="339" t="s">
        <v>757</v>
      </c>
      <c r="E207" s="339">
        <v>100.0</v>
      </c>
      <c r="F207" s="339"/>
      <c r="G207" s="339"/>
      <c r="H207" s="374"/>
      <c r="I207" s="374"/>
    </row>
    <row r="208">
      <c r="A208" s="339" t="s">
        <v>761</v>
      </c>
      <c r="B208" s="341" t="s">
        <v>1985</v>
      </c>
      <c r="C208" s="2"/>
      <c r="D208" s="2"/>
      <c r="E208" s="2"/>
      <c r="F208" s="2"/>
      <c r="G208" s="3"/>
      <c r="H208" s="374"/>
      <c r="I208" s="374"/>
    </row>
    <row r="209">
      <c r="A209" s="341" t="s">
        <v>1170</v>
      </c>
      <c r="B209" s="2"/>
      <c r="C209" s="2"/>
      <c r="D209" s="2"/>
      <c r="E209" s="2"/>
      <c r="F209" s="2"/>
      <c r="G209" s="3"/>
      <c r="H209" s="374"/>
      <c r="I209" s="374"/>
    </row>
    <row r="210">
      <c r="A210" s="344"/>
      <c r="B210" s="346" t="s">
        <v>2054</v>
      </c>
      <c r="C210" s="348" t="s">
        <v>2055</v>
      </c>
      <c r="D210" s="2"/>
      <c r="E210" s="3"/>
      <c r="F210" s="349"/>
      <c r="G210" s="3"/>
      <c r="H210" s="374"/>
      <c r="I210" s="374"/>
    </row>
    <row r="211">
      <c r="A211" s="20"/>
      <c r="B211" s="20"/>
      <c r="C211" s="351" t="s">
        <v>22</v>
      </c>
      <c r="D211" s="351">
        <v>100.0</v>
      </c>
      <c r="E211" s="351">
        <v>907.63</v>
      </c>
      <c r="F211" s="351">
        <f>D211*E211</f>
        <v>90763</v>
      </c>
      <c r="G211" s="351" t="s">
        <v>772</v>
      </c>
      <c r="H211" s="374"/>
      <c r="I211" s="374"/>
    </row>
    <row r="212">
      <c r="A212" s="346" t="s">
        <v>1178</v>
      </c>
      <c r="B212" s="344"/>
      <c r="C212" s="348" t="s">
        <v>1988</v>
      </c>
      <c r="D212" s="2"/>
      <c r="E212" s="3"/>
      <c r="F212" s="349"/>
      <c r="G212" s="3"/>
      <c r="H212" s="374"/>
      <c r="I212" s="374"/>
    </row>
    <row r="213">
      <c r="A213" s="20"/>
      <c r="B213" s="20"/>
      <c r="C213" s="351" t="s">
        <v>107</v>
      </c>
      <c r="D213" s="359"/>
      <c r="E213" s="359"/>
      <c r="F213" s="351">
        <f>F211*5%</f>
        <v>4538.15</v>
      </c>
      <c r="G213" s="351" t="s">
        <v>1183</v>
      </c>
      <c r="H213" s="374"/>
      <c r="I213" s="374"/>
    </row>
    <row r="214">
      <c r="A214" s="344"/>
      <c r="B214" s="346" t="s">
        <v>1989</v>
      </c>
      <c r="C214" s="348" t="s">
        <v>1990</v>
      </c>
      <c r="D214" s="2"/>
      <c r="E214" s="3"/>
      <c r="F214" s="349"/>
      <c r="G214" s="3"/>
      <c r="H214" s="374"/>
      <c r="I214" s="374"/>
    </row>
    <row r="215">
      <c r="A215" s="20"/>
      <c r="B215" s="20"/>
      <c r="C215" s="351" t="s">
        <v>27</v>
      </c>
      <c r="D215" s="351">
        <v>2.0</v>
      </c>
      <c r="E215" s="351">
        <v>600.0</v>
      </c>
      <c r="F215" s="351">
        <f>D215*E215</f>
        <v>1200</v>
      </c>
      <c r="G215" s="351" t="s">
        <v>782</v>
      </c>
      <c r="H215" s="374"/>
      <c r="I215" s="374"/>
    </row>
    <row r="216">
      <c r="A216" s="346" t="s">
        <v>1178</v>
      </c>
      <c r="B216" s="344"/>
      <c r="C216" s="357" t="s">
        <v>1991</v>
      </c>
      <c r="D216" s="2"/>
      <c r="E216" s="3"/>
      <c r="F216" s="349"/>
      <c r="G216" s="3"/>
      <c r="H216" s="374"/>
      <c r="I216" s="374"/>
    </row>
    <row r="217">
      <c r="A217" s="20"/>
      <c r="B217" s="20"/>
      <c r="C217" s="351" t="s">
        <v>107</v>
      </c>
      <c r="D217" s="359"/>
      <c r="E217" s="359"/>
      <c r="F217" s="351">
        <f>(F211+F213+F215)*2%</f>
        <v>1930.023</v>
      </c>
      <c r="G217" s="351" t="s">
        <v>1215</v>
      </c>
      <c r="H217" s="374"/>
      <c r="I217" s="374"/>
    </row>
    <row r="218">
      <c r="A218" s="341" t="s">
        <v>42</v>
      </c>
      <c r="B218" s="2"/>
      <c r="C218" s="3"/>
      <c r="D218" s="362">
        <v>100.0</v>
      </c>
      <c r="E218" s="362" t="s">
        <v>22</v>
      </c>
      <c r="F218" s="362">
        <f>F211+F213+F215+F217</f>
        <v>98431.173</v>
      </c>
      <c r="G218" s="339"/>
      <c r="H218" s="374"/>
      <c r="I218" s="374"/>
    </row>
    <row r="219">
      <c r="A219" s="341" t="s">
        <v>800</v>
      </c>
      <c r="B219" s="2"/>
      <c r="C219" s="3"/>
      <c r="D219" s="362">
        <v>1.0</v>
      </c>
      <c r="E219" s="362" t="s">
        <v>22</v>
      </c>
      <c r="F219" s="362">
        <f>F218/D218</f>
        <v>984.31173</v>
      </c>
      <c r="G219" s="339"/>
      <c r="H219" s="374"/>
      <c r="I219" s="374"/>
    </row>
    <row r="220">
      <c r="A220" s="341" t="s">
        <v>1187</v>
      </c>
      <c r="B220" s="2"/>
      <c r="C220" s="2"/>
      <c r="D220" s="3"/>
      <c r="E220" s="366">
        <f>F211*1.05*1.02/100</f>
        <v>972.07173</v>
      </c>
      <c r="F220" s="362">
        <f>E220*1%</f>
        <v>9.7207173</v>
      </c>
      <c r="G220" s="339"/>
      <c r="H220" s="374"/>
      <c r="I220" s="374"/>
    </row>
    <row r="221">
      <c r="A221" s="341" t="s">
        <v>42</v>
      </c>
      <c r="B221" s="2"/>
      <c r="C221" s="2"/>
      <c r="D221" s="3"/>
      <c r="E221" s="339"/>
      <c r="F221" s="362">
        <f>F219+F220</f>
        <v>994.0324473</v>
      </c>
      <c r="G221" s="339"/>
      <c r="H221" s="374"/>
      <c r="I221" s="374"/>
    </row>
    <row r="222">
      <c r="A222" s="341" t="s">
        <v>806</v>
      </c>
      <c r="B222" s="2"/>
      <c r="C222" s="2"/>
      <c r="D222" s="3"/>
      <c r="E222" s="362">
        <f>F221</f>
        <v>994.0324473</v>
      </c>
      <c r="F222" s="362">
        <f>E222*15%</f>
        <v>149.1048671</v>
      </c>
      <c r="G222" s="339"/>
      <c r="H222" s="374"/>
      <c r="I222" s="374"/>
    </row>
    <row r="223">
      <c r="A223" s="367" t="s">
        <v>42</v>
      </c>
      <c r="B223" s="2"/>
      <c r="C223" s="2"/>
      <c r="D223" s="3"/>
      <c r="E223" s="368"/>
      <c r="F223" s="369">
        <f>round(F221+F222,2)</f>
        <v>1143.14</v>
      </c>
      <c r="G223" s="339"/>
      <c r="H223" s="374"/>
      <c r="I223" s="374"/>
    </row>
    <row r="224">
      <c r="A224" s="346">
        <v>1001.0</v>
      </c>
      <c r="B224" s="344"/>
      <c r="C224" s="348" t="s">
        <v>1529</v>
      </c>
      <c r="D224" s="2"/>
      <c r="E224" s="3"/>
      <c r="F224" s="349"/>
      <c r="G224" s="3"/>
      <c r="H224" s="374"/>
      <c r="I224" s="374"/>
    </row>
    <row r="225">
      <c r="A225" s="20"/>
      <c r="B225" s="20"/>
      <c r="C225" s="351" t="s">
        <v>27</v>
      </c>
      <c r="D225" s="351">
        <v>2.0</v>
      </c>
      <c r="E225" s="351">
        <v>806.0</v>
      </c>
      <c r="F225" s="351">
        <f>E225*D225</f>
        <v>1612</v>
      </c>
      <c r="G225" s="351" t="s">
        <v>780</v>
      </c>
      <c r="H225" s="374"/>
      <c r="I225" s="374"/>
    </row>
    <row r="226">
      <c r="A226" s="346" t="s">
        <v>1178</v>
      </c>
      <c r="B226" s="344"/>
      <c r="C226" s="357" t="s">
        <v>1996</v>
      </c>
      <c r="D226" s="2"/>
      <c r="E226" s="3"/>
      <c r="F226" s="349"/>
      <c r="G226" s="3"/>
      <c r="H226" s="374"/>
      <c r="I226" s="374"/>
    </row>
    <row r="227">
      <c r="A227" s="20"/>
      <c r="B227" s="20"/>
      <c r="C227" s="351" t="s">
        <v>107</v>
      </c>
      <c r="D227" s="359"/>
      <c r="E227" s="359"/>
      <c r="F227" s="351">
        <f>F225*2%</f>
        <v>32.24</v>
      </c>
      <c r="G227" s="351" t="s">
        <v>1998</v>
      </c>
      <c r="H227" s="374">
        <f>F227+F217</f>
        <v>1962.263</v>
      </c>
      <c r="I227" s="374"/>
    </row>
    <row r="228">
      <c r="A228" s="341" t="s">
        <v>42</v>
      </c>
      <c r="B228" s="2"/>
      <c r="C228" s="3"/>
      <c r="D228" s="362">
        <v>100.0</v>
      </c>
      <c r="E228" s="362" t="s">
        <v>22</v>
      </c>
      <c r="F228" s="362">
        <f>F225+F227</f>
        <v>1644.24</v>
      </c>
      <c r="G228" s="368"/>
      <c r="H228" s="374"/>
      <c r="I228" s="374"/>
    </row>
    <row r="229">
      <c r="A229" s="341" t="s">
        <v>800</v>
      </c>
      <c r="B229" s="2"/>
      <c r="C229" s="3"/>
      <c r="D229" s="362">
        <v>1.0</v>
      </c>
      <c r="E229" s="362" t="s">
        <v>22</v>
      </c>
      <c r="F229" s="362">
        <f>F228/D228</f>
        <v>16.4424</v>
      </c>
      <c r="G229" s="368"/>
      <c r="H229" s="374"/>
      <c r="I229" s="374"/>
    </row>
    <row r="230">
      <c r="A230" s="341" t="s">
        <v>806</v>
      </c>
      <c r="B230" s="2"/>
      <c r="C230" s="2"/>
      <c r="D230" s="3"/>
      <c r="E230" s="362">
        <f>F229</f>
        <v>16.4424</v>
      </c>
      <c r="F230" s="362">
        <f>E230*15%</f>
        <v>2.46636</v>
      </c>
      <c r="G230" s="368"/>
      <c r="H230" s="374"/>
      <c r="I230" s="374"/>
    </row>
    <row r="231">
      <c r="A231" s="367" t="s">
        <v>42</v>
      </c>
      <c r="B231" s="2"/>
      <c r="C231" s="2"/>
      <c r="D231" s="3"/>
      <c r="E231" s="368"/>
      <c r="F231" s="369">
        <f>round(F229+F230,2)</f>
        <v>18.91</v>
      </c>
      <c r="G231" s="339"/>
      <c r="H231" s="374"/>
      <c r="I231" s="374">
        <f>F231+F223</f>
        <v>1162.05</v>
      </c>
    </row>
    <row r="232">
      <c r="A232" s="592" t="str">
        <f>CONCATENATE("Say ₹ ",F223," + ",F231," x Cost Index")                                           </f>
        <v>Say ₹ 1143.14 + 18.91 x Cost Index</v>
      </c>
      <c r="B232" s="2"/>
      <c r="C232" s="2"/>
      <c r="D232" s="2"/>
      <c r="E232" s="2"/>
      <c r="F232" s="3"/>
      <c r="G232" s="369" t="s">
        <v>939</v>
      </c>
      <c r="H232" s="374">
        <f>(((F211*1.05*1.01)+F215)*1.02*1.15)/100</f>
        <v>1143.137314</v>
      </c>
      <c r="I232" s="374">
        <f>(F225*1.02*1.15)/100</f>
        <v>18.90876</v>
      </c>
    </row>
  </sheetData>
  <mergeCells count="336">
    <mergeCell ref="B139:B140"/>
    <mergeCell ref="C139:E139"/>
    <mergeCell ref="A135:D135"/>
    <mergeCell ref="A136:D136"/>
    <mergeCell ref="A137:A138"/>
    <mergeCell ref="B137:B138"/>
    <mergeCell ref="C137:E137"/>
    <mergeCell ref="F137:G137"/>
    <mergeCell ref="F139:G139"/>
    <mergeCell ref="A139:A140"/>
    <mergeCell ref="A141:C141"/>
    <mergeCell ref="A142:C142"/>
    <mergeCell ref="A143:D143"/>
    <mergeCell ref="A144:D144"/>
    <mergeCell ref="A145:F145"/>
    <mergeCell ref="A146:A147"/>
    <mergeCell ref="F152:G152"/>
    <mergeCell ref="F154:G154"/>
    <mergeCell ref="F156:G156"/>
    <mergeCell ref="F158:G158"/>
    <mergeCell ref="B146:B147"/>
    <mergeCell ref="C146:E146"/>
    <mergeCell ref="F146:G146"/>
    <mergeCell ref="A148:G148"/>
    <mergeCell ref="B150:G150"/>
    <mergeCell ref="A151:G151"/>
    <mergeCell ref="A152:A153"/>
    <mergeCell ref="B152:B153"/>
    <mergeCell ref="C152:E152"/>
    <mergeCell ref="A154:A155"/>
    <mergeCell ref="B154:B155"/>
    <mergeCell ref="C154:E154"/>
    <mergeCell ref="B156:B157"/>
    <mergeCell ref="C156:E156"/>
    <mergeCell ref="C158:E158"/>
    <mergeCell ref="A156:A157"/>
    <mergeCell ref="A158:A159"/>
    <mergeCell ref="B158:B159"/>
    <mergeCell ref="A160:C160"/>
    <mergeCell ref="A161:C161"/>
    <mergeCell ref="A162:D162"/>
    <mergeCell ref="A163:D163"/>
    <mergeCell ref="B168:B169"/>
    <mergeCell ref="C168:E168"/>
    <mergeCell ref="A164:D164"/>
    <mergeCell ref="A165:D165"/>
    <mergeCell ref="A166:A167"/>
    <mergeCell ref="B166:B167"/>
    <mergeCell ref="C166:E166"/>
    <mergeCell ref="F166:G166"/>
    <mergeCell ref="F168:G168"/>
    <mergeCell ref="A168:A169"/>
    <mergeCell ref="A170:C170"/>
    <mergeCell ref="A171:C171"/>
    <mergeCell ref="A172:D172"/>
    <mergeCell ref="A173:D173"/>
    <mergeCell ref="A174:F174"/>
    <mergeCell ref="A175:A176"/>
    <mergeCell ref="F181:G181"/>
    <mergeCell ref="F183:G183"/>
    <mergeCell ref="F185:G185"/>
    <mergeCell ref="F187:G187"/>
    <mergeCell ref="B175:B176"/>
    <mergeCell ref="C175:E175"/>
    <mergeCell ref="F175:G175"/>
    <mergeCell ref="A177:G177"/>
    <mergeCell ref="B179:G179"/>
    <mergeCell ref="A180:G180"/>
    <mergeCell ref="A181:A182"/>
    <mergeCell ref="B181:B182"/>
    <mergeCell ref="C181:E181"/>
    <mergeCell ref="A183:A184"/>
    <mergeCell ref="B183:B184"/>
    <mergeCell ref="C183:E183"/>
    <mergeCell ref="B185:B186"/>
    <mergeCell ref="C185:E185"/>
    <mergeCell ref="C187:E187"/>
    <mergeCell ref="A185:A186"/>
    <mergeCell ref="A187:A188"/>
    <mergeCell ref="B187:B188"/>
    <mergeCell ref="A189:C189"/>
    <mergeCell ref="A190:C190"/>
    <mergeCell ref="A191:D191"/>
    <mergeCell ref="A192:D192"/>
    <mergeCell ref="B226:B227"/>
    <mergeCell ref="C226:E226"/>
    <mergeCell ref="A226:A227"/>
    <mergeCell ref="A228:C228"/>
    <mergeCell ref="A229:C229"/>
    <mergeCell ref="A230:D230"/>
    <mergeCell ref="A231:D231"/>
    <mergeCell ref="A232:F232"/>
    <mergeCell ref="A222:D222"/>
    <mergeCell ref="A223:D223"/>
    <mergeCell ref="A224:A225"/>
    <mergeCell ref="B224:B225"/>
    <mergeCell ref="C224:E224"/>
    <mergeCell ref="F224:G224"/>
    <mergeCell ref="F226:G226"/>
    <mergeCell ref="B197:B198"/>
    <mergeCell ref="C197:E197"/>
    <mergeCell ref="A193:D193"/>
    <mergeCell ref="A194:D194"/>
    <mergeCell ref="A195:A196"/>
    <mergeCell ref="B195:B196"/>
    <mergeCell ref="C195:E195"/>
    <mergeCell ref="F195:G195"/>
    <mergeCell ref="F197:G197"/>
    <mergeCell ref="A197:A198"/>
    <mergeCell ref="A199:C199"/>
    <mergeCell ref="A200:C200"/>
    <mergeCell ref="A201:D201"/>
    <mergeCell ref="A202:D202"/>
    <mergeCell ref="A203:F203"/>
    <mergeCell ref="A204:A205"/>
    <mergeCell ref="F210:G210"/>
    <mergeCell ref="F212:G212"/>
    <mergeCell ref="F214:G214"/>
    <mergeCell ref="F216:G216"/>
    <mergeCell ref="B204:B205"/>
    <mergeCell ref="C204:E204"/>
    <mergeCell ref="F204:G204"/>
    <mergeCell ref="A206:G206"/>
    <mergeCell ref="B208:G208"/>
    <mergeCell ref="A209:G209"/>
    <mergeCell ref="A210:A211"/>
    <mergeCell ref="B210:B211"/>
    <mergeCell ref="C210:E210"/>
    <mergeCell ref="A212:A213"/>
    <mergeCell ref="B212:B213"/>
    <mergeCell ref="C212:E212"/>
    <mergeCell ref="B214:B215"/>
    <mergeCell ref="C214:E214"/>
    <mergeCell ref="C216:E216"/>
    <mergeCell ref="A214:A215"/>
    <mergeCell ref="A216:A217"/>
    <mergeCell ref="B216:B217"/>
    <mergeCell ref="A218:C218"/>
    <mergeCell ref="A219:C219"/>
    <mergeCell ref="A220:D220"/>
    <mergeCell ref="A221:D221"/>
    <mergeCell ref="A23:A24"/>
    <mergeCell ref="A30:A31"/>
    <mergeCell ref="B30:B31"/>
    <mergeCell ref="A21:A22"/>
    <mergeCell ref="B23:B24"/>
    <mergeCell ref="A25:C25"/>
    <mergeCell ref="A26:C26"/>
    <mergeCell ref="A27:D27"/>
    <mergeCell ref="A28:D28"/>
    <mergeCell ref="A29:F29"/>
    <mergeCell ref="C36:E36"/>
    <mergeCell ref="F36:G36"/>
    <mergeCell ref="C30:E30"/>
    <mergeCell ref="F30:G30"/>
    <mergeCell ref="A32:G32"/>
    <mergeCell ref="B34:G34"/>
    <mergeCell ref="A35:G35"/>
    <mergeCell ref="A36:A37"/>
    <mergeCell ref="B36:B37"/>
    <mergeCell ref="C42:E42"/>
    <mergeCell ref="F42:G42"/>
    <mergeCell ref="A38:A39"/>
    <mergeCell ref="B38:B39"/>
    <mergeCell ref="C38:E38"/>
    <mergeCell ref="F38:G38"/>
    <mergeCell ref="B40:B41"/>
    <mergeCell ref="C40:E40"/>
    <mergeCell ref="F40:G40"/>
    <mergeCell ref="A1:A2"/>
    <mergeCell ref="B1:B2"/>
    <mergeCell ref="C1:E1"/>
    <mergeCell ref="F1:G1"/>
    <mergeCell ref="A3:G3"/>
    <mergeCell ref="B5:G5"/>
    <mergeCell ref="A6:G6"/>
    <mergeCell ref="C11:E11"/>
    <mergeCell ref="F11:G11"/>
    <mergeCell ref="C13:E13"/>
    <mergeCell ref="F13:G13"/>
    <mergeCell ref="A7:A8"/>
    <mergeCell ref="B7:B8"/>
    <mergeCell ref="C7:E7"/>
    <mergeCell ref="F7:G7"/>
    <mergeCell ref="B9:B10"/>
    <mergeCell ref="C9:E9"/>
    <mergeCell ref="F9:G9"/>
    <mergeCell ref="A9:A10"/>
    <mergeCell ref="A11:A12"/>
    <mergeCell ref="B11:B12"/>
    <mergeCell ref="A13:A14"/>
    <mergeCell ref="B13:B14"/>
    <mergeCell ref="A15:C15"/>
    <mergeCell ref="A16:C16"/>
    <mergeCell ref="C23:E23"/>
    <mergeCell ref="F23:G23"/>
    <mergeCell ref="A17:D17"/>
    <mergeCell ref="A18:D18"/>
    <mergeCell ref="A19:D19"/>
    <mergeCell ref="A20:D20"/>
    <mergeCell ref="B21:B22"/>
    <mergeCell ref="C21:E21"/>
    <mergeCell ref="F21:G21"/>
    <mergeCell ref="A40:A41"/>
    <mergeCell ref="A42:A43"/>
    <mergeCell ref="B42:B43"/>
    <mergeCell ref="A44:C44"/>
    <mergeCell ref="A45:C45"/>
    <mergeCell ref="A46:D46"/>
    <mergeCell ref="A47:D47"/>
    <mergeCell ref="B52:B53"/>
    <mergeCell ref="C52:E52"/>
    <mergeCell ref="A48:D48"/>
    <mergeCell ref="A49:D49"/>
    <mergeCell ref="A50:A51"/>
    <mergeCell ref="B50:B51"/>
    <mergeCell ref="C50:E50"/>
    <mergeCell ref="F50:G50"/>
    <mergeCell ref="F52:G52"/>
    <mergeCell ref="A52:A53"/>
    <mergeCell ref="A54:C54"/>
    <mergeCell ref="A55:C55"/>
    <mergeCell ref="A56:D56"/>
    <mergeCell ref="A57:D57"/>
    <mergeCell ref="A58:F58"/>
    <mergeCell ref="A59:A60"/>
    <mergeCell ref="F65:G65"/>
    <mergeCell ref="F67:G67"/>
    <mergeCell ref="F69:G69"/>
    <mergeCell ref="F71:G71"/>
    <mergeCell ref="B59:B60"/>
    <mergeCell ref="C59:E59"/>
    <mergeCell ref="F59:G59"/>
    <mergeCell ref="A61:G61"/>
    <mergeCell ref="B63:G63"/>
    <mergeCell ref="A64:G64"/>
    <mergeCell ref="A65:A66"/>
    <mergeCell ref="B65:B66"/>
    <mergeCell ref="C65:E65"/>
    <mergeCell ref="A67:A68"/>
    <mergeCell ref="B67:B68"/>
    <mergeCell ref="C67:E67"/>
    <mergeCell ref="B69:B70"/>
    <mergeCell ref="C69:E69"/>
    <mergeCell ref="C71:E71"/>
    <mergeCell ref="A69:A70"/>
    <mergeCell ref="A71:A72"/>
    <mergeCell ref="B71:B72"/>
    <mergeCell ref="A73:C73"/>
    <mergeCell ref="A74:C74"/>
    <mergeCell ref="A75:D75"/>
    <mergeCell ref="A76:D76"/>
    <mergeCell ref="B81:B82"/>
    <mergeCell ref="C81:E81"/>
    <mergeCell ref="A77:D77"/>
    <mergeCell ref="A78:D78"/>
    <mergeCell ref="A79:A80"/>
    <mergeCell ref="B79:B80"/>
    <mergeCell ref="C79:E79"/>
    <mergeCell ref="F79:G79"/>
    <mergeCell ref="F81:G81"/>
    <mergeCell ref="A81:A82"/>
    <mergeCell ref="A83:C83"/>
    <mergeCell ref="A84:C84"/>
    <mergeCell ref="A85:D85"/>
    <mergeCell ref="A86:D86"/>
    <mergeCell ref="A87:F87"/>
    <mergeCell ref="A88:A89"/>
    <mergeCell ref="F94:G94"/>
    <mergeCell ref="F96:G96"/>
    <mergeCell ref="F98:G98"/>
    <mergeCell ref="F100:G100"/>
    <mergeCell ref="B88:B89"/>
    <mergeCell ref="C88:E88"/>
    <mergeCell ref="F88:G88"/>
    <mergeCell ref="A90:G90"/>
    <mergeCell ref="B92:G92"/>
    <mergeCell ref="A93:G93"/>
    <mergeCell ref="A94:A95"/>
    <mergeCell ref="B94:B95"/>
    <mergeCell ref="C94:E94"/>
    <mergeCell ref="A96:A97"/>
    <mergeCell ref="B96:B97"/>
    <mergeCell ref="C96:E96"/>
    <mergeCell ref="B98:B99"/>
    <mergeCell ref="C98:E98"/>
    <mergeCell ref="C100:E100"/>
    <mergeCell ref="A98:A99"/>
    <mergeCell ref="A100:A101"/>
    <mergeCell ref="B100:B101"/>
    <mergeCell ref="A102:C102"/>
    <mergeCell ref="A103:C103"/>
    <mergeCell ref="A104:D104"/>
    <mergeCell ref="A105:D105"/>
    <mergeCell ref="B110:B111"/>
    <mergeCell ref="C110:E110"/>
    <mergeCell ref="A106:D106"/>
    <mergeCell ref="A107:D107"/>
    <mergeCell ref="A108:A109"/>
    <mergeCell ref="B108:B109"/>
    <mergeCell ref="C108:E108"/>
    <mergeCell ref="F108:G108"/>
    <mergeCell ref="F110:G110"/>
    <mergeCell ref="A110:A111"/>
    <mergeCell ref="A112:C112"/>
    <mergeCell ref="A113:C113"/>
    <mergeCell ref="A114:D114"/>
    <mergeCell ref="A115:D115"/>
    <mergeCell ref="A116:F116"/>
    <mergeCell ref="A117:A118"/>
    <mergeCell ref="F123:G123"/>
    <mergeCell ref="F125:G125"/>
    <mergeCell ref="F127:G127"/>
    <mergeCell ref="F129:G129"/>
    <mergeCell ref="B117:B118"/>
    <mergeCell ref="C117:E117"/>
    <mergeCell ref="F117:G117"/>
    <mergeCell ref="A119:G119"/>
    <mergeCell ref="B121:G121"/>
    <mergeCell ref="A122:G122"/>
    <mergeCell ref="A123:A124"/>
    <mergeCell ref="B123:B124"/>
    <mergeCell ref="C123:E123"/>
    <mergeCell ref="A125:A126"/>
    <mergeCell ref="B125:B126"/>
    <mergeCell ref="C125:E125"/>
    <mergeCell ref="B127:B128"/>
    <mergeCell ref="C127:E127"/>
    <mergeCell ref="C129:E129"/>
    <mergeCell ref="A127:A128"/>
    <mergeCell ref="A129:A130"/>
    <mergeCell ref="B129:B130"/>
    <mergeCell ref="A131:C131"/>
    <mergeCell ref="A132:C132"/>
    <mergeCell ref="A133:D133"/>
    <mergeCell ref="A134:D134"/>
  </mergeCells>
  <printOptions/>
  <pageMargins bottom="0.75" footer="0.0" header="0.0" left="0.7" right="0.7" top="0.75"/>
  <pageSetup fitToHeight="0" orientation="portrait"/>
  <drawing r:id="rId1"/>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12.86"/>
    <col customWidth="1" min="2" max="2" width="74.0"/>
    <col customWidth="1" min="3" max="4" width="8.43"/>
  </cols>
  <sheetData>
    <row r="1">
      <c r="A1" s="26" t="s">
        <v>354</v>
      </c>
      <c r="B1" s="26" t="s">
        <v>357</v>
      </c>
      <c r="C1" s="26" t="s">
        <v>358</v>
      </c>
      <c r="D1" s="26" t="s">
        <v>8</v>
      </c>
    </row>
    <row r="2">
      <c r="A2" s="29" t="s">
        <v>2064</v>
      </c>
      <c r="B2" s="29" t="s">
        <v>2065</v>
      </c>
      <c r="C2" s="29">
        <v>826.44</v>
      </c>
      <c r="D2" s="29" t="s">
        <v>488</v>
      </c>
    </row>
    <row r="3">
      <c r="A3" s="29" t="s">
        <v>2066</v>
      </c>
      <c r="B3" s="29" t="s">
        <v>2067</v>
      </c>
      <c r="C3" s="29">
        <v>954.28</v>
      </c>
      <c r="D3" s="29" t="s">
        <v>488</v>
      </c>
    </row>
    <row r="4">
      <c r="A4" s="29">
        <v>7748.0</v>
      </c>
      <c r="B4" s="29" t="s">
        <v>2068</v>
      </c>
      <c r="C4" s="29">
        <v>232.29999999999998</v>
      </c>
      <c r="D4" s="29" t="s">
        <v>43</v>
      </c>
    </row>
    <row r="5">
      <c r="A5" s="29" t="s">
        <v>2070</v>
      </c>
      <c r="B5" s="29" t="s">
        <v>2071</v>
      </c>
      <c r="C5" s="29">
        <v>267.85</v>
      </c>
      <c r="D5" s="29" t="s">
        <v>43</v>
      </c>
    </row>
    <row r="6">
      <c r="A6" s="29" t="s">
        <v>2072</v>
      </c>
      <c r="B6" s="29" t="s">
        <v>2073</v>
      </c>
      <c r="C6" s="29">
        <v>580.35</v>
      </c>
      <c r="D6" s="29" t="s">
        <v>488</v>
      </c>
    </row>
    <row r="7">
      <c r="A7" s="29" t="s">
        <v>2074</v>
      </c>
      <c r="B7" s="29" t="s">
        <v>2075</v>
      </c>
      <c r="C7" s="29">
        <v>591.96</v>
      </c>
      <c r="D7" s="29" t="s">
        <v>488</v>
      </c>
    </row>
    <row r="8">
      <c r="A8" s="29">
        <v>7747.0</v>
      </c>
      <c r="B8" s="29" t="s">
        <v>2076</v>
      </c>
      <c r="C8" s="29">
        <v>174.225</v>
      </c>
      <c r="D8" s="29" t="s">
        <v>43</v>
      </c>
    </row>
    <row r="9">
      <c r="A9" s="29" t="s">
        <v>2077</v>
      </c>
      <c r="B9" s="29" t="s">
        <v>2078</v>
      </c>
      <c r="C9" s="29">
        <v>244.62</v>
      </c>
      <c r="D9" s="29" t="s">
        <v>43</v>
      </c>
    </row>
    <row r="10">
      <c r="A10" s="29" t="s">
        <v>2079</v>
      </c>
      <c r="B10" s="29" t="s">
        <v>2080</v>
      </c>
      <c r="C10" s="29">
        <v>480.23</v>
      </c>
      <c r="D10" s="29" t="s">
        <v>488</v>
      </c>
    </row>
    <row r="11">
      <c r="A11" s="29" t="s">
        <v>2082</v>
      </c>
      <c r="B11" s="29" t="s">
        <v>2083</v>
      </c>
      <c r="C11" s="29">
        <v>503.46</v>
      </c>
      <c r="D11" s="29" t="s">
        <v>488</v>
      </c>
    </row>
    <row r="12">
      <c r="A12" s="29">
        <v>7760.0</v>
      </c>
      <c r="B12" s="29" t="s">
        <v>2084</v>
      </c>
      <c r="C12" s="29">
        <v>156.80249999999998</v>
      </c>
      <c r="D12" s="29" t="s">
        <v>43</v>
      </c>
    </row>
    <row r="13">
      <c r="A13" s="29" t="s">
        <v>2086</v>
      </c>
      <c r="B13" s="29" t="s">
        <v>2087</v>
      </c>
      <c r="C13" s="29">
        <v>198.15</v>
      </c>
      <c r="D13" s="29" t="s">
        <v>43</v>
      </c>
    </row>
  </sheetData>
  <printOptions/>
  <pageMargins bottom="0.75" footer="0.0" header="0.0" left="0.7" right="0.7" top="0.75"/>
  <pageSetup orientation="landscape"/>
  <drawing r:id="rId1"/>
  <tableParts count="3">
    <tablePart r:id="rId5"/>
    <tablePart r:id="rId6"/>
    <tablePart r:id="rId7"/>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hidden="1" min="8" max="10" width="14.43"/>
  </cols>
  <sheetData>
    <row r="1">
      <c r="A1" s="331" t="s">
        <v>742</v>
      </c>
      <c r="B1" s="331" t="s">
        <v>745</v>
      </c>
      <c r="C1" s="332" t="s">
        <v>6</v>
      </c>
      <c r="D1" s="2"/>
      <c r="E1" s="3"/>
      <c r="F1" s="332" t="s">
        <v>746</v>
      </c>
      <c r="G1" s="3"/>
      <c r="H1" s="602"/>
      <c r="I1" s="333"/>
      <c r="J1" s="333"/>
    </row>
    <row r="2">
      <c r="A2" s="20"/>
      <c r="B2" s="20"/>
      <c r="C2" s="334" t="s">
        <v>8</v>
      </c>
      <c r="D2" s="334" t="s">
        <v>9</v>
      </c>
      <c r="E2" s="334" t="s">
        <v>358</v>
      </c>
      <c r="F2" s="334" t="s">
        <v>11</v>
      </c>
      <c r="G2" s="334" t="s">
        <v>751</v>
      </c>
      <c r="H2" s="602"/>
      <c r="I2" s="333"/>
      <c r="J2" s="333"/>
    </row>
    <row r="3">
      <c r="A3" s="337" t="s">
        <v>2091</v>
      </c>
      <c r="B3" s="2"/>
      <c r="C3" s="2"/>
      <c r="D3" s="2"/>
      <c r="E3" s="2"/>
      <c r="F3" s="2"/>
      <c r="G3" s="3"/>
      <c r="H3" s="603"/>
      <c r="I3" s="333"/>
      <c r="J3" s="333"/>
    </row>
    <row r="4">
      <c r="A4" s="339"/>
      <c r="B4" s="339" t="s">
        <v>754</v>
      </c>
      <c r="C4" s="339" t="s">
        <v>22</v>
      </c>
      <c r="D4" s="339" t="s">
        <v>757</v>
      </c>
      <c r="E4" s="339">
        <v>50.0</v>
      </c>
      <c r="F4" s="339"/>
      <c r="G4" s="339"/>
      <c r="H4" s="604"/>
      <c r="I4" s="333"/>
      <c r="J4" s="333"/>
    </row>
    <row r="5">
      <c r="A5" s="339" t="s">
        <v>761</v>
      </c>
      <c r="B5" s="341" t="s">
        <v>2092</v>
      </c>
      <c r="C5" s="2"/>
      <c r="D5" s="2"/>
      <c r="E5" s="2"/>
      <c r="F5" s="2"/>
      <c r="G5" s="3"/>
      <c r="H5" s="605"/>
      <c r="I5" s="333"/>
      <c r="J5" s="333"/>
    </row>
    <row r="6">
      <c r="A6" s="341" t="s">
        <v>2093</v>
      </c>
      <c r="B6" s="2"/>
      <c r="C6" s="2"/>
      <c r="D6" s="2"/>
      <c r="E6" s="2"/>
      <c r="F6" s="2"/>
      <c r="G6" s="3"/>
      <c r="H6" s="605"/>
      <c r="I6" s="333"/>
      <c r="J6" s="333"/>
    </row>
    <row r="7">
      <c r="A7" s="344"/>
      <c r="B7" s="346" t="s">
        <v>2094</v>
      </c>
      <c r="C7" s="348" t="s">
        <v>2095</v>
      </c>
      <c r="D7" s="2"/>
      <c r="E7" s="3"/>
      <c r="F7" s="349"/>
      <c r="G7" s="3"/>
      <c r="H7" s="606"/>
      <c r="I7" s="333"/>
      <c r="J7" s="333"/>
    </row>
    <row r="8">
      <c r="A8" s="20"/>
      <c r="B8" s="20"/>
      <c r="C8" s="351" t="s">
        <v>22</v>
      </c>
      <c r="D8" s="351">
        <v>50.0</v>
      </c>
      <c r="E8" s="351">
        <v>118.64</v>
      </c>
      <c r="F8" s="351">
        <f>D8*E8</f>
        <v>5932</v>
      </c>
      <c r="G8" s="351" t="s">
        <v>772</v>
      </c>
      <c r="H8" s="607"/>
      <c r="I8" s="333"/>
      <c r="J8" s="333"/>
    </row>
    <row r="9">
      <c r="A9" s="346" t="s">
        <v>1178</v>
      </c>
      <c r="B9" s="344"/>
      <c r="C9" s="348" t="s">
        <v>1988</v>
      </c>
      <c r="D9" s="2"/>
      <c r="E9" s="3"/>
      <c r="F9" s="349"/>
      <c r="G9" s="3"/>
      <c r="H9" s="606"/>
      <c r="I9" s="333"/>
      <c r="J9" s="333"/>
    </row>
    <row r="10">
      <c r="A10" s="20"/>
      <c r="B10" s="20"/>
      <c r="C10" s="351" t="s">
        <v>107</v>
      </c>
      <c r="D10" s="359"/>
      <c r="E10" s="359"/>
      <c r="F10" s="351">
        <f>F8*5%</f>
        <v>296.6</v>
      </c>
      <c r="G10" s="351" t="s">
        <v>1183</v>
      </c>
      <c r="H10" s="607"/>
      <c r="I10" s="333"/>
      <c r="J10" s="333"/>
    </row>
    <row r="11">
      <c r="A11" s="344"/>
      <c r="B11" s="346" t="s">
        <v>1174</v>
      </c>
      <c r="C11" s="348" t="s">
        <v>1175</v>
      </c>
      <c r="D11" s="2"/>
      <c r="E11" s="3"/>
      <c r="F11" s="349"/>
      <c r="G11" s="3"/>
      <c r="H11" s="606"/>
      <c r="I11" s="333"/>
      <c r="J11" s="333"/>
    </row>
    <row r="12">
      <c r="A12" s="20"/>
      <c r="B12" s="20"/>
      <c r="C12" s="351" t="s">
        <v>27</v>
      </c>
      <c r="D12" s="351">
        <v>7.0</v>
      </c>
      <c r="E12" s="351">
        <v>675.0</v>
      </c>
      <c r="F12" s="351">
        <f>D12*E12</f>
        <v>4725</v>
      </c>
      <c r="G12" s="351" t="s">
        <v>782</v>
      </c>
      <c r="H12" s="607"/>
      <c r="I12" s="333"/>
      <c r="J12" s="333"/>
    </row>
    <row r="13">
      <c r="A13" s="346" t="s">
        <v>1178</v>
      </c>
      <c r="B13" s="344"/>
      <c r="C13" s="357" t="s">
        <v>2098</v>
      </c>
      <c r="D13" s="2"/>
      <c r="E13" s="3"/>
      <c r="F13" s="349"/>
      <c r="G13" s="3"/>
      <c r="H13" s="606"/>
      <c r="I13" s="333"/>
      <c r="J13" s="333"/>
    </row>
    <row r="14">
      <c r="A14" s="20"/>
      <c r="B14" s="20"/>
      <c r="C14" s="351" t="s">
        <v>107</v>
      </c>
      <c r="D14" s="359"/>
      <c r="E14" s="359"/>
      <c r="F14" s="351">
        <f>(F8+F10+F12)*1%</f>
        <v>109.536</v>
      </c>
      <c r="G14" s="351" t="s">
        <v>1215</v>
      </c>
      <c r="H14" s="607"/>
      <c r="I14" s="333"/>
      <c r="J14" s="333"/>
    </row>
    <row r="15">
      <c r="A15" s="341" t="s">
        <v>42</v>
      </c>
      <c r="B15" s="2"/>
      <c r="C15" s="3"/>
      <c r="D15" s="362">
        <v>50.0</v>
      </c>
      <c r="E15" s="362" t="s">
        <v>22</v>
      </c>
      <c r="F15" s="362">
        <f>F8+F10+F12+F14</f>
        <v>11063.136</v>
      </c>
      <c r="G15" s="339"/>
      <c r="H15" s="604"/>
      <c r="I15" s="333"/>
      <c r="J15" s="333"/>
    </row>
    <row r="16">
      <c r="A16" s="341" t="s">
        <v>800</v>
      </c>
      <c r="B16" s="2"/>
      <c r="C16" s="3"/>
      <c r="D16" s="362">
        <v>1.0</v>
      </c>
      <c r="E16" s="362" t="s">
        <v>22</v>
      </c>
      <c r="F16" s="362">
        <f>F15/D15</f>
        <v>221.26272</v>
      </c>
      <c r="G16" s="339"/>
      <c r="H16" s="604"/>
      <c r="I16" s="333"/>
      <c r="J16" s="333"/>
    </row>
    <row r="17">
      <c r="A17" s="341" t="s">
        <v>1187</v>
      </c>
      <c r="B17" s="2"/>
      <c r="C17" s="2"/>
      <c r="D17" s="3"/>
      <c r="E17" s="366">
        <f>F8*105%*101%/D15</f>
        <v>125.81772</v>
      </c>
      <c r="F17" s="362">
        <f>E17*1%</f>
        <v>1.2581772</v>
      </c>
      <c r="G17" s="339"/>
      <c r="H17" s="604"/>
      <c r="I17" s="333"/>
      <c r="J17" s="333"/>
    </row>
    <row r="18">
      <c r="A18" s="341" t="s">
        <v>42</v>
      </c>
      <c r="B18" s="2"/>
      <c r="C18" s="2"/>
      <c r="D18" s="3"/>
      <c r="E18" s="339"/>
      <c r="F18" s="362">
        <f>F16+F17</f>
        <v>222.5208972</v>
      </c>
      <c r="G18" s="339"/>
      <c r="H18" s="604"/>
      <c r="I18" s="333"/>
      <c r="J18" s="333"/>
    </row>
    <row r="19">
      <c r="A19" s="341" t="s">
        <v>806</v>
      </c>
      <c r="B19" s="2"/>
      <c r="C19" s="2"/>
      <c r="D19" s="3"/>
      <c r="E19" s="362">
        <f>F18</f>
        <v>222.5208972</v>
      </c>
      <c r="F19" s="362">
        <f>E19*15%</f>
        <v>33.37813458</v>
      </c>
      <c r="G19" s="339"/>
      <c r="H19" s="604"/>
      <c r="I19" s="333"/>
      <c r="J19" s="333"/>
    </row>
    <row r="20">
      <c r="A20" s="367" t="s">
        <v>42</v>
      </c>
      <c r="B20" s="2"/>
      <c r="C20" s="2"/>
      <c r="D20" s="3"/>
      <c r="E20" s="368"/>
      <c r="F20" s="369">
        <f>round(F18+F19,2)</f>
        <v>255.9</v>
      </c>
      <c r="G20" s="339"/>
      <c r="H20" s="604"/>
      <c r="I20" s="333"/>
      <c r="J20" s="333"/>
    </row>
    <row r="21">
      <c r="A21" s="346">
        <v>1001.0</v>
      </c>
      <c r="B21" s="344"/>
      <c r="C21" s="348" t="s">
        <v>1529</v>
      </c>
      <c r="D21" s="2"/>
      <c r="E21" s="3"/>
      <c r="F21" s="349"/>
      <c r="G21" s="3"/>
      <c r="H21" s="606"/>
      <c r="I21" s="333"/>
      <c r="J21" s="333"/>
    </row>
    <row r="22">
      <c r="A22" s="20"/>
      <c r="B22" s="20"/>
      <c r="C22" s="351" t="s">
        <v>27</v>
      </c>
      <c r="D22" s="351">
        <v>1.0</v>
      </c>
      <c r="E22" s="351">
        <v>806.0</v>
      </c>
      <c r="F22" s="351">
        <f>E22*D22</f>
        <v>806</v>
      </c>
      <c r="G22" s="351" t="s">
        <v>780</v>
      </c>
      <c r="H22" s="607"/>
      <c r="I22" s="333"/>
      <c r="J22" s="333"/>
    </row>
    <row r="23">
      <c r="A23" s="346" t="s">
        <v>1178</v>
      </c>
      <c r="B23" s="344"/>
      <c r="C23" s="357" t="s">
        <v>2103</v>
      </c>
      <c r="D23" s="2"/>
      <c r="E23" s="3"/>
      <c r="F23" s="349"/>
      <c r="G23" s="3"/>
      <c r="H23" s="606"/>
      <c r="I23" s="333"/>
      <c r="J23" s="333"/>
    </row>
    <row r="24">
      <c r="A24" s="20"/>
      <c r="B24" s="20"/>
      <c r="C24" s="351" t="s">
        <v>107</v>
      </c>
      <c r="D24" s="359"/>
      <c r="E24" s="359"/>
      <c r="F24" s="351">
        <f>F22*1%</f>
        <v>8.06</v>
      </c>
      <c r="G24" s="351" t="s">
        <v>1998</v>
      </c>
      <c r="H24" s="607">
        <f>F24+F14</f>
        <v>117.596</v>
      </c>
      <c r="I24" s="333"/>
      <c r="J24" s="333"/>
    </row>
    <row r="25">
      <c r="A25" s="351">
        <v>14.4</v>
      </c>
      <c r="B25" s="351"/>
      <c r="C25" s="348" t="s">
        <v>2104</v>
      </c>
      <c r="D25" s="2"/>
      <c r="E25" s="3"/>
      <c r="F25" s="351"/>
      <c r="G25" s="384"/>
      <c r="H25" s="608"/>
      <c r="I25" s="333"/>
      <c r="J25" s="333"/>
    </row>
    <row r="26">
      <c r="A26" s="351"/>
      <c r="B26" s="351"/>
      <c r="C26" s="351" t="s">
        <v>824</v>
      </c>
      <c r="D26" s="351">
        <v>13.13</v>
      </c>
      <c r="E26" s="351">
        <v>498.87</v>
      </c>
      <c r="F26" s="351">
        <f>D26*E26</f>
        <v>6550.1631</v>
      </c>
      <c r="G26" s="351" t="s">
        <v>797</v>
      </c>
      <c r="H26" s="607"/>
      <c r="I26" s="333"/>
      <c r="J26" s="333"/>
    </row>
    <row r="27">
      <c r="A27" s="341" t="s">
        <v>42</v>
      </c>
      <c r="B27" s="2"/>
      <c r="C27" s="3"/>
      <c r="D27" s="362">
        <v>50.0</v>
      </c>
      <c r="E27" s="362" t="s">
        <v>22</v>
      </c>
      <c r="F27" s="362">
        <f>F22+F24+F26</f>
        <v>7364.2231</v>
      </c>
      <c r="G27" s="368"/>
      <c r="H27" s="609"/>
      <c r="I27" s="333"/>
      <c r="J27" s="333"/>
    </row>
    <row r="28">
      <c r="A28" s="341" t="s">
        <v>800</v>
      </c>
      <c r="B28" s="2"/>
      <c r="C28" s="3"/>
      <c r="D28" s="362">
        <v>1.0</v>
      </c>
      <c r="E28" s="362" t="s">
        <v>22</v>
      </c>
      <c r="F28" s="362">
        <f>F27/D27</f>
        <v>147.284462</v>
      </c>
      <c r="G28" s="368"/>
      <c r="H28" s="609"/>
      <c r="I28" s="333"/>
      <c r="J28" s="333"/>
    </row>
    <row r="29">
      <c r="A29" s="341" t="s">
        <v>806</v>
      </c>
      <c r="B29" s="2"/>
      <c r="C29" s="2"/>
      <c r="D29" s="3"/>
      <c r="E29" s="362">
        <f>F28</f>
        <v>147.284462</v>
      </c>
      <c r="F29" s="362">
        <f>E29*15%</f>
        <v>22.0926693</v>
      </c>
      <c r="G29" s="368"/>
      <c r="H29" s="609"/>
      <c r="I29" s="333"/>
      <c r="J29" s="333"/>
    </row>
    <row r="30">
      <c r="A30" s="367" t="s">
        <v>42</v>
      </c>
      <c r="B30" s="2"/>
      <c r="C30" s="2"/>
      <c r="D30" s="3"/>
      <c r="E30" s="368"/>
      <c r="F30" s="369">
        <f>round(F28+F29,2)</f>
        <v>169.38</v>
      </c>
      <c r="G30" s="339"/>
      <c r="H30" s="604">
        <f>F30+F20</f>
        <v>425.28</v>
      </c>
      <c r="I30" s="333"/>
      <c r="J30" s="333"/>
    </row>
    <row r="31">
      <c r="A31" s="592" t="str">
        <f>CONCATENATE("Say ₹ ",F20," + ",F30," x Cost Index")                                           </f>
        <v>Say ₹ 255.9 + 169.38 x Cost Index</v>
      </c>
      <c r="B31" s="2"/>
      <c r="C31" s="2"/>
      <c r="D31" s="2"/>
      <c r="E31" s="2"/>
      <c r="F31" s="3"/>
      <c r="G31" s="369" t="s">
        <v>939</v>
      </c>
      <c r="H31" s="610"/>
      <c r="I31" s="333">
        <f>((F8*1.05*1.01)+F12)*1.01*1.15/50</f>
        <v>255.8990318</v>
      </c>
      <c r="J31" s="333">
        <f>((F22*1.01)+F26)*1.15/50</f>
        <v>169.3771313</v>
      </c>
    </row>
    <row r="32">
      <c r="A32" s="331" t="s">
        <v>742</v>
      </c>
      <c r="B32" s="331" t="s">
        <v>745</v>
      </c>
      <c r="C32" s="332" t="s">
        <v>6</v>
      </c>
      <c r="D32" s="2"/>
      <c r="E32" s="3"/>
      <c r="F32" s="332" t="s">
        <v>746</v>
      </c>
      <c r="G32" s="3"/>
      <c r="H32" s="602"/>
      <c r="I32" s="333"/>
      <c r="J32" s="333"/>
    </row>
    <row r="33">
      <c r="A33" s="20"/>
      <c r="B33" s="20"/>
      <c r="C33" s="334" t="s">
        <v>8</v>
      </c>
      <c r="D33" s="334" t="s">
        <v>9</v>
      </c>
      <c r="E33" s="334" t="s">
        <v>358</v>
      </c>
      <c r="F33" s="334" t="s">
        <v>11</v>
      </c>
      <c r="G33" s="334" t="s">
        <v>751</v>
      </c>
      <c r="H33" s="602"/>
      <c r="I33" s="333"/>
      <c r="J33" s="333"/>
    </row>
    <row r="34">
      <c r="A34" s="337" t="s">
        <v>2107</v>
      </c>
      <c r="B34" s="2"/>
      <c r="C34" s="2"/>
      <c r="D34" s="2"/>
      <c r="E34" s="2"/>
      <c r="F34" s="2"/>
      <c r="G34" s="3"/>
      <c r="H34" s="603"/>
      <c r="I34" s="333"/>
      <c r="J34" s="333"/>
    </row>
    <row r="35">
      <c r="A35" s="339"/>
      <c r="B35" s="339" t="s">
        <v>754</v>
      </c>
      <c r="C35" s="339" t="s">
        <v>22</v>
      </c>
      <c r="D35" s="339" t="s">
        <v>757</v>
      </c>
      <c r="E35" s="339">
        <v>50.0</v>
      </c>
      <c r="F35" s="339"/>
      <c r="G35" s="339"/>
      <c r="H35" s="604"/>
      <c r="I35" s="333"/>
      <c r="J35" s="333"/>
    </row>
    <row r="36">
      <c r="A36" s="339" t="s">
        <v>761</v>
      </c>
      <c r="B36" s="341" t="s">
        <v>2092</v>
      </c>
      <c r="C36" s="2"/>
      <c r="D36" s="2"/>
      <c r="E36" s="2"/>
      <c r="F36" s="2"/>
      <c r="G36" s="3"/>
      <c r="H36" s="605"/>
      <c r="I36" s="333"/>
      <c r="J36" s="333"/>
    </row>
    <row r="37">
      <c r="A37" s="341" t="s">
        <v>2093</v>
      </c>
      <c r="B37" s="2"/>
      <c r="C37" s="2"/>
      <c r="D37" s="2"/>
      <c r="E37" s="2"/>
      <c r="F37" s="2"/>
      <c r="G37" s="3"/>
      <c r="H37" s="605"/>
      <c r="I37" s="333"/>
      <c r="J37" s="333"/>
    </row>
    <row r="38">
      <c r="A38" s="344"/>
      <c r="B38" s="346" t="s">
        <v>2108</v>
      </c>
      <c r="C38" s="348" t="s">
        <v>2109</v>
      </c>
      <c r="D38" s="2"/>
      <c r="E38" s="3"/>
      <c r="F38" s="349"/>
      <c r="G38" s="3"/>
      <c r="H38" s="606"/>
      <c r="I38" s="333"/>
      <c r="J38" s="333"/>
    </row>
    <row r="39">
      <c r="A39" s="20"/>
      <c r="B39" s="20"/>
      <c r="C39" s="351" t="s">
        <v>22</v>
      </c>
      <c r="D39" s="351">
        <v>50.0</v>
      </c>
      <c r="E39" s="351">
        <v>159.32</v>
      </c>
      <c r="F39" s="351">
        <f>D39*E39</f>
        <v>7966</v>
      </c>
      <c r="G39" s="351" t="s">
        <v>772</v>
      </c>
      <c r="H39" s="607"/>
      <c r="I39" s="333"/>
      <c r="J39" s="333"/>
    </row>
    <row r="40">
      <c r="A40" s="346" t="s">
        <v>1178</v>
      </c>
      <c r="B40" s="344"/>
      <c r="C40" s="348" t="s">
        <v>1988</v>
      </c>
      <c r="D40" s="2"/>
      <c r="E40" s="3"/>
      <c r="F40" s="349"/>
      <c r="G40" s="3"/>
      <c r="H40" s="606"/>
      <c r="I40" s="333"/>
      <c r="J40" s="333"/>
    </row>
    <row r="41">
      <c r="A41" s="20"/>
      <c r="B41" s="20"/>
      <c r="C41" s="351" t="s">
        <v>107</v>
      </c>
      <c r="D41" s="359"/>
      <c r="E41" s="359"/>
      <c r="F41" s="351">
        <f>F39*5%</f>
        <v>398.3</v>
      </c>
      <c r="G41" s="351" t="s">
        <v>1183</v>
      </c>
      <c r="H41" s="607"/>
      <c r="I41" s="333"/>
      <c r="J41" s="333"/>
    </row>
    <row r="42">
      <c r="A42" s="344"/>
      <c r="B42" s="346" t="s">
        <v>1174</v>
      </c>
      <c r="C42" s="348" t="s">
        <v>1175</v>
      </c>
      <c r="D42" s="2"/>
      <c r="E42" s="3"/>
      <c r="F42" s="349"/>
      <c r="G42" s="3"/>
      <c r="H42" s="606"/>
      <c r="I42" s="333"/>
      <c r="J42" s="333"/>
    </row>
    <row r="43">
      <c r="A43" s="20"/>
      <c r="B43" s="20"/>
      <c r="C43" s="351" t="s">
        <v>27</v>
      </c>
      <c r="D43" s="351">
        <v>7.0</v>
      </c>
      <c r="E43" s="351">
        <v>675.0</v>
      </c>
      <c r="F43" s="351">
        <f>D43*E43</f>
        <v>4725</v>
      </c>
      <c r="G43" s="351" t="s">
        <v>782</v>
      </c>
      <c r="H43" s="607"/>
      <c r="I43" s="333"/>
      <c r="J43" s="333"/>
    </row>
    <row r="44">
      <c r="A44" s="346" t="s">
        <v>1178</v>
      </c>
      <c r="B44" s="344"/>
      <c r="C44" s="357" t="s">
        <v>2098</v>
      </c>
      <c r="D44" s="2"/>
      <c r="E44" s="3"/>
      <c r="F44" s="349"/>
      <c r="G44" s="3"/>
      <c r="H44" s="606"/>
      <c r="I44" s="333"/>
      <c r="J44" s="333"/>
    </row>
    <row r="45">
      <c r="A45" s="20"/>
      <c r="B45" s="20"/>
      <c r="C45" s="351" t="s">
        <v>107</v>
      </c>
      <c r="D45" s="359"/>
      <c r="E45" s="359"/>
      <c r="F45" s="351">
        <f>(F39+F41+F43)*1%</f>
        <v>130.893</v>
      </c>
      <c r="G45" s="351" t="s">
        <v>1215</v>
      </c>
      <c r="H45" s="607"/>
      <c r="I45" s="333"/>
      <c r="J45" s="333"/>
    </row>
    <row r="46">
      <c r="A46" s="341" t="s">
        <v>42</v>
      </c>
      <c r="B46" s="2"/>
      <c r="C46" s="3"/>
      <c r="D46" s="362">
        <v>50.0</v>
      </c>
      <c r="E46" s="362" t="s">
        <v>22</v>
      </c>
      <c r="F46" s="362">
        <f>F39+F41+F43+F45</f>
        <v>13220.193</v>
      </c>
      <c r="G46" s="339"/>
      <c r="H46" s="604"/>
      <c r="I46" s="333"/>
      <c r="J46" s="333"/>
    </row>
    <row r="47">
      <c r="A47" s="341" t="s">
        <v>800</v>
      </c>
      <c r="B47" s="2"/>
      <c r="C47" s="3"/>
      <c r="D47" s="362">
        <v>1.0</v>
      </c>
      <c r="E47" s="362" t="s">
        <v>22</v>
      </c>
      <c r="F47" s="362">
        <f>F46/D46</f>
        <v>264.40386</v>
      </c>
      <c r="G47" s="339"/>
      <c r="H47" s="604"/>
      <c r="I47" s="333"/>
      <c r="J47" s="333"/>
    </row>
    <row r="48">
      <c r="A48" s="341" t="s">
        <v>1187</v>
      </c>
      <c r="B48" s="2"/>
      <c r="C48" s="2"/>
      <c r="D48" s="3"/>
      <c r="E48" s="366">
        <f>F39*105%*101%/D46</f>
        <v>168.95886</v>
      </c>
      <c r="F48" s="362">
        <f>E48*1%</f>
        <v>1.6895886</v>
      </c>
      <c r="G48" s="339"/>
      <c r="H48" s="604"/>
      <c r="I48" s="333"/>
      <c r="J48" s="333"/>
    </row>
    <row r="49">
      <c r="A49" s="341" t="s">
        <v>42</v>
      </c>
      <c r="B49" s="2"/>
      <c r="C49" s="2"/>
      <c r="D49" s="3"/>
      <c r="E49" s="339"/>
      <c r="F49" s="362">
        <f>F47+F48</f>
        <v>266.0934486</v>
      </c>
      <c r="G49" s="339"/>
      <c r="H49" s="604"/>
      <c r="I49" s="333"/>
      <c r="J49" s="333"/>
    </row>
    <row r="50">
      <c r="A50" s="341" t="s">
        <v>806</v>
      </c>
      <c r="B50" s="2"/>
      <c r="C50" s="2"/>
      <c r="D50" s="3"/>
      <c r="E50" s="362">
        <f>F49</f>
        <v>266.0934486</v>
      </c>
      <c r="F50" s="362">
        <f>E50*15%</f>
        <v>39.91401729</v>
      </c>
      <c r="G50" s="339"/>
      <c r="H50" s="604"/>
      <c r="I50" s="333"/>
      <c r="J50" s="333"/>
    </row>
    <row r="51">
      <c r="A51" s="367" t="s">
        <v>42</v>
      </c>
      <c r="B51" s="2"/>
      <c r="C51" s="2"/>
      <c r="D51" s="3"/>
      <c r="E51" s="368"/>
      <c r="F51" s="369">
        <f>round(F49+F50,2)</f>
        <v>306.01</v>
      </c>
      <c r="G51" s="339"/>
      <c r="H51" s="604"/>
      <c r="I51" s="333"/>
      <c r="J51" s="333"/>
    </row>
    <row r="52">
      <c r="A52" s="346">
        <v>1001.0</v>
      </c>
      <c r="B52" s="344"/>
      <c r="C52" s="348" t="s">
        <v>1529</v>
      </c>
      <c r="D52" s="2"/>
      <c r="E52" s="3"/>
      <c r="F52" s="349"/>
      <c r="G52" s="3"/>
      <c r="H52" s="606"/>
      <c r="I52" s="333"/>
      <c r="J52" s="333"/>
    </row>
    <row r="53">
      <c r="A53" s="20"/>
      <c r="B53" s="20"/>
      <c r="C53" s="351" t="s">
        <v>27</v>
      </c>
      <c r="D53" s="351">
        <v>1.0</v>
      </c>
      <c r="E53" s="351">
        <v>806.0</v>
      </c>
      <c r="F53" s="351">
        <f>E53*D53</f>
        <v>806</v>
      </c>
      <c r="G53" s="351" t="s">
        <v>780</v>
      </c>
      <c r="H53" s="607"/>
      <c r="I53" s="333"/>
      <c r="J53" s="333"/>
    </row>
    <row r="54">
      <c r="A54" s="346" t="s">
        <v>1178</v>
      </c>
      <c r="B54" s="344"/>
      <c r="C54" s="357" t="s">
        <v>2103</v>
      </c>
      <c r="D54" s="2"/>
      <c r="E54" s="3"/>
      <c r="F54" s="349"/>
      <c r="G54" s="3"/>
      <c r="H54" s="606"/>
      <c r="I54" s="333"/>
      <c r="J54" s="333"/>
    </row>
    <row r="55">
      <c r="A55" s="20"/>
      <c r="B55" s="20"/>
      <c r="C55" s="351" t="s">
        <v>107</v>
      </c>
      <c r="D55" s="359"/>
      <c r="E55" s="359"/>
      <c r="F55" s="351">
        <f>F53*1%</f>
        <v>8.06</v>
      </c>
      <c r="G55" s="351" t="s">
        <v>1998</v>
      </c>
      <c r="H55" s="607">
        <f>F55+F45</f>
        <v>138.953</v>
      </c>
      <c r="I55" s="333"/>
      <c r="J55" s="333"/>
    </row>
    <row r="56">
      <c r="A56" s="351">
        <v>14.4</v>
      </c>
      <c r="B56" s="351"/>
      <c r="C56" s="348" t="s">
        <v>2104</v>
      </c>
      <c r="D56" s="2"/>
      <c r="E56" s="3"/>
      <c r="F56" s="351"/>
      <c r="G56" s="384"/>
      <c r="H56" s="608"/>
      <c r="I56" s="333"/>
      <c r="J56" s="333"/>
    </row>
    <row r="57">
      <c r="A57" s="351"/>
      <c r="B57" s="351"/>
      <c r="C57" s="351" t="s">
        <v>824</v>
      </c>
      <c r="D57" s="351">
        <v>13.13</v>
      </c>
      <c r="E57" s="351">
        <v>498.87</v>
      </c>
      <c r="F57" s="351">
        <f>D57*E57</f>
        <v>6550.1631</v>
      </c>
      <c r="G57" s="351" t="s">
        <v>797</v>
      </c>
      <c r="H57" s="607"/>
      <c r="I57" s="333"/>
      <c r="J57" s="333"/>
    </row>
    <row r="58">
      <c r="A58" s="341" t="s">
        <v>42</v>
      </c>
      <c r="B58" s="2"/>
      <c r="C58" s="3"/>
      <c r="D58" s="362">
        <v>50.0</v>
      </c>
      <c r="E58" s="362" t="s">
        <v>22</v>
      </c>
      <c r="F58" s="362">
        <f>F53+F55+F57</f>
        <v>7364.2231</v>
      </c>
      <c r="G58" s="368"/>
      <c r="H58" s="609"/>
      <c r="I58" s="333"/>
      <c r="J58" s="333"/>
    </row>
    <row r="59">
      <c r="A59" s="341" t="s">
        <v>800</v>
      </c>
      <c r="B59" s="2"/>
      <c r="C59" s="3"/>
      <c r="D59" s="362">
        <v>1.0</v>
      </c>
      <c r="E59" s="362" t="s">
        <v>22</v>
      </c>
      <c r="F59" s="362">
        <f>F58/D58</f>
        <v>147.284462</v>
      </c>
      <c r="G59" s="368"/>
      <c r="H59" s="609"/>
      <c r="I59" s="333"/>
      <c r="J59" s="333"/>
    </row>
    <row r="60">
      <c r="A60" s="341" t="s">
        <v>806</v>
      </c>
      <c r="B60" s="2"/>
      <c r="C60" s="2"/>
      <c r="D60" s="3"/>
      <c r="E60" s="362">
        <f>F59</f>
        <v>147.284462</v>
      </c>
      <c r="F60" s="362">
        <f>E60*15%</f>
        <v>22.0926693</v>
      </c>
      <c r="G60" s="368"/>
      <c r="H60" s="609"/>
      <c r="I60" s="333"/>
      <c r="J60" s="333"/>
    </row>
    <row r="61">
      <c r="A61" s="367" t="s">
        <v>42</v>
      </c>
      <c r="B61" s="2"/>
      <c r="C61" s="2"/>
      <c r="D61" s="3"/>
      <c r="E61" s="368"/>
      <c r="F61" s="369">
        <f>round(F59+F60,2)</f>
        <v>169.38</v>
      </c>
      <c r="G61" s="339"/>
      <c r="H61" s="604">
        <f>F61+F51</f>
        <v>475.39</v>
      </c>
      <c r="I61" s="333"/>
      <c r="J61" s="333"/>
    </row>
    <row r="62">
      <c r="A62" s="592" t="str">
        <f>CONCATENATE("Say ₹ ",F51," + ",F61," x Cost Index")                                           </f>
        <v>Say ₹ 306.01 + 169.38 x Cost Index</v>
      </c>
      <c r="B62" s="2"/>
      <c r="C62" s="2"/>
      <c r="D62" s="2"/>
      <c r="E62" s="2"/>
      <c r="F62" s="3"/>
      <c r="G62" s="369" t="s">
        <v>939</v>
      </c>
      <c r="H62" s="610"/>
      <c r="I62" s="333">
        <f>((F39*1.05*1.01)+F43)*1.01*1.15/50</f>
        <v>306.0074659</v>
      </c>
      <c r="J62" s="333">
        <f>((F53*1.01)+F57)*1.15/50</f>
        <v>169.3771313</v>
      </c>
    </row>
    <row r="63">
      <c r="A63" s="331" t="s">
        <v>742</v>
      </c>
      <c r="B63" s="331" t="s">
        <v>745</v>
      </c>
      <c r="C63" s="332" t="s">
        <v>6</v>
      </c>
      <c r="D63" s="2"/>
      <c r="E63" s="3"/>
      <c r="F63" s="332" t="s">
        <v>746</v>
      </c>
      <c r="G63" s="3"/>
      <c r="H63" s="602"/>
      <c r="I63" s="333"/>
      <c r="J63" s="333"/>
    </row>
    <row r="64">
      <c r="A64" s="20"/>
      <c r="B64" s="20"/>
      <c r="C64" s="334" t="s">
        <v>8</v>
      </c>
      <c r="D64" s="334" t="s">
        <v>9</v>
      </c>
      <c r="E64" s="334" t="s">
        <v>358</v>
      </c>
      <c r="F64" s="334" t="s">
        <v>11</v>
      </c>
      <c r="G64" s="334" t="s">
        <v>751</v>
      </c>
      <c r="H64" s="602"/>
      <c r="I64" s="333"/>
      <c r="J64" s="333"/>
    </row>
    <row r="65">
      <c r="A65" s="337" t="s">
        <v>2114</v>
      </c>
      <c r="B65" s="2"/>
      <c r="C65" s="2"/>
      <c r="D65" s="2"/>
      <c r="E65" s="2"/>
      <c r="F65" s="2"/>
      <c r="G65" s="3"/>
      <c r="H65" s="603"/>
      <c r="I65" s="333"/>
      <c r="J65" s="333"/>
    </row>
    <row r="66">
      <c r="A66" s="339"/>
      <c r="B66" s="339" t="s">
        <v>754</v>
      </c>
      <c r="C66" s="339" t="s">
        <v>22</v>
      </c>
      <c r="D66" s="339" t="s">
        <v>757</v>
      </c>
      <c r="E66" s="339">
        <v>50.0</v>
      </c>
      <c r="F66" s="339"/>
      <c r="G66" s="339"/>
      <c r="H66" s="604"/>
      <c r="I66" s="333"/>
      <c r="J66" s="333"/>
    </row>
    <row r="67">
      <c r="A67" s="339" t="s">
        <v>761</v>
      </c>
      <c r="B67" s="341" t="s">
        <v>2092</v>
      </c>
      <c r="C67" s="2"/>
      <c r="D67" s="2"/>
      <c r="E67" s="2"/>
      <c r="F67" s="2"/>
      <c r="G67" s="3"/>
      <c r="H67" s="605"/>
      <c r="I67" s="333"/>
      <c r="J67" s="333"/>
    </row>
    <row r="68">
      <c r="A68" s="341" t="s">
        <v>2093</v>
      </c>
      <c r="B68" s="2"/>
      <c r="C68" s="2"/>
      <c r="D68" s="2"/>
      <c r="E68" s="2"/>
      <c r="F68" s="2"/>
      <c r="G68" s="3"/>
      <c r="H68" s="605"/>
      <c r="I68" s="333"/>
      <c r="J68" s="333"/>
    </row>
    <row r="69">
      <c r="A69" s="344"/>
      <c r="B69" s="346" t="s">
        <v>2116</v>
      </c>
      <c r="C69" s="348" t="s">
        <v>2117</v>
      </c>
      <c r="D69" s="2"/>
      <c r="E69" s="3"/>
      <c r="F69" s="349"/>
      <c r="G69" s="3"/>
      <c r="H69" s="606"/>
      <c r="I69" s="333"/>
      <c r="J69" s="333"/>
    </row>
    <row r="70">
      <c r="A70" s="20"/>
      <c r="B70" s="20"/>
      <c r="C70" s="351" t="s">
        <v>22</v>
      </c>
      <c r="D70" s="351">
        <v>50.0</v>
      </c>
      <c r="E70" s="351">
        <v>241.53</v>
      </c>
      <c r="F70" s="351">
        <f>D70*E70</f>
        <v>12076.5</v>
      </c>
      <c r="G70" s="351" t="s">
        <v>772</v>
      </c>
      <c r="H70" s="607"/>
      <c r="I70" s="333"/>
      <c r="J70" s="333"/>
    </row>
    <row r="71">
      <c r="A71" s="346" t="s">
        <v>1178</v>
      </c>
      <c r="B71" s="344"/>
      <c r="C71" s="348" t="s">
        <v>1988</v>
      </c>
      <c r="D71" s="2"/>
      <c r="E71" s="3"/>
      <c r="F71" s="349"/>
      <c r="G71" s="3"/>
      <c r="H71" s="606"/>
      <c r="I71" s="333"/>
      <c r="J71" s="333"/>
    </row>
    <row r="72">
      <c r="A72" s="20"/>
      <c r="B72" s="20"/>
      <c r="C72" s="351" t="s">
        <v>107</v>
      </c>
      <c r="D72" s="359"/>
      <c r="E72" s="359"/>
      <c r="F72" s="351">
        <f>F70*5%</f>
        <v>603.825</v>
      </c>
      <c r="G72" s="351" t="s">
        <v>1183</v>
      </c>
      <c r="H72" s="607"/>
      <c r="I72" s="333"/>
      <c r="J72" s="333"/>
    </row>
    <row r="73">
      <c r="A73" s="344"/>
      <c r="B73" s="346" t="s">
        <v>1174</v>
      </c>
      <c r="C73" s="348" t="s">
        <v>1175</v>
      </c>
      <c r="D73" s="2"/>
      <c r="E73" s="3"/>
      <c r="F73" s="349"/>
      <c r="G73" s="3"/>
      <c r="H73" s="606"/>
      <c r="I73" s="333"/>
      <c r="J73" s="333"/>
    </row>
    <row r="74">
      <c r="A74" s="20"/>
      <c r="B74" s="20"/>
      <c r="C74" s="351" t="s">
        <v>27</v>
      </c>
      <c r="D74" s="351">
        <v>7.0</v>
      </c>
      <c r="E74" s="351">
        <v>675.0</v>
      </c>
      <c r="F74" s="351">
        <f>D74*E74</f>
        <v>4725</v>
      </c>
      <c r="G74" s="351" t="s">
        <v>782</v>
      </c>
      <c r="H74" s="607"/>
      <c r="I74" s="333"/>
      <c r="J74" s="333"/>
    </row>
    <row r="75">
      <c r="A75" s="346" t="s">
        <v>1178</v>
      </c>
      <c r="B75" s="344"/>
      <c r="C75" s="357" t="s">
        <v>2098</v>
      </c>
      <c r="D75" s="2"/>
      <c r="E75" s="3"/>
      <c r="F75" s="349"/>
      <c r="G75" s="3"/>
      <c r="H75" s="606"/>
      <c r="I75" s="333"/>
      <c r="J75" s="333"/>
    </row>
    <row r="76">
      <c r="A76" s="20"/>
      <c r="B76" s="20"/>
      <c r="C76" s="351" t="s">
        <v>107</v>
      </c>
      <c r="D76" s="359"/>
      <c r="E76" s="359"/>
      <c r="F76" s="351">
        <f>(F70+F72+F74)*1%</f>
        <v>174.05325</v>
      </c>
      <c r="G76" s="351" t="s">
        <v>1215</v>
      </c>
      <c r="H76" s="607"/>
      <c r="I76" s="333"/>
      <c r="J76" s="333"/>
    </row>
    <row r="77">
      <c r="A77" s="341" t="s">
        <v>42</v>
      </c>
      <c r="B77" s="2"/>
      <c r="C77" s="3"/>
      <c r="D77" s="362">
        <v>50.0</v>
      </c>
      <c r="E77" s="362" t="s">
        <v>22</v>
      </c>
      <c r="F77" s="362">
        <f>F70+F72+F74+F76</f>
        <v>17579.37825</v>
      </c>
      <c r="G77" s="339"/>
      <c r="H77" s="604"/>
      <c r="I77" s="333"/>
      <c r="J77" s="333"/>
    </row>
    <row r="78">
      <c r="A78" s="341" t="s">
        <v>800</v>
      </c>
      <c r="B78" s="2"/>
      <c r="C78" s="3"/>
      <c r="D78" s="362">
        <v>1.0</v>
      </c>
      <c r="E78" s="362" t="s">
        <v>22</v>
      </c>
      <c r="F78" s="362">
        <f>F77/D77</f>
        <v>351.587565</v>
      </c>
      <c r="G78" s="339"/>
      <c r="H78" s="604"/>
      <c r="I78" s="333"/>
      <c r="J78" s="333"/>
    </row>
    <row r="79">
      <c r="A79" s="341" t="s">
        <v>1187</v>
      </c>
      <c r="B79" s="2"/>
      <c r="C79" s="2"/>
      <c r="D79" s="3"/>
      <c r="E79" s="366">
        <f>F70*105%*101%/D77</f>
        <v>256.142565</v>
      </c>
      <c r="F79" s="362">
        <f>E79*1%</f>
        <v>2.56142565</v>
      </c>
      <c r="G79" s="339"/>
      <c r="H79" s="604"/>
      <c r="I79" s="333"/>
      <c r="J79" s="333"/>
    </row>
    <row r="80">
      <c r="A80" s="341" t="s">
        <v>42</v>
      </c>
      <c r="B80" s="2"/>
      <c r="C80" s="2"/>
      <c r="D80" s="3"/>
      <c r="E80" s="339"/>
      <c r="F80" s="362">
        <f>F78+F79</f>
        <v>354.1489907</v>
      </c>
      <c r="G80" s="339"/>
      <c r="H80" s="604"/>
      <c r="I80" s="333"/>
      <c r="J80" s="333"/>
    </row>
    <row r="81">
      <c r="A81" s="341" t="s">
        <v>806</v>
      </c>
      <c r="B81" s="2"/>
      <c r="C81" s="2"/>
      <c r="D81" s="3"/>
      <c r="E81" s="362">
        <f>F80</f>
        <v>354.1489907</v>
      </c>
      <c r="F81" s="362">
        <f>E81*15%</f>
        <v>53.1223486</v>
      </c>
      <c r="G81" s="339"/>
      <c r="H81" s="604"/>
      <c r="I81" s="333"/>
      <c r="J81" s="333"/>
    </row>
    <row r="82">
      <c r="A82" s="367" t="s">
        <v>42</v>
      </c>
      <c r="B82" s="2"/>
      <c r="C82" s="2"/>
      <c r="D82" s="3"/>
      <c r="E82" s="368"/>
      <c r="F82" s="369">
        <f>round(F80+F81,2)</f>
        <v>407.27</v>
      </c>
      <c r="G82" s="339"/>
      <c r="H82" s="604"/>
      <c r="I82" s="333"/>
      <c r="J82" s="333"/>
    </row>
    <row r="83">
      <c r="A83" s="346">
        <v>1001.0</v>
      </c>
      <c r="B83" s="344"/>
      <c r="C83" s="348" t="s">
        <v>1529</v>
      </c>
      <c r="D83" s="2"/>
      <c r="E83" s="3"/>
      <c r="F83" s="349"/>
      <c r="G83" s="3"/>
      <c r="H83" s="606"/>
      <c r="I83" s="333"/>
      <c r="J83" s="333"/>
    </row>
    <row r="84">
      <c r="A84" s="20"/>
      <c r="B84" s="20"/>
      <c r="C84" s="351" t="s">
        <v>27</v>
      </c>
      <c r="D84" s="351">
        <v>1.0</v>
      </c>
      <c r="E84" s="351">
        <v>806.0</v>
      </c>
      <c r="F84" s="351">
        <f>E84*D84</f>
        <v>806</v>
      </c>
      <c r="G84" s="351" t="s">
        <v>780</v>
      </c>
      <c r="H84" s="607"/>
      <c r="I84" s="333"/>
      <c r="J84" s="333"/>
    </row>
    <row r="85">
      <c r="A85" s="346" t="s">
        <v>1178</v>
      </c>
      <c r="B85" s="344"/>
      <c r="C85" s="357" t="s">
        <v>2103</v>
      </c>
      <c r="D85" s="2"/>
      <c r="E85" s="3"/>
      <c r="F85" s="349"/>
      <c r="G85" s="3"/>
      <c r="H85" s="606"/>
      <c r="I85" s="333"/>
      <c r="J85" s="333"/>
    </row>
    <row r="86">
      <c r="A86" s="20"/>
      <c r="B86" s="20"/>
      <c r="C86" s="351" t="s">
        <v>107</v>
      </c>
      <c r="D86" s="359"/>
      <c r="E86" s="359"/>
      <c r="F86" s="351">
        <f>F84*1%</f>
        <v>8.06</v>
      </c>
      <c r="G86" s="351" t="s">
        <v>1998</v>
      </c>
      <c r="H86" s="607">
        <f>F86+F76</f>
        <v>182.11325</v>
      </c>
      <c r="I86" s="333"/>
      <c r="J86" s="333"/>
    </row>
    <row r="87">
      <c r="A87" s="351">
        <v>14.4</v>
      </c>
      <c r="B87" s="351"/>
      <c r="C87" s="348" t="s">
        <v>2104</v>
      </c>
      <c r="D87" s="2"/>
      <c r="E87" s="3"/>
      <c r="F87" s="351"/>
      <c r="G87" s="384"/>
      <c r="H87" s="608"/>
      <c r="I87" s="333"/>
      <c r="J87" s="333"/>
    </row>
    <row r="88">
      <c r="A88" s="351"/>
      <c r="B88" s="351"/>
      <c r="C88" s="351" t="s">
        <v>824</v>
      </c>
      <c r="D88" s="351">
        <v>13.13</v>
      </c>
      <c r="E88" s="351">
        <v>498.87</v>
      </c>
      <c r="F88" s="351">
        <f>D88*E88</f>
        <v>6550.1631</v>
      </c>
      <c r="G88" s="351" t="s">
        <v>797</v>
      </c>
      <c r="H88" s="607"/>
      <c r="I88" s="333"/>
      <c r="J88" s="333"/>
    </row>
    <row r="89">
      <c r="A89" s="341" t="s">
        <v>42</v>
      </c>
      <c r="B89" s="2"/>
      <c r="C89" s="3"/>
      <c r="D89" s="362">
        <v>50.0</v>
      </c>
      <c r="E89" s="362" t="s">
        <v>22</v>
      </c>
      <c r="F89" s="362">
        <f>F84+F86+F88</f>
        <v>7364.2231</v>
      </c>
      <c r="G89" s="368"/>
      <c r="H89" s="609"/>
      <c r="I89" s="333"/>
      <c r="J89" s="333"/>
    </row>
    <row r="90">
      <c r="A90" s="341" t="s">
        <v>800</v>
      </c>
      <c r="B90" s="2"/>
      <c r="C90" s="3"/>
      <c r="D90" s="362">
        <v>1.0</v>
      </c>
      <c r="E90" s="362" t="s">
        <v>22</v>
      </c>
      <c r="F90" s="362">
        <f>F89/D89</f>
        <v>147.284462</v>
      </c>
      <c r="G90" s="368"/>
      <c r="H90" s="609">
        <f t="shared" ref="H90:H92" si="1">F90+F80</f>
        <v>501.4334527</v>
      </c>
      <c r="I90" s="333"/>
      <c r="J90" s="333"/>
    </row>
    <row r="91">
      <c r="A91" s="341" t="s">
        <v>806</v>
      </c>
      <c r="B91" s="2"/>
      <c r="C91" s="2"/>
      <c r="D91" s="3"/>
      <c r="E91" s="362">
        <f>F90</f>
        <v>147.284462</v>
      </c>
      <c r="F91" s="362">
        <f>E91*15%</f>
        <v>22.0926693</v>
      </c>
      <c r="G91" s="368"/>
      <c r="H91" s="609">
        <f t="shared" si="1"/>
        <v>75.2150179</v>
      </c>
      <c r="I91" s="333"/>
      <c r="J91" s="333"/>
    </row>
    <row r="92">
      <c r="A92" s="367" t="s">
        <v>42</v>
      </c>
      <c r="B92" s="2"/>
      <c r="C92" s="2"/>
      <c r="D92" s="3"/>
      <c r="E92" s="368"/>
      <c r="F92" s="369">
        <f>round(F90+F91,2)</f>
        <v>169.38</v>
      </c>
      <c r="G92" s="339"/>
      <c r="H92" s="604">
        <f t="shared" si="1"/>
        <v>576.65</v>
      </c>
      <c r="I92" s="333"/>
      <c r="J92" s="333"/>
    </row>
    <row r="93">
      <c r="A93" s="592" t="str">
        <f>CONCATENATE("Say ₹ ",F82," + ",F92," x Cost Index")                                           </f>
        <v>Say ₹ 407.27 + 169.38 x Cost Index</v>
      </c>
      <c r="B93" s="2"/>
      <c r="C93" s="2"/>
      <c r="D93" s="2"/>
      <c r="E93" s="2"/>
      <c r="F93" s="3"/>
      <c r="G93" s="369" t="s">
        <v>939</v>
      </c>
      <c r="H93" s="610"/>
      <c r="I93" s="333">
        <f>((F70*1.05*1.01)+F74)*1.01*1.15/50</f>
        <v>407.2713392</v>
      </c>
      <c r="J93" s="333">
        <f>((F84*1.01)+F88)*1.15/50</f>
        <v>169.3771313</v>
      </c>
    </row>
    <row r="94">
      <c r="A94" s="331" t="s">
        <v>742</v>
      </c>
      <c r="B94" s="331" t="s">
        <v>745</v>
      </c>
      <c r="C94" s="332" t="s">
        <v>6</v>
      </c>
      <c r="D94" s="2"/>
      <c r="E94" s="3"/>
      <c r="F94" s="332" t="s">
        <v>746</v>
      </c>
      <c r="G94" s="3"/>
      <c r="H94" s="602"/>
      <c r="I94" s="333"/>
      <c r="J94" s="333"/>
    </row>
    <row r="95">
      <c r="A95" s="20"/>
      <c r="B95" s="20"/>
      <c r="C95" s="334" t="s">
        <v>8</v>
      </c>
      <c r="D95" s="334" t="s">
        <v>9</v>
      </c>
      <c r="E95" s="334" t="s">
        <v>358</v>
      </c>
      <c r="F95" s="334" t="s">
        <v>11</v>
      </c>
      <c r="G95" s="334" t="s">
        <v>751</v>
      </c>
      <c r="H95" s="602"/>
      <c r="I95" s="333"/>
      <c r="J95" s="333"/>
    </row>
    <row r="96">
      <c r="A96" s="337" t="s">
        <v>2123</v>
      </c>
      <c r="B96" s="2"/>
      <c r="C96" s="2"/>
      <c r="D96" s="2"/>
      <c r="E96" s="2"/>
      <c r="F96" s="2"/>
      <c r="G96" s="3"/>
      <c r="H96" s="603"/>
      <c r="I96" s="333"/>
      <c r="J96" s="333"/>
    </row>
    <row r="97">
      <c r="A97" s="339"/>
      <c r="B97" s="339" t="s">
        <v>754</v>
      </c>
      <c r="C97" s="339" t="s">
        <v>22</v>
      </c>
      <c r="D97" s="339" t="s">
        <v>757</v>
      </c>
      <c r="E97" s="339">
        <v>50.0</v>
      </c>
      <c r="F97" s="339"/>
      <c r="G97" s="339"/>
      <c r="H97" s="604"/>
      <c r="I97" s="333"/>
      <c r="J97" s="333"/>
    </row>
    <row r="98">
      <c r="A98" s="339" t="s">
        <v>761</v>
      </c>
      <c r="B98" s="341" t="s">
        <v>2092</v>
      </c>
      <c r="C98" s="2"/>
      <c r="D98" s="2"/>
      <c r="E98" s="2"/>
      <c r="F98" s="2"/>
      <c r="G98" s="3"/>
      <c r="H98" s="605"/>
      <c r="I98" s="333"/>
      <c r="J98" s="333"/>
    </row>
    <row r="99">
      <c r="A99" s="341" t="s">
        <v>2093</v>
      </c>
      <c r="B99" s="2"/>
      <c r="C99" s="2"/>
      <c r="D99" s="2"/>
      <c r="E99" s="2"/>
      <c r="F99" s="2"/>
      <c r="G99" s="3"/>
      <c r="H99" s="605"/>
      <c r="I99" s="333"/>
      <c r="J99" s="333"/>
    </row>
    <row r="100">
      <c r="A100" s="344"/>
      <c r="B100" s="346" t="s">
        <v>2124</v>
      </c>
      <c r="C100" s="348" t="s">
        <v>2125</v>
      </c>
      <c r="D100" s="2"/>
      <c r="E100" s="3"/>
      <c r="F100" s="349"/>
      <c r="G100" s="3"/>
      <c r="H100" s="606"/>
      <c r="I100" s="333"/>
      <c r="J100" s="333"/>
    </row>
    <row r="101">
      <c r="A101" s="20"/>
      <c r="B101" s="20"/>
      <c r="C101" s="351" t="s">
        <v>22</v>
      </c>
      <c r="D101" s="351">
        <v>50.0</v>
      </c>
      <c r="E101" s="351">
        <v>343.22</v>
      </c>
      <c r="F101" s="351">
        <f>D101*E101</f>
        <v>17161</v>
      </c>
      <c r="G101" s="351" t="s">
        <v>772</v>
      </c>
      <c r="H101" s="607"/>
      <c r="I101" s="333"/>
      <c r="J101" s="333"/>
    </row>
    <row r="102">
      <c r="A102" s="346" t="s">
        <v>1178</v>
      </c>
      <c r="B102" s="344"/>
      <c r="C102" s="348" t="s">
        <v>1988</v>
      </c>
      <c r="D102" s="2"/>
      <c r="E102" s="3"/>
      <c r="F102" s="349"/>
      <c r="G102" s="3"/>
      <c r="H102" s="606"/>
      <c r="I102" s="333"/>
      <c r="J102" s="333"/>
    </row>
    <row r="103">
      <c r="A103" s="20"/>
      <c r="B103" s="20"/>
      <c r="C103" s="351" t="s">
        <v>107</v>
      </c>
      <c r="D103" s="359"/>
      <c r="E103" s="359"/>
      <c r="F103" s="351">
        <f>F101*5%</f>
        <v>858.05</v>
      </c>
      <c r="G103" s="351" t="s">
        <v>1183</v>
      </c>
      <c r="H103" s="607"/>
      <c r="I103" s="333"/>
      <c r="J103" s="333"/>
    </row>
    <row r="104">
      <c r="A104" s="344"/>
      <c r="B104" s="346" t="s">
        <v>1174</v>
      </c>
      <c r="C104" s="348" t="s">
        <v>1175</v>
      </c>
      <c r="D104" s="2"/>
      <c r="E104" s="3"/>
      <c r="F104" s="349"/>
      <c r="G104" s="3"/>
      <c r="H104" s="606"/>
      <c r="I104" s="333"/>
      <c r="J104" s="333"/>
    </row>
    <row r="105">
      <c r="A105" s="20"/>
      <c r="B105" s="20"/>
      <c r="C105" s="351" t="s">
        <v>27</v>
      </c>
      <c r="D105" s="351">
        <v>7.0</v>
      </c>
      <c r="E105" s="351">
        <v>675.0</v>
      </c>
      <c r="F105" s="351">
        <f>D105*E105</f>
        <v>4725</v>
      </c>
      <c r="G105" s="351" t="s">
        <v>782</v>
      </c>
      <c r="H105" s="607"/>
      <c r="I105" s="333"/>
      <c r="J105" s="333"/>
    </row>
    <row r="106">
      <c r="A106" s="346" t="s">
        <v>1178</v>
      </c>
      <c r="B106" s="344"/>
      <c r="C106" s="357" t="s">
        <v>2098</v>
      </c>
      <c r="D106" s="2"/>
      <c r="E106" s="3"/>
      <c r="F106" s="349"/>
      <c r="G106" s="3"/>
      <c r="H106" s="606"/>
      <c r="I106" s="333"/>
      <c r="J106" s="333"/>
    </row>
    <row r="107">
      <c r="A107" s="20"/>
      <c r="B107" s="20"/>
      <c r="C107" s="351" t="s">
        <v>107</v>
      </c>
      <c r="D107" s="359"/>
      <c r="E107" s="359"/>
      <c r="F107" s="351">
        <f>(F101+F103+F105)*1%</f>
        <v>227.4405</v>
      </c>
      <c r="G107" s="351" t="s">
        <v>1215</v>
      </c>
      <c r="H107" s="607"/>
      <c r="I107" s="333"/>
      <c r="J107" s="333"/>
    </row>
    <row r="108">
      <c r="A108" s="341" t="s">
        <v>42</v>
      </c>
      <c r="B108" s="2"/>
      <c r="C108" s="3"/>
      <c r="D108" s="362">
        <v>50.0</v>
      </c>
      <c r="E108" s="362" t="s">
        <v>22</v>
      </c>
      <c r="F108" s="362">
        <f>F101+F103+F105+F107</f>
        <v>22971.4905</v>
      </c>
      <c r="G108" s="339"/>
      <c r="H108" s="604"/>
      <c r="I108" s="333"/>
      <c r="J108" s="333"/>
    </row>
    <row r="109">
      <c r="A109" s="341" t="s">
        <v>800</v>
      </c>
      <c r="B109" s="2"/>
      <c r="C109" s="3"/>
      <c r="D109" s="362">
        <v>1.0</v>
      </c>
      <c r="E109" s="362" t="s">
        <v>22</v>
      </c>
      <c r="F109" s="362">
        <f>F108/D108</f>
        <v>459.42981</v>
      </c>
      <c r="G109" s="339"/>
      <c r="H109" s="604"/>
      <c r="I109" s="333"/>
      <c r="J109" s="333"/>
    </row>
    <row r="110">
      <c r="A110" s="341" t="s">
        <v>1187</v>
      </c>
      <c r="B110" s="2"/>
      <c r="C110" s="2"/>
      <c r="D110" s="3"/>
      <c r="E110" s="366">
        <f>F101*105%*101%/D108</f>
        <v>363.98481</v>
      </c>
      <c r="F110" s="362">
        <f>E110*1%</f>
        <v>3.6398481</v>
      </c>
      <c r="G110" s="339"/>
      <c r="H110" s="604"/>
      <c r="I110" s="333"/>
      <c r="J110" s="333"/>
    </row>
    <row r="111">
      <c r="A111" s="341" t="s">
        <v>42</v>
      </c>
      <c r="B111" s="2"/>
      <c r="C111" s="2"/>
      <c r="D111" s="3"/>
      <c r="E111" s="339"/>
      <c r="F111" s="362">
        <f>F109+F110</f>
        <v>463.0696581</v>
      </c>
      <c r="G111" s="339"/>
      <c r="H111" s="604"/>
      <c r="I111" s="333"/>
      <c r="J111" s="333"/>
    </row>
    <row r="112">
      <c r="A112" s="341" t="s">
        <v>806</v>
      </c>
      <c r="B112" s="2"/>
      <c r="C112" s="2"/>
      <c r="D112" s="3"/>
      <c r="E112" s="362">
        <f>F111</f>
        <v>463.0696581</v>
      </c>
      <c r="F112" s="362">
        <f>E112*15%</f>
        <v>69.46044872</v>
      </c>
      <c r="G112" s="339"/>
      <c r="H112" s="604"/>
      <c r="I112" s="333"/>
      <c r="J112" s="333"/>
    </row>
    <row r="113">
      <c r="A113" s="367" t="s">
        <v>42</v>
      </c>
      <c r="B113" s="2"/>
      <c r="C113" s="2"/>
      <c r="D113" s="3"/>
      <c r="E113" s="368"/>
      <c r="F113" s="369">
        <f>round(F111+F112,2)</f>
        <v>532.53</v>
      </c>
      <c r="G113" s="339"/>
      <c r="H113" s="604"/>
      <c r="I113" s="333"/>
      <c r="J113" s="333"/>
    </row>
    <row r="114">
      <c r="A114" s="346">
        <v>1001.0</v>
      </c>
      <c r="B114" s="344"/>
      <c r="C114" s="348" t="s">
        <v>1529</v>
      </c>
      <c r="D114" s="2"/>
      <c r="E114" s="3"/>
      <c r="F114" s="349"/>
      <c r="G114" s="3"/>
      <c r="H114" s="606"/>
      <c r="I114" s="333"/>
      <c r="J114" s="333"/>
    </row>
    <row r="115">
      <c r="A115" s="20"/>
      <c r="B115" s="20"/>
      <c r="C115" s="351" t="s">
        <v>27</v>
      </c>
      <c r="D115" s="351">
        <v>1.0</v>
      </c>
      <c r="E115" s="351">
        <v>806.0</v>
      </c>
      <c r="F115" s="351">
        <f>E115*D115</f>
        <v>806</v>
      </c>
      <c r="G115" s="351" t="s">
        <v>780</v>
      </c>
      <c r="H115" s="607"/>
      <c r="I115" s="333"/>
      <c r="J115" s="333"/>
    </row>
    <row r="116">
      <c r="A116" s="346" t="s">
        <v>1178</v>
      </c>
      <c r="B116" s="344"/>
      <c r="C116" s="357" t="s">
        <v>2103</v>
      </c>
      <c r="D116" s="2"/>
      <c r="E116" s="3"/>
      <c r="F116" s="349"/>
      <c r="G116" s="3"/>
      <c r="H116" s="606"/>
      <c r="I116" s="333"/>
      <c r="J116" s="333"/>
    </row>
    <row r="117">
      <c r="A117" s="20"/>
      <c r="B117" s="20"/>
      <c r="C117" s="351" t="s">
        <v>107</v>
      </c>
      <c r="D117" s="359"/>
      <c r="E117" s="359"/>
      <c r="F117" s="351">
        <f>F115*1%</f>
        <v>8.06</v>
      </c>
      <c r="G117" s="351" t="s">
        <v>1998</v>
      </c>
      <c r="H117" s="607">
        <f>F117+F107</f>
        <v>235.5005</v>
      </c>
      <c r="I117" s="333"/>
      <c r="J117" s="333"/>
    </row>
    <row r="118">
      <c r="A118" s="351">
        <v>14.4</v>
      </c>
      <c r="B118" s="351"/>
      <c r="C118" s="348" t="s">
        <v>2104</v>
      </c>
      <c r="D118" s="2"/>
      <c r="E118" s="3"/>
      <c r="F118" s="351"/>
      <c r="G118" s="384"/>
      <c r="H118" s="608"/>
      <c r="I118" s="333"/>
      <c r="J118" s="333"/>
    </row>
    <row r="119">
      <c r="A119" s="351"/>
      <c r="B119" s="351"/>
      <c r="C119" s="351" t="s">
        <v>824</v>
      </c>
      <c r="D119" s="351">
        <v>13.13</v>
      </c>
      <c r="E119" s="351">
        <v>498.87</v>
      </c>
      <c r="F119" s="351">
        <f>D119*E119</f>
        <v>6550.1631</v>
      </c>
      <c r="G119" s="351" t="s">
        <v>797</v>
      </c>
      <c r="H119" s="607"/>
      <c r="I119" s="333"/>
      <c r="J119" s="333"/>
    </row>
    <row r="120">
      <c r="A120" s="341" t="s">
        <v>42</v>
      </c>
      <c r="B120" s="2"/>
      <c r="C120" s="3"/>
      <c r="D120" s="362">
        <v>50.0</v>
      </c>
      <c r="E120" s="362" t="s">
        <v>22</v>
      </c>
      <c r="F120" s="362">
        <f>F115+F117+F119</f>
        <v>7364.2231</v>
      </c>
      <c r="G120" s="368"/>
      <c r="H120" s="609"/>
      <c r="I120" s="333"/>
      <c r="J120" s="333"/>
    </row>
    <row r="121">
      <c r="A121" s="341" t="s">
        <v>800</v>
      </c>
      <c r="B121" s="2"/>
      <c r="C121" s="3"/>
      <c r="D121" s="362">
        <v>1.0</v>
      </c>
      <c r="E121" s="362" t="s">
        <v>22</v>
      </c>
      <c r="F121" s="362">
        <f>F120/D120</f>
        <v>147.284462</v>
      </c>
      <c r="G121" s="368"/>
      <c r="H121" s="609"/>
      <c r="I121" s="333"/>
      <c r="J121" s="333"/>
    </row>
    <row r="122">
      <c r="A122" s="341" t="s">
        <v>806</v>
      </c>
      <c r="B122" s="2"/>
      <c r="C122" s="2"/>
      <c r="D122" s="3"/>
      <c r="E122" s="362">
        <f>F121</f>
        <v>147.284462</v>
      </c>
      <c r="F122" s="362">
        <f>E122*15%</f>
        <v>22.0926693</v>
      </c>
      <c r="G122" s="368"/>
      <c r="H122" s="609"/>
      <c r="I122" s="333"/>
      <c r="J122" s="333"/>
    </row>
    <row r="123">
      <c r="A123" s="367" t="s">
        <v>42</v>
      </c>
      <c r="B123" s="2"/>
      <c r="C123" s="2"/>
      <c r="D123" s="3"/>
      <c r="E123" s="368"/>
      <c r="F123" s="369">
        <f>round(F121+F122,2)</f>
        <v>169.38</v>
      </c>
      <c r="G123" s="339"/>
      <c r="H123" s="604">
        <f>F123+F113</f>
        <v>701.91</v>
      </c>
      <c r="I123" s="333"/>
      <c r="J123" s="333"/>
    </row>
    <row r="124">
      <c r="A124" s="592" t="str">
        <f>CONCATENATE("Say ₹ ",F113," + ",F123," x Cost Index")                                           </f>
        <v>Say ₹ 532.53 + 169.38 x Cost Index</v>
      </c>
      <c r="B124" s="2"/>
      <c r="C124" s="2"/>
      <c r="D124" s="2"/>
      <c r="E124" s="2"/>
      <c r="F124" s="3"/>
      <c r="G124" s="369" t="s">
        <v>939</v>
      </c>
      <c r="H124" s="610"/>
      <c r="I124" s="333">
        <f>((F101*1.05*1.01)+F105)*1.01*1.15/50</f>
        <v>532.5301068</v>
      </c>
      <c r="J124" s="333">
        <f>((F115*1.01)+F119)*1.15/50</f>
        <v>169.3771313</v>
      </c>
    </row>
    <row r="125">
      <c r="A125" s="331" t="s">
        <v>742</v>
      </c>
      <c r="B125" s="331" t="s">
        <v>745</v>
      </c>
      <c r="C125" s="332" t="s">
        <v>6</v>
      </c>
      <c r="D125" s="2"/>
      <c r="E125" s="3"/>
      <c r="F125" s="332" t="s">
        <v>746</v>
      </c>
      <c r="G125" s="3"/>
      <c r="H125" s="602"/>
      <c r="I125" s="333"/>
      <c r="J125" s="333"/>
    </row>
    <row r="126">
      <c r="A126" s="20"/>
      <c r="B126" s="20"/>
      <c r="C126" s="334" t="s">
        <v>8</v>
      </c>
      <c r="D126" s="334" t="s">
        <v>9</v>
      </c>
      <c r="E126" s="334" t="s">
        <v>358</v>
      </c>
      <c r="F126" s="334" t="s">
        <v>11</v>
      </c>
      <c r="G126" s="334" t="s">
        <v>751</v>
      </c>
      <c r="H126" s="602"/>
      <c r="I126" s="333"/>
      <c r="J126" s="333"/>
    </row>
    <row r="127">
      <c r="A127" s="337" t="s">
        <v>2130</v>
      </c>
      <c r="B127" s="2"/>
      <c r="C127" s="2"/>
      <c r="D127" s="2"/>
      <c r="E127" s="2"/>
      <c r="F127" s="2"/>
      <c r="G127" s="3"/>
      <c r="H127" s="603"/>
      <c r="I127" s="333"/>
      <c r="J127" s="333"/>
    </row>
    <row r="128">
      <c r="A128" s="339"/>
      <c r="B128" s="339" t="s">
        <v>754</v>
      </c>
      <c r="C128" s="339" t="s">
        <v>22</v>
      </c>
      <c r="D128" s="339" t="s">
        <v>757</v>
      </c>
      <c r="E128" s="339">
        <v>50.0</v>
      </c>
      <c r="F128" s="339"/>
      <c r="G128" s="339"/>
      <c r="H128" s="604"/>
      <c r="I128" s="333"/>
      <c r="J128" s="333"/>
    </row>
    <row r="129">
      <c r="A129" s="339" t="s">
        <v>761</v>
      </c>
      <c r="B129" s="341" t="s">
        <v>2092</v>
      </c>
      <c r="C129" s="2"/>
      <c r="D129" s="2"/>
      <c r="E129" s="2"/>
      <c r="F129" s="2"/>
      <c r="G129" s="3"/>
      <c r="H129" s="605"/>
      <c r="I129" s="333"/>
      <c r="J129" s="333"/>
    </row>
    <row r="130">
      <c r="A130" s="341" t="s">
        <v>2093</v>
      </c>
      <c r="B130" s="2"/>
      <c r="C130" s="2"/>
      <c r="D130" s="2"/>
      <c r="E130" s="2"/>
      <c r="F130" s="2"/>
      <c r="G130" s="3"/>
      <c r="H130" s="605"/>
      <c r="I130" s="333"/>
      <c r="J130" s="333"/>
    </row>
    <row r="131">
      <c r="A131" s="344"/>
      <c r="B131" s="346" t="s">
        <v>2132</v>
      </c>
      <c r="C131" s="348" t="s">
        <v>2133</v>
      </c>
      <c r="D131" s="2"/>
      <c r="E131" s="3"/>
      <c r="F131" s="349"/>
      <c r="G131" s="3"/>
      <c r="H131" s="606"/>
      <c r="I131" s="333"/>
      <c r="J131" s="333"/>
    </row>
    <row r="132">
      <c r="A132" s="20"/>
      <c r="B132" s="20"/>
      <c r="C132" s="351" t="s">
        <v>22</v>
      </c>
      <c r="D132" s="351">
        <v>50.0</v>
      </c>
      <c r="E132" s="351">
        <v>153.39</v>
      </c>
      <c r="F132" s="351">
        <f>D132*E132</f>
        <v>7669.5</v>
      </c>
      <c r="G132" s="351" t="s">
        <v>772</v>
      </c>
      <c r="H132" s="607"/>
      <c r="I132" s="333"/>
      <c r="J132" s="333"/>
    </row>
    <row r="133">
      <c r="A133" s="346" t="s">
        <v>1178</v>
      </c>
      <c r="B133" s="344"/>
      <c r="C133" s="348" t="s">
        <v>1988</v>
      </c>
      <c r="D133" s="2"/>
      <c r="E133" s="3"/>
      <c r="F133" s="349"/>
      <c r="G133" s="3"/>
      <c r="H133" s="606"/>
      <c r="I133" s="333"/>
      <c r="J133" s="333"/>
    </row>
    <row r="134">
      <c r="A134" s="20"/>
      <c r="B134" s="20"/>
      <c r="C134" s="351" t="s">
        <v>107</v>
      </c>
      <c r="D134" s="359"/>
      <c r="E134" s="359"/>
      <c r="F134" s="351">
        <f>F132*5%</f>
        <v>383.475</v>
      </c>
      <c r="G134" s="351" t="s">
        <v>1183</v>
      </c>
      <c r="H134" s="607"/>
      <c r="I134" s="333"/>
      <c r="J134" s="333"/>
    </row>
    <row r="135">
      <c r="A135" s="344"/>
      <c r="B135" s="346" t="s">
        <v>1174</v>
      </c>
      <c r="C135" s="348" t="s">
        <v>1175</v>
      </c>
      <c r="D135" s="2"/>
      <c r="E135" s="3"/>
      <c r="F135" s="349"/>
      <c r="G135" s="3"/>
      <c r="H135" s="606"/>
      <c r="I135" s="333"/>
      <c r="J135" s="333"/>
    </row>
    <row r="136">
      <c r="A136" s="20"/>
      <c r="B136" s="20"/>
      <c r="C136" s="351" t="s">
        <v>27</v>
      </c>
      <c r="D136" s="351">
        <v>7.0</v>
      </c>
      <c r="E136" s="351">
        <v>675.0</v>
      </c>
      <c r="F136" s="351">
        <f>D136*E136</f>
        <v>4725</v>
      </c>
      <c r="G136" s="351" t="s">
        <v>782</v>
      </c>
      <c r="H136" s="607"/>
      <c r="I136" s="333"/>
      <c r="J136" s="333"/>
    </row>
    <row r="137">
      <c r="A137" s="346" t="s">
        <v>1178</v>
      </c>
      <c r="B137" s="344"/>
      <c r="C137" s="357" t="s">
        <v>2098</v>
      </c>
      <c r="D137" s="2"/>
      <c r="E137" s="3"/>
      <c r="F137" s="349"/>
      <c r="G137" s="3"/>
      <c r="H137" s="606"/>
      <c r="I137" s="333"/>
      <c r="J137" s="333"/>
    </row>
    <row r="138">
      <c r="A138" s="20"/>
      <c r="B138" s="20"/>
      <c r="C138" s="351" t="s">
        <v>107</v>
      </c>
      <c r="D138" s="359"/>
      <c r="E138" s="359"/>
      <c r="F138" s="351">
        <f>(F132+F134+F136)*1%</f>
        <v>127.77975</v>
      </c>
      <c r="G138" s="351" t="s">
        <v>1215</v>
      </c>
      <c r="H138" s="607"/>
      <c r="I138" s="333"/>
      <c r="J138" s="333"/>
    </row>
    <row r="139">
      <c r="A139" s="341" t="s">
        <v>42</v>
      </c>
      <c r="B139" s="2"/>
      <c r="C139" s="3"/>
      <c r="D139" s="362">
        <v>50.0</v>
      </c>
      <c r="E139" s="362" t="s">
        <v>22</v>
      </c>
      <c r="F139" s="362">
        <f>F132+F134+F136+F138</f>
        <v>12905.75475</v>
      </c>
      <c r="G139" s="339"/>
      <c r="H139" s="604"/>
      <c r="I139" s="333"/>
      <c r="J139" s="333"/>
    </row>
    <row r="140">
      <c r="A140" s="341" t="s">
        <v>800</v>
      </c>
      <c r="B140" s="2"/>
      <c r="C140" s="3"/>
      <c r="D140" s="362">
        <v>1.0</v>
      </c>
      <c r="E140" s="362" t="s">
        <v>22</v>
      </c>
      <c r="F140" s="362">
        <f>F139/D139</f>
        <v>258.115095</v>
      </c>
      <c r="G140" s="339"/>
      <c r="H140" s="604"/>
      <c r="I140" s="333"/>
      <c r="J140" s="333"/>
    </row>
    <row r="141">
      <c r="A141" s="341" t="s">
        <v>1187</v>
      </c>
      <c r="B141" s="2"/>
      <c r="C141" s="2"/>
      <c r="D141" s="3"/>
      <c r="E141" s="366">
        <f>F132*105%*101%/D139</f>
        <v>162.670095</v>
      </c>
      <c r="F141" s="362">
        <f>E141*1%</f>
        <v>1.62670095</v>
      </c>
      <c r="G141" s="339"/>
      <c r="H141" s="604"/>
      <c r="I141" s="333"/>
      <c r="J141" s="333"/>
    </row>
    <row r="142">
      <c r="A142" s="341" t="s">
        <v>42</v>
      </c>
      <c r="B142" s="2"/>
      <c r="C142" s="2"/>
      <c r="D142" s="3"/>
      <c r="E142" s="339"/>
      <c r="F142" s="362">
        <f>F140+F141</f>
        <v>259.741796</v>
      </c>
      <c r="G142" s="339"/>
      <c r="H142" s="604"/>
      <c r="I142" s="333"/>
      <c r="J142" s="333"/>
    </row>
    <row r="143">
      <c r="A143" s="341" t="s">
        <v>806</v>
      </c>
      <c r="B143" s="2"/>
      <c r="C143" s="2"/>
      <c r="D143" s="3"/>
      <c r="E143" s="362">
        <f>F142</f>
        <v>259.741796</v>
      </c>
      <c r="F143" s="362">
        <f>E143*15%</f>
        <v>38.96126939</v>
      </c>
      <c r="G143" s="339"/>
      <c r="H143" s="604"/>
      <c r="I143" s="333"/>
      <c r="J143" s="333"/>
    </row>
    <row r="144">
      <c r="A144" s="367" t="s">
        <v>42</v>
      </c>
      <c r="B144" s="2"/>
      <c r="C144" s="2"/>
      <c r="D144" s="3"/>
      <c r="E144" s="368"/>
      <c r="F144" s="369">
        <f>round(F142+F143,2)</f>
        <v>298.7</v>
      </c>
      <c r="G144" s="339"/>
      <c r="H144" s="604"/>
      <c r="I144" s="333"/>
      <c r="J144" s="333"/>
    </row>
    <row r="145">
      <c r="A145" s="346">
        <v>1001.0</v>
      </c>
      <c r="B145" s="344"/>
      <c r="C145" s="348" t="s">
        <v>1529</v>
      </c>
      <c r="D145" s="2"/>
      <c r="E145" s="3"/>
      <c r="F145" s="349"/>
      <c r="G145" s="3"/>
      <c r="H145" s="606"/>
      <c r="I145" s="333"/>
      <c r="J145" s="333"/>
    </row>
    <row r="146">
      <c r="A146" s="20"/>
      <c r="B146" s="20"/>
      <c r="C146" s="351" t="s">
        <v>27</v>
      </c>
      <c r="D146" s="351">
        <v>1.0</v>
      </c>
      <c r="E146" s="351">
        <v>806.0</v>
      </c>
      <c r="F146" s="351">
        <f>E146*D146</f>
        <v>806</v>
      </c>
      <c r="G146" s="351" t="s">
        <v>780</v>
      </c>
      <c r="H146" s="607"/>
      <c r="I146" s="333"/>
      <c r="J146" s="333"/>
    </row>
    <row r="147">
      <c r="A147" s="346" t="s">
        <v>1178</v>
      </c>
      <c r="B147" s="344"/>
      <c r="C147" s="357" t="s">
        <v>2103</v>
      </c>
      <c r="D147" s="2"/>
      <c r="E147" s="3"/>
      <c r="F147" s="349"/>
      <c r="G147" s="3"/>
      <c r="H147" s="606"/>
      <c r="I147" s="333"/>
      <c r="J147" s="333"/>
    </row>
    <row r="148">
      <c r="A148" s="20"/>
      <c r="B148" s="20"/>
      <c r="C148" s="351" t="s">
        <v>107</v>
      </c>
      <c r="D148" s="359"/>
      <c r="E148" s="359"/>
      <c r="F148" s="351">
        <f>F146*1%</f>
        <v>8.06</v>
      </c>
      <c r="G148" s="351" t="s">
        <v>1998</v>
      </c>
      <c r="H148" s="607">
        <f>F148+F138</f>
        <v>135.83975</v>
      </c>
      <c r="I148" s="333"/>
      <c r="J148" s="333"/>
    </row>
    <row r="149">
      <c r="A149" s="351">
        <v>14.4</v>
      </c>
      <c r="B149" s="351"/>
      <c r="C149" s="348" t="s">
        <v>2104</v>
      </c>
      <c r="D149" s="2"/>
      <c r="E149" s="3"/>
      <c r="F149" s="351"/>
      <c r="G149" s="384"/>
      <c r="H149" s="608"/>
      <c r="I149" s="333"/>
      <c r="J149" s="333"/>
    </row>
    <row r="150">
      <c r="A150" s="351"/>
      <c r="B150" s="351"/>
      <c r="C150" s="351" t="s">
        <v>824</v>
      </c>
      <c r="D150" s="351">
        <v>13.13</v>
      </c>
      <c r="E150" s="351">
        <v>498.87</v>
      </c>
      <c r="F150" s="351">
        <f>D150*E150</f>
        <v>6550.1631</v>
      </c>
      <c r="G150" s="351" t="s">
        <v>797</v>
      </c>
      <c r="H150" s="607"/>
      <c r="I150" s="333"/>
      <c r="J150" s="333"/>
    </row>
    <row r="151">
      <c r="A151" s="341" t="s">
        <v>42</v>
      </c>
      <c r="B151" s="2"/>
      <c r="C151" s="3"/>
      <c r="D151" s="362">
        <v>50.0</v>
      </c>
      <c r="E151" s="362" t="s">
        <v>22</v>
      </c>
      <c r="F151" s="362">
        <f>F146+F148+F150</f>
        <v>7364.2231</v>
      </c>
      <c r="G151" s="368"/>
      <c r="H151" s="609"/>
      <c r="I151" s="333"/>
      <c r="J151" s="333"/>
    </row>
    <row r="152">
      <c r="A152" s="341" t="s">
        <v>800</v>
      </c>
      <c r="B152" s="2"/>
      <c r="C152" s="3"/>
      <c r="D152" s="362">
        <v>1.0</v>
      </c>
      <c r="E152" s="362" t="s">
        <v>22</v>
      </c>
      <c r="F152" s="362">
        <f>F151/D151</f>
        <v>147.284462</v>
      </c>
      <c r="G152" s="368"/>
      <c r="H152" s="609"/>
      <c r="I152" s="333"/>
      <c r="J152" s="333"/>
    </row>
    <row r="153">
      <c r="A153" s="341" t="s">
        <v>806</v>
      </c>
      <c r="B153" s="2"/>
      <c r="C153" s="2"/>
      <c r="D153" s="3"/>
      <c r="E153" s="362">
        <f>F152</f>
        <v>147.284462</v>
      </c>
      <c r="F153" s="362">
        <f>E153*15%</f>
        <v>22.0926693</v>
      </c>
      <c r="G153" s="368"/>
      <c r="H153" s="609">
        <f>E153+E143</f>
        <v>407.026258</v>
      </c>
      <c r="I153" s="333"/>
      <c r="J153" s="333"/>
    </row>
    <row r="154">
      <c r="A154" s="367" t="s">
        <v>42</v>
      </c>
      <c r="B154" s="2"/>
      <c r="C154" s="2"/>
      <c r="D154" s="3"/>
      <c r="E154" s="368"/>
      <c r="F154" s="369">
        <f>round(F152+F153,2)</f>
        <v>169.38</v>
      </c>
      <c r="G154" s="339"/>
      <c r="H154" s="604">
        <f>F154+F144</f>
        <v>468.08</v>
      </c>
      <c r="I154" s="333"/>
      <c r="J154" s="333"/>
    </row>
    <row r="155">
      <c r="A155" s="592" t="str">
        <f>CONCATENATE("Say ₹ ",F144," + ",F154," x Cost Index")                                           </f>
        <v>Say ₹ 298.7 + 169.38 x Cost Index</v>
      </c>
      <c r="B155" s="2"/>
      <c r="C155" s="2"/>
      <c r="D155" s="2"/>
      <c r="E155" s="2"/>
      <c r="F155" s="3"/>
      <c r="G155" s="369" t="s">
        <v>939</v>
      </c>
      <c r="H155" s="610"/>
      <c r="I155" s="333">
        <f>((F132*1.05*1.01)+F136)*1.01*1.15/50</f>
        <v>298.7030653</v>
      </c>
      <c r="J155" s="333">
        <f>((F146*1.01)+F150)*1.15/50</f>
        <v>169.3771313</v>
      </c>
    </row>
    <row r="156">
      <c r="A156" s="331" t="s">
        <v>742</v>
      </c>
      <c r="B156" s="331" t="s">
        <v>745</v>
      </c>
      <c r="C156" s="332" t="s">
        <v>6</v>
      </c>
      <c r="D156" s="2"/>
      <c r="E156" s="3"/>
      <c r="F156" s="332" t="s">
        <v>746</v>
      </c>
      <c r="G156" s="3"/>
      <c r="H156" s="602"/>
      <c r="I156" s="333"/>
      <c r="J156" s="333"/>
    </row>
    <row r="157">
      <c r="A157" s="20"/>
      <c r="B157" s="20"/>
      <c r="C157" s="334" t="s">
        <v>8</v>
      </c>
      <c r="D157" s="334" t="s">
        <v>9</v>
      </c>
      <c r="E157" s="334" t="s">
        <v>358</v>
      </c>
      <c r="F157" s="334" t="s">
        <v>11</v>
      </c>
      <c r="G157" s="334" t="s">
        <v>751</v>
      </c>
      <c r="H157" s="602"/>
      <c r="I157" s="333"/>
      <c r="J157" s="333"/>
    </row>
    <row r="158">
      <c r="A158" s="337" t="s">
        <v>2163</v>
      </c>
      <c r="B158" s="2"/>
      <c r="C158" s="2"/>
      <c r="D158" s="2"/>
      <c r="E158" s="2"/>
      <c r="F158" s="2"/>
      <c r="G158" s="3"/>
      <c r="H158" s="603"/>
      <c r="I158" s="333"/>
      <c r="J158" s="333"/>
    </row>
    <row r="159">
      <c r="A159" s="339"/>
      <c r="B159" s="339" t="s">
        <v>754</v>
      </c>
      <c r="C159" s="339" t="s">
        <v>22</v>
      </c>
      <c r="D159" s="339" t="s">
        <v>757</v>
      </c>
      <c r="E159" s="339">
        <v>50.0</v>
      </c>
      <c r="F159" s="339"/>
      <c r="G159" s="339"/>
      <c r="H159" s="604"/>
      <c r="I159" s="333"/>
      <c r="J159" s="333"/>
    </row>
    <row r="160">
      <c r="A160" s="339" t="s">
        <v>761</v>
      </c>
      <c r="B160" s="341" t="s">
        <v>2092</v>
      </c>
      <c r="C160" s="2"/>
      <c r="D160" s="2"/>
      <c r="E160" s="2"/>
      <c r="F160" s="2"/>
      <c r="G160" s="3"/>
      <c r="H160" s="605"/>
      <c r="I160" s="333"/>
      <c r="J160" s="333"/>
    </row>
    <row r="161">
      <c r="A161" s="341" t="s">
        <v>2093</v>
      </c>
      <c r="B161" s="2"/>
      <c r="C161" s="2"/>
      <c r="D161" s="2"/>
      <c r="E161" s="2"/>
      <c r="F161" s="2"/>
      <c r="G161" s="3"/>
      <c r="H161" s="605"/>
      <c r="I161" s="333"/>
      <c r="J161" s="333"/>
    </row>
    <row r="162">
      <c r="A162" s="344"/>
      <c r="B162" s="346" t="s">
        <v>2165</v>
      </c>
      <c r="C162" s="348" t="s">
        <v>2166</v>
      </c>
      <c r="D162" s="2"/>
      <c r="E162" s="3"/>
      <c r="F162" s="349"/>
      <c r="G162" s="3"/>
      <c r="H162" s="606"/>
      <c r="I162" s="333"/>
      <c r="J162" s="333"/>
    </row>
    <row r="163">
      <c r="A163" s="20"/>
      <c r="B163" s="20"/>
      <c r="C163" s="351" t="s">
        <v>22</v>
      </c>
      <c r="D163" s="351">
        <v>50.0</v>
      </c>
      <c r="E163" s="351">
        <v>211.86</v>
      </c>
      <c r="F163" s="351">
        <f>D163*E163</f>
        <v>10593</v>
      </c>
      <c r="G163" s="351" t="s">
        <v>772</v>
      </c>
      <c r="H163" s="607"/>
      <c r="I163" s="333"/>
      <c r="J163" s="333"/>
    </row>
    <row r="164">
      <c r="A164" s="346" t="s">
        <v>1178</v>
      </c>
      <c r="B164" s="344"/>
      <c r="C164" s="348" t="s">
        <v>1988</v>
      </c>
      <c r="D164" s="2"/>
      <c r="E164" s="3"/>
      <c r="F164" s="349"/>
      <c r="G164" s="3"/>
      <c r="H164" s="606"/>
      <c r="I164" s="333"/>
      <c r="J164" s="333"/>
    </row>
    <row r="165">
      <c r="A165" s="20"/>
      <c r="B165" s="20"/>
      <c r="C165" s="351" t="s">
        <v>107</v>
      </c>
      <c r="D165" s="359"/>
      <c r="E165" s="359"/>
      <c r="F165" s="351">
        <f>F163*5%</f>
        <v>529.65</v>
      </c>
      <c r="G165" s="351" t="s">
        <v>1183</v>
      </c>
      <c r="H165" s="607"/>
      <c r="I165" s="333"/>
      <c r="J165" s="333"/>
    </row>
    <row r="166">
      <c r="A166" s="344"/>
      <c r="B166" s="346" t="s">
        <v>1174</v>
      </c>
      <c r="C166" s="348" t="s">
        <v>1175</v>
      </c>
      <c r="D166" s="2"/>
      <c r="E166" s="3"/>
      <c r="F166" s="349"/>
      <c r="G166" s="3"/>
      <c r="H166" s="606"/>
      <c r="I166" s="333"/>
      <c r="J166" s="333"/>
    </row>
    <row r="167">
      <c r="A167" s="20"/>
      <c r="B167" s="20"/>
      <c r="C167" s="351" t="s">
        <v>27</v>
      </c>
      <c r="D167" s="351">
        <v>7.0</v>
      </c>
      <c r="E167" s="351">
        <v>675.0</v>
      </c>
      <c r="F167" s="351">
        <f>D167*E167</f>
        <v>4725</v>
      </c>
      <c r="G167" s="351" t="s">
        <v>782</v>
      </c>
      <c r="H167" s="607"/>
      <c r="I167" s="333"/>
      <c r="J167" s="333"/>
    </row>
    <row r="168">
      <c r="A168" s="346" t="s">
        <v>1178</v>
      </c>
      <c r="B168" s="344"/>
      <c r="C168" s="357" t="s">
        <v>2098</v>
      </c>
      <c r="D168" s="2"/>
      <c r="E168" s="3"/>
      <c r="F168" s="349"/>
      <c r="G168" s="3"/>
      <c r="H168" s="606"/>
      <c r="I168" s="333"/>
      <c r="J168" s="333"/>
    </row>
    <row r="169">
      <c r="A169" s="20"/>
      <c r="B169" s="20"/>
      <c r="C169" s="351" t="s">
        <v>107</v>
      </c>
      <c r="D169" s="359"/>
      <c r="E169" s="359"/>
      <c r="F169" s="351">
        <f>(F163+F165+F167)*1%</f>
        <v>158.4765</v>
      </c>
      <c r="G169" s="351" t="s">
        <v>1215</v>
      </c>
      <c r="H169" s="607"/>
      <c r="I169" s="333"/>
      <c r="J169" s="333"/>
    </row>
    <row r="170">
      <c r="A170" s="341" t="s">
        <v>42</v>
      </c>
      <c r="B170" s="2"/>
      <c r="C170" s="3"/>
      <c r="D170" s="362">
        <v>50.0</v>
      </c>
      <c r="E170" s="362" t="s">
        <v>22</v>
      </c>
      <c r="F170" s="362">
        <f>F163+F165+F167+F169</f>
        <v>16006.1265</v>
      </c>
      <c r="G170" s="339"/>
      <c r="H170" s="604"/>
      <c r="I170" s="333"/>
      <c r="J170" s="333"/>
    </row>
    <row r="171">
      <c r="A171" s="341" t="s">
        <v>800</v>
      </c>
      <c r="B171" s="2"/>
      <c r="C171" s="3"/>
      <c r="D171" s="362">
        <v>1.0</v>
      </c>
      <c r="E171" s="362" t="s">
        <v>22</v>
      </c>
      <c r="F171" s="362">
        <f>F170/D170</f>
        <v>320.12253</v>
      </c>
      <c r="G171" s="339"/>
      <c r="H171" s="604"/>
      <c r="I171" s="333"/>
      <c r="J171" s="333"/>
    </row>
    <row r="172">
      <c r="A172" s="341" t="s">
        <v>1187</v>
      </c>
      <c r="B172" s="2"/>
      <c r="C172" s="2"/>
      <c r="D172" s="3"/>
      <c r="E172" s="366">
        <f>F163*105%*101%/D170</f>
        <v>224.67753</v>
      </c>
      <c r="F172" s="362">
        <f>E172*1%</f>
        <v>2.2467753</v>
      </c>
      <c r="G172" s="339"/>
      <c r="H172" s="604"/>
      <c r="I172" s="333"/>
      <c r="J172" s="333"/>
    </row>
    <row r="173">
      <c r="A173" s="341" t="s">
        <v>42</v>
      </c>
      <c r="B173" s="2"/>
      <c r="C173" s="2"/>
      <c r="D173" s="3"/>
      <c r="E173" s="339"/>
      <c r="F173" s="362">
        <f>F171+F172</f>
        <v>322.3693053</v>
      </c>
      <c r="G173" s="339"/>
      <c r="H173" s="604"/>
      <c r="I173" s="333"/>
      <c r="J173" s="333"/>
    </row>
    <row r="174">
      <c r="A174" s="341" t="s">
        <v>806</v>
      </c>
      <c r="B174" s="2"/>
      <c r="C174" s="2"/>
      <c r="D174" s="3"/>
      <c r="E174" s="362">
        <f>F173</f>
        <v>322.3693053</v>
      </c>
      <c r="F174" s="362">
        <f>E174*15%</f>
        <v>48.3553958</v>
      </c>
      <c r="G174" s="339"/>
      <c r="H174" s="604"/>
      <c r="I174" s="333"/>
      <c r="J174" s="333"/>
    </row>
    <row r="175">
      <c r="A175" s="367" t="s">
        <v>42</v>
      </c>
      <c r="B175" s="2"/>
      <c r="C175" s="2"/>
      <c r="D175" s="3"/>
      <c r="E175" s="368"/>
      <c r="F175" s="369">
        <f>round(F173+F174,2)</f>
        <v>370.72</v>
      </c>
      <c r="G175" s="339"/>
      <c r="H175" s="604"/>
      <c r="I175" s="333"/>
      <c r="J175" s="333"/>
    </row>
    <row r="176">
      <c r="A176" s="346">
        <v>1001.0</v>
      </c>
      <c r="B176" s="344"/>
      <c r="C176" s="348" t="s">
        <v>1529</v>
      </c>
      <c r="D176" s="2"/>
      <c r="E176" s="3"/>
      <c r="F176" s="349"/>
      <c r="G176" s="3"/>
      <c r="H176" s="606"/>
      <c r="I176" s="333"/>
      <c r="J176" s="333"/>
    </row>
    <row r="177">
      <c r="A177" s="20"/>
      <c r="B177" s="20"/>
      <c r="C177" s="351" t="s">
        <v>27</v>
      </c>
      <c r="D177" s="351">
        <v>1.0</v>
      </c>
      <c r="E177" s="351">
        <v>806.0</v>
      </c>
      <c r="F177" s="351">
        <f>E177*D177</f>
        <v>806</v>
      </c>
      <c r="G177" s="351" t="s">
        <v>780</v>
      </c>
      <c r="H177" s="607"/>
      <c r="I177" s="333"/>
      <c r="J177" s="333"/>
    </row>
    <row r="178">
      <c r="A178" s="346" t="s">
        <v>1178</v>
      </c>
      <c r="B178" s="344"/>
      <c r="C178" s="357" t="s">
        <v>2103</v>
      </c>
      <c r="D178" s="2"/>
      <c r="E178" s="3"/>
      <c r="F178" s="349"/>
      <c r="G178" s="3"/>
      <c r="H178" s="606"/>
      <c r="I178" s="333"/>
      <c r="J178" s="333"/>
    </row>
    <row r="179">
      <c r="A179" s="20"/>
      <c r="B179" s="20"/>
      <c r="C179" s="351" t="s">
        <v>107</v>
      </c>
      <c r="D179" s="359"/>
      <c r="E179" s="359"/>
      <c r="F179" s="351">
        <f>F177*1%</f>
        <v>8.06</v>
      </c>
      <c r="G179" s="351" t="s">
        <v>1998</v>
      </c>
      <c r="H179" s="607">
        <f>F179+F169</f>
        <v>166.5365</v>
      </c>
      <c r="I179" s="333"/>
      <c r="J179" s="333"/>
    </row>
    <row r="180">
      <c r="A180" s="351">
        <v>14.4</v>
      </c>
      <c r="B180" s="351"/>
      <c r="C180" s="348" t="s">
        <v>2104</v>
      </c>
      <c r="D180" s="2"/>
      <c r="E180" s="3"/>
      <c r="F180" s="351"/>
      <c r="G180" s="384"/>
      <c r="H180" s="608"/>
      <c r="I180" s="333"/>
      <c r="J180" s="333"/>
    </row>
    <row r="181">
      <c r="A181" s="351"/>
      <c r="B181" s="351"/>
      <c r="C181" s="351" t="s">
        <v>824</v>
      </c>
      <c r="D181" s="351">
        <v>13.13</v>
      </c>
      <c r="E181" s="351">
        <v>498.87</v>
      </c>
      <c r="F181" s="351">
        <f>D181*E181</f>
        <v>6550.1631</v>
      </c>
      <c r="G181" s="351" t="s">
        <v>797</v>
      </c>
      <c r="H181" s="607"/>
      <c r="I181" s="333"/>
      <c r="J181" s="333"/>
    </row>
    <row r="182">
      <c r="A182" s="341" t="s">
        <v>42</v>
      </c>
      <c r="B182" s="2"/>
      <c r="C182" s="3"/>
      <c r="D182" s="362">
        <v>50.0</v>
      </c>
      <c r="E182" s="362" t="s">
        <v>22</v>
      </c>
      <c r="F182" s="362">
        <f>F177+F179+F181</f>
        <v>7364.2231</v>
      </c>
      <c r="G182" s="368"/>
      <c r="H182" s="609"/>
      <c r="I182" s="333"/>
      <c r="J182" s="333"/>
    </row>
    <row r="183">
      <c r="A183" s="341" t="s">
        <v>800</v>
      </c>
      <c r="B183" s="2"/>
      <c r="C183" s="3"/>
      <c r="D183" s="362">
        <v>1.0</v>
      </c>
      <c r="E183" s="362" t="s">
        <v>22</v>
      </c>
      <c r="F183" s="362">
        <f>F182/D182</f>
        <v>147.284462</v>
      </c>
      <c r="G183" s="368"/>
      <c r="H183" s="609"/>
      <c r="I183" s="333"/>
      <c r="J183" s="333"/>
    </row>
    <row r="184">
      <c r="A184" s="341" t="s">
        <v>806</v>
      </c>
      <c r="B184" s="2"/>
      <c r="C184" s="2"/>
      <c r="D184" s="3"/>
      <c r="E184" s="362">
        <f>F183</f>
        <v>147.284462</v>
      </c>
      <c r="F184" s="362">
        <f>E184*15%</f>
        <v>22.0926693</v>
      </c>
      <c r="G184" s="368"/>
      <c r="H184" s="609">
        <f>E184+E174</f>
        <v>469.6537673</v>
      </c>
      <c r="I184" s="333"/>
      <c r="J184" s="333"/>
    </row>
    <row r="185">
      <c r="A185" s="367" t="s">
        <v>42</v>
      </c>
      <c r="B185" s="2"/>
      <c r="C185" s="2"/>
      <c r="D185" s="3"/>
      <c r="E185" s="368"/>
      <c r="F185" s="369">
        <f>round(F183+F184,2)</f>
        <v>169.38</v>
      </c>
      <c r="G185" s="339"/>
      <c r="H185" s="604">
        <f>F185+F175</f>
        <v>540.1</v>
      </c>
      <c r="I185" s="333"/>
      <c r="J185" s="333"/>
    </row>
    <row r="186">
      <c r="A186" s="592" t="str">
        <f>CONCATENATE("Say ₹ ",F175," + ",F185," x Cost Index")                                           </f>
        <v>Say ₹ 370.72 + 169.38 x Cost Index</v>
      </c>
      <c r="B186" s="2"/>
      <c r="C186" s="2"/>
      <c r="D186" s="2"/>
      <c r="E186" s="2"/>
      <c r="F186" s="3"/>
      <c r="G186" s="369" t="s">
        <v>939</v>
      </c>
      <c r="H186" s="610"/>
      <c r="I186" s="333">
        <f>((F163*1.05*1.01)+F167)*1.01*1.15/50</f>
        <v>370.7247011</v>
      </c>
      <c r="J186" s="333">
        <f>((F177*1.01)+F181)*1.15/50</f>
        <v>169.3771313</v>
      </c>
    </row>
    <row r="187">
      <c r="A187" s="331" t="s">
        <v>742</v>
      </c>
      <c r="B187" s="331" t="s">
        <v>745</v>
      </c>
      <c r="C187" s="332" t="s">
        <v>6</v>
      </c>
      <c r="D187" s="2"/>
      <c r="E187" s="3"/>
      <c r="F187" s="332" t="s">
        <v>746</v>
      </c>
      <c r="G187" s="3"/>
      <c r="H187" s="602"/>
      <c r="I187" s="333"/>
      <c r="J187" s="333"/>
    </row>
    <row r="188">
      <c r="A188" s="20"/>
      <c r="B188" s="20"/>
      <c r="C188" s="334" t="s">
        <v>8</v>
      </c>
      <c r="D188" s="334" t="s">
        <v>9</v>
      </c>
      <c r="E188" s="334" t="s">
        <v>358</v>
      </c>
      <c r="F188" s="334" t="s">
        <v>11</v>
      </c>
      <c r="G188" s="334" t="s">
        <v>751</v>
      </c>
      <c r="H188" s="602"/>
      <c r="I188" s="333"/>
      <c r="J188" s="333"/>
    </row>
    <row r="189">
      <c r="A189" s="337" t="s">
        <v>2198</v>
      </c>
      <c r="B189" s="2"/>
      <c r="C189" s="2"/>
      <c r="D189" s="2"/>
      <c r="E189" s="2"/>
      <c r="F189" s="2"/>
      <c r="G189" s="3"/>
      <c r="H189" s="603"/>
      <c r="I189" s="333"/>
      <c r="J189" s="333"/>
    </row>
    <row r="190">
      <c r="A190" s="339"/>
      <c r="B190" s="339" t="s">
        <v>754</v>
      </c>
      <c r="C190" s="339" t="s">
        <v>22</v>
      </c>
      <c r="D190" s="339" t="s">
        <v>757</v>
      </c>
      <c r="E190" s="339">
        <v>50.0</v>
      </c>
      <c r="F190" s="339"/>
      <c r="G190" s="339"/>
      <c r="H190" s="604"/>
      <c r="I190" s="333"/>
      <c r="J190" s="333"/>
    </row>
    <row r="191">
      <c r="A191" s="339" t="s">
        <v>761</v>
      </c>
      <c r="B191" s="341" t="s">
        <v>2092</v>
      </c>
      <c r="C191" s="2"/>
      <c r="D191" s="2"/>
      <c r="E191" s="2"/>
      <c r="F191" s="2"/>
      <c r="G191" s="3"/>
      <c r="H191" s="605"/>
      <c r="I191" s="333"/>
      <c r="J191" s="333"/>
    </row>
    <row r="192">
      <c r="A192" s="341" t="s">
        <v>2093</v>
      </c>
      <c r="B192" s="2"/>
      <c r="C192" s="2"/>
      <c r="D192" s="2"/>
      <c r="E192" s="2"/>
      <c r="F192" s="2"/>
      <c r="G192" s="3"/>
      <c r="H192" s="605"/>
      <c r="I192" s="333"/>
      <c r="J192" s="333"/>
    </row>
    <row r="193">
      <c r="A193" s="344"/>
      <c r="B193" s="346" t="s">
        <v>2202</v>
      </c>
      <c r="C193" s="348" t="s">
        <v>2203</v>
      </c>
      <c r="D193" s="2"/>
      <c r="E193" s="3"/>
      <c r="F193" s="349"/>
      <c r="G193" s="3"/>
      <c r="H193" s="606"/>
      <c r="I193" s="333"/>
      <c r="J193" s="333"/>
    </row>
    <row r="194">
      <c r="A194" s="20"/>
      <c r="B194" s="20"/>
      <c r="C194" s="351" t="s">
        <v>22</v>
      </c>
      <c r="D194" s="351">
        <v>50.0</v>
      </c>
      <c r="E194" s="351">
        <v>329.66</v>
      </c>
      <c r="F194" s="351">
        <f>D194*E194</f>
        <v>16483</v>
      </c>
      <c r="G194" s="351" t="s">
        <v>772</v>
      </c>
      <c r="H194" s="607"/>
      <c r="I194" s="333"/>
      <c r="J194" s="333"/>
    </row>
    <row r="195">
      <c r="A195" s="346" t="s">
        <v>1178</v>
      </c>
      <c r="B195" s="344"/>
      <c r="C195" s="348" t="s">
        <v>1988</v>
      </c>
      <c r="D195" s="2"/>
      <c r="E195" s="3"/>
      <c r="F195" s="349"/>
      <c r="G195" s="3"/>
      <c r="H195" s="606"/>
      <c r="I195" s="333"/>
      <c r="J195" s="333"/>
    </row>
    <row r="196">
      <c r="A196" s="20"/>
      <c r="B196" s="20"/>
      <c r="C196" s="351" t="s">
        <v>107</v>
      </c>
      <c r="D196" s="359"/>
      <c r="E196" s="359"/>
      <c r="F196" s="351">
        <f>F194*5%</f>
        <v>824.15</v>
      </c>
      <c r="G196" s="351" t="s">
        <v>1183</v>
      </c>
      <c r="H196" s="607"/>
      <c r="I196" s="333"/>
      <c r="J196" s="333"/>
    </row>
    <row r="197">
      <c r="A197" s="344"/>
      <c r="B197" s="346" t="s">
        <v>1174</v>
      </c>
      <c r="C197" s="348" t="s">
        <v>1175</v>
      </c>
      <c r="D197" s="2"/>
      <c r="E197" s="3"/>
      <c r="F197" s="349"/>
      <c r="G197" s="3"/>
      <c r="H197" s="606"/>
      <c r="I197" s="333"/>
      <c r="J197" s="333"/>
    </row>
    <row r="198">
      <c r="A198" s="20"/>
      <c r="B198" s="20"/>
      <c r="C198" s="351" t="s">
        <v>27</v>
      </c>
      <c r="D198" s="351">
        <v>7.0</v>
      </c>
      <c r="E198" s="351">
        <v>675.0</v>
      </c>
      <c r="F198" s="351">
        <f>D198*E198</f>
        <v>4725</v>
      </c>
      <c r="G198" s="351" t="s">
        <v>782</v>
      </c>
      <c r="H198" s="607"/>
      <c r="I198" s="333"/>
      <c r="J198" s="333"/>
    </row>
    <row r="199">
      <c r="A199" s="346" t="s">
        <v>1178</v>
      </c>
      <c r="B199" s="344"/>
      <c r="C199" s="357" t="s">
        <v>2098</v>
      </c>
      <c r="D199" s="2"/>
      <c r="E199" s="3"/>
      <c r="F199" s="349"/>
      <c r="G199" s="3"/>
      <c r="H199" s="606"/>
      <c r="I199" s="333"/>
      <c r="J199" s="333"/>
    </row>
    <row r="200">
      <c r="A200" s="20"/>
      <c r="B200" s="20"/>
      <c r="C200" s="351" t="s">
        <v>107</v>
      </c>
      <c r="D200" s="359"/>
      <c r="E200" s="359"/>
      <c r="F200" s="351">
        <f>(F194+F196+F198)*1%</f>
        <v>220.3215</v>
      </c>
      <c r="G200" s="351" t="s">
        <v>1215</v>
      </c>
      <c r="H200" s="607"/>
      <c r="I200" s="333"/>
      <c r="J200" s="333"/>
    </row>
    <row r="201">
      <c r="A201" s="341" t="s">
        <v>42</v>
      </c>
      <c r="B201" s="2"/>
      <c r="C201" s="3"/>
      <c r="D201" s="362">
        <v>50.0</v>
      </c>
      <c r="E201" s="362" t="s">
        <v>22</v>
      </c>
      <c r="F201" s="362">
        <f>F194+F196+F198+F200</f>
        <v>22252.4715</v>
      </c>
      <c r="G201" s="339"/>
      <c r="H201" s="604"/>
      <c r="I201" s="333"/>
      <c r="J201" s="333"/>
    </row>
    <row r="202">
      <c r="A202" s="341" t="s">
        <v>800</v>
      </c>
      <c r="B202" s="2"/>
      <c r="C202" s="3"/>
      <c r="D202" s="362">
        <v>1.0</v>
      </c>
      <c r="E202" s="362" t="s">
        <v>22</v>
      </c>
      <c r="F202" s="362">
        <f>F201/D201</f>
        <v>445.04943</v>
      </c>
      <c r="G202" s="339"/>
      <c r="H202" s="604"/>
      <c r="I202" s="333"/>
      <c r="J202" s="333"/>
    </row>
    <row r="203">
      <c r="A203" s="341" t="s">
        <v>1187</v>
      </c>
      <c r="B203" s="2"/>
      <c r="C203" s="2"/>
      <c r="D203" s="3"/>
      <c r="E203" s="366">
        <f>F194*105%*101%/D201</f>
        <v>349.60443</v>
      </c>
      <c r="F203" s="362">
        <f>E203*1%</f>
        <v>3.4960443</v>
      </c>
      <c r="G203" s="339"/>
      <c r="H203" s="604"/>
      <c r="I203" s="333"/>
      <c r="J203" s="333"/>
    </row>
    <row r="204">
      <c r="A204" s="341" t="s">
        <v>42</v>
      </c>
      <c r="B204" s="2"/>
      <c r="C204" s="2"/>
      <c r="D204" s="3"/>
      <c r="E204" s="339"/>
      <c r="F204" s="362">
        <f>F202+F203</f>
        <v>448.5454743</v>
      </c>
      <c r="G204" s="339"/>
      <c r="H204" s="604"/>
      <c r="I204" s="333"/>
      <c r="J204" s="333"/>
    </row>
    <row r="205">
      <c r="A205" s="341" t="s">
        <v>806</v>
      </c>
      <c r="B205" s="2"/>
      <c r="C205" s="2"/>
      <c r="D205" s="3"/>
      <c r="E205" s="362">
        <f>F204</f>
        <v>448.5454743</v>
      </c>
      <c r="F205" s="362">
        <f>E205*15%</f>
        <v>67.28182115</v>
      </c>
      <c r="G205" s="339"/>
      <c r="H205" s="604"/>
      <c r="I205" s="333"/>
      <c r="J205" s="333"/>
    </row>
    <row r="206">
      <c r="A206" s="367" t="s">
        <v>42</v>
      </c>
      <c r="B206" s="2"/>
      <c r="C206" s="2"/>
      <c r="D206" s="3"/>
      <c r="E206" s="368"/>
      <c r="F206" s="369">
        <f>round(F204+F205,2)</f>
        <v>515.83</v>
      </c>
      <c r="G206" s="339"/>
      <c r="H206" s="604"/>
      <c r="I206" s="333"/>
      <c r="J206" s="333"/>
    </row>
    <row r="207">
      <c r="A207" s="346">
        <v>1001.0</v>
      </c>
      <c r="B207" s="344"/>
      <c r="C207" s="348" t="s">
        <v>1529</v>
      </c>
      <c r="D207" s="2"/>
      <c r="E207" s="3"/>
      <c r="F207" s="349"/>
      <c r="G207" s="3"/>
      <c r="H207" s="606"/>
      <c r="I207" s="333"/>
      <c r="J207" s="333"/>
    </row>
    <row r="208">
      <c r="A208" s="20"/>
      <c r="B208" s="20"/>
      <c r="C208" s="351" t="s">
        <v>27</v>
      </c>
      <c r="D208" s="351">
        <v>1.0</v>
      </c>
      <c r="E208" s="351">
        <v>806.0</v>
      </c>
      <c r="F208" s="351">
        <f>E208*D208</f>
        <v>806</v>
      </c>
      <c r="G208" s="351" t="s">
        <v>780</v>
      </c>
      <c r="H208" s="607"/>
      <c r="I208" s="333"/>
      <c r="J208" s="333"/>
    </row>
    <row r="209">
      <c r="A209" s="346" t="s">
        <v>1178</v>
      </c>
      <c r="B209" s="344"/>
      <c r="C209" s="357" t="s">
        <v>2103</v>
      </c>
      <c r="D209" s="2"/>
      <c r="E209" s="3"/>
      <c r="F209" s="349"/>
      <c r="G209" s="3"/>
      <c r="H209" s="606"/>
      <c r="I209" s="333"/>
      <c r="J209" s="333"/>
    </row>
    <row r="210">
      <c r="A210" s="20"/>
      <c r="B210" s="20"/>
      <c r="C210" s="351" t="s">
        <v>107</v>
      </c>
      <c r="D210" s="359"/>
      <c r="E210" s="359"/>
      <c r="F210" s="351">
        <f>F208*1%</f>
        <v>8.06</v>
      </c>
      <c r="G210" s="351" t="s">
        <v>1998</v>
      </c>
      <c r="H210" s="607">
        <f>F210+F200</f>
        <v>228.3815</v>
      </c>
      <c r="I210" s="333"/>
      <c r="J210" s="333"/>
    </row>
    <row r="211">
      <c r="A211" s="351">
        <v>14.4</v>
      </c>
      <c r="B211" s="351"/>
      <c r="C211" s="348" t="s">
        <v>2104</v>
      </c>
      <c r="D211" s="2"/>
      <c r="E211" s="3"/>
      <c r="F211" s="351"/>
      <c r="G211" s="384"/>
      <c r="H211" s="608"/>
      <c r="I211" s="333"/>
      <c r="J211" s="333"/>
    </row>
    <row r="212">
      <c r="A212" s="351"/>
      <c r="B212" s="351"/>
      <c r="C212" s="351" t="s">
        <v>824</v>
      </c>
      <c r="D212" s="351">
        <v>13.13</v>
      </c>
      <c r="E212" s="351">
        <v>498.87</v>
      </c>
      <c r="F212" s="351">
        <f>D212*E212</f>
        <v>6550.1631</v>
      </c>
      <c r="G212" s="351" t="s">
        <v>797</v>
      </c>
      <c r="H212" s="607"/>
      <c r="I212" s="333"/>
      <c r="J212" s="333"/>
    </row>
    <row r="213">
      <c r="A213" s="341" t="s">
        <v>42</v>
      </c>
      <c r="B213" s="2"/>
      <c r="C213" s="3"/>
      <c r="D213" s="362">
        <v>50.0</v>
      </c>
      <c r="E213" s="362" t="s">
        <v>22</v>
      </c>
      <c r="F213" s="362">
        <f>F208+F210+F212</f>
        <v>7364.2231</v>
      </c>
      <c r="G213" s="368"/>
      <c r="H213" s="609"/>
      <c r="I213" s="333"/>
      <c r="J213" s="333"/>
    </row>
    <row r="214">
      <c r="A214" s="341" t="s">
        <v>800</v>
      </c>
      <c r="B214" s="2"/>
      <c r="C214" s="3"/>
      <c r="D214" s="362">
        <v>1.0</v>
      </c>
      <c r="E214" s="362" t="s">
        <v>22</v>
      </c>
      <c r="F214" s="362">
        <f>F213/D213</f>
        <v>147.284462</v>
      </c>
      <c r="G214" s="368"/>
      <c r="H214" s="609"/>
      <c r="I214" s="333"/>
      <c r="J214" s="333"/>
    </row>
    <row r="215">
      <c r="A215" s="341" t="s">
        <v>806</v>
      </c>
      <c r="B215" s="2"/>
      <c r="C215" s="2"/>
      <c r="D215" s="3"/>
      <c r="E215" s="362">
        <f>F214</f>
        <v>147.284462</v>
      </c>
      <c r="F215" s="362">
        <f>E215*15%</f>
        <v>22.0926693</v>
      </c>
      <c r="G215" s="368"/>
      <c r="H215" s="609">
        <f>E215+E205</f>
        <v>595.8299363</v>
      </c>
      <c r="I215" s="333"/>
      <c r="J215" s="333"/>
    </row>
    <row r="216">
      <c r="A216" s="367" t="s">
        <v>42</v>
      </c>
      <c r="B216" s="2"/>
      <c r="C216" s="2"/>
      <c r="D216" s="3"/>
      <c r="E216" s="368"/>
      <c r="F216" s="369">
        <f>round(F214+F215,2)</f>
        <v>169.38</v>
      </c>
      <c r="G216" s="339"/>
      <c r="H216" s="604">
        <f>F216+F206</f>
        <v>685.21</v>
      </c>
      <c r="I216" s="333"/>
      <c r="J216" s="333"/>
    </row>
    <row r="217">
      <c r="A217" s="592" t="str">
        <f>CONCATENATE("Say ₹ ",F206," + ",F216," x Cost Index")                                           </f>
        <v>Say ₹ 515.83 + 169.38 x Cost Index</v>
      </c>
      <c r="B217" s="2"/>
      <c r="C217" s="2"/>
      <c r="D217" s="2"/>
      <c r="E217" s="2"/>
      <c r="F217" s="3"/>
      <c r="G217" s="369" t="s">
        <v>939</v>
      </c>
      <c r="H217" s="610"/>
      <c r="I217" s="333">
        <f>((F194*1.05*1.01)+F198)*1.01*1.15/50</f>
        <v>515.8272954</v>
      </c>
      <c r="J217" s="333">
        <f>((F208*1.01)+F212)*1.15/50</f>
        <v>169.3771313</v>
      </c>
    </row>
    <row r="218">
      <c r="A218" s="331" t="s">
        <v>742</v>
      </c>
      <c r="B218" s="331" t="s">
        <v>745</v>
      </c>
      <c r="C218" s="332" t="s">
        <v>6</v>
      </c>
      <c r="D218" s="2"/>
      <c r="E218" s="3"/>
      <c r="F218" s="332" t="s">
        <v>746</v>
      </c>
      <c r="G218" s="3"/>
      <c r="H218" s="602"/>
      <c r="I218" s="333"/>
      <c r="J218" s="333"/>
    </row>
    <row r="219">
      <c r="A219" s="20"/>
      <c r="B219" s="20"/>
      <c r="C219" s="334" t="s">
        <v>8</v>
      </c>
      <c r="D219" s="334" t="s">
        <v>9</v>
      </c>
      <c r="E219" s="334" t="s">
        <v>358</v>
      </c>
      <c r="F219" s="334" t="s">
        <v>11</v>
      </c>
      <c r="G219" s="334" t="s">
        <v>751</v>
      </c>
      <c r="H219" s="602"/>
      <c r="I219" s="333"/>
      <c r="J219" s="333"/>
    </row>
    <row r="220">
      <c r="A220" s="337" t="s">
        <v>2221</v>
      </c>
      <c r="B220" s="2"/>
      <c r="C220" s="2"/>
      <c r="D220" s="2"/>
      <c r="E220" s="2"/>
      <c r="F220" s="2"/>
      <c r="G220" s="3"/>
      <c r="H220" s="603"/>
      <c r="I220" s="333"/>
      <c r="J220" s="333"/>
    </row>
    <row r="221">
      <c r="A221" s="339"/>
      <c r="B221" s="339" t="s">
        <v>754</v>
      </c>
      <c r="C221" s="339" t="s">
        <v>22</v>
      </c>
      <c r="D221" s="339" t="s">
        <v>757</v>
      </c>
      <c r="E221" s="339">
        <v>50.0</v>
      </c>
      <c r="F221" s="339"/>
      <c r="G221" s="339"/>
      <c r="H221" s="604"/>
      <c r="I221" s="333"/>
      <c r="J221" s="333"/>
    </row>
    <row r="222">
      <c r="A222" s="339" t="s">
        <v>761</v>
      </c>
      <c r="B222" s="341" t="s">
        <v>2092</v>
      </c>
      <c r="C222" s="2"/>
      <c r="D222" s="2"/>
      <c r="E222" s="2"/>
      <c r="F222" s="2"/>
      <c r="G222" s="3"/>
      <c r="H222" s="605"/>
      <c r="I222" s="333"/>
      <c r="J222" s="333"/>
    </row>
    <row r="223">
      <c r="A223" s="341" t="s">
        <v>2093</v>
      </c>
      <c r="B223" s="2"/>
      <c r="C223" s="2"/>
      <c r="D223" s="2"/>
      <c r="E223" s="2"/>
      <c r="F223" s="2"/>
      <c r="G223" s="3"/>
      <c r="H223" s="605"/>
      <c r="I223" s="333"/>
      <c r="J223" s="333"/>
    </row>
    <row r="224">
      <c r="A224" s="344"/>
      <c r="B224" s="346" t="s">
        <v>2222</v>
      </c>
      <c r="C224" s="348" t="s">
        <v>2223</v>
      </c>
      <c r="D224" s="2"/>
      <c r="E224" s="3"/>
      <c r="F224" s="349"/>
      <c r="G224" s="3"/>
      <c r="H224" s="606"/>
      <c r="I224" s="333"/>
      <c r="J224" s="333"/>
    </row>
    <row r="225">
      <c r="A225" s="20"/>
      <c r="B225" s="20"/>
      <c r="C225" s="351" t="s">
        <v>22</v>
      </c>
      <c r="D225" s="351">
        <v>50.0</v>
      </c>
      <c r="E225" s="351">
        <v>466.95</v>
      </c>
      <c r="F225" s="351">
        <f>D225*E225</f>
        <v>23347.5</v>
      </c>
      <c r="G225" s="351" t="s">
        <v>772</v>
      </c>
      <c r="H225" s="607"/>
      <c r="I225" s="333"/>
      <c r="J225" s="333"/>
    </row>
    <row r="226">
      <c r="A226" s="346" t="s">
        <v>1178</v>
      </c>
      <c r="B226" s="344"/>
      <c r="C226" s="348" t="s">
        <v>1988</v>
      </c>
      <c r="D226" s="2"/>
      <c r="E226" s="3"/>
      <c r="F226" s="349"/>
      <c r="G226" s="3"/>
      <c r="H226" s="606"/>
      <c r="I226" s="333"/>
      <c r="J226" s="333"/>
    </row>
    <row r="227">
      <c r="A227" s="20"/>
      <c r="B227" s="20"/>
      <c r="C227" s="351" t="s">
        <v>107</v>
      </c>
      <c r="D227" s="359"/>
      <c r="E227" s="359"/>
      <c r="F227" s="351">
        <f>F225*5%</f>
        <v>1167.375</v>
      </c>
      <c r="G227" s="351" t="s">
        <v>1183</v>
      </c>
      <c r="H227" s="607"/>
      <c r="I227" s="333"/>
      <c r="J227" s="333"/>
    </row>
    <row r="228">
      <c r="A228" s="344"/>
      <c r="B228" s="346" t="s">
        <v>1174</v>
      </c>
      <c r="C228" s="348" t="s">
        <v>1175</v>
      </c>
      <c r="D228" s="2"/>
      <c r="E228" s="3"/>
      <c r="F228" s="349"/>
      <c r="G228" s="3"/>
      <c r="H228" s="606"/>
      <c r="I228" s="333"/>
      <c r="J228" s="333"/>
    </row>
    <row r="229">
      <c r="A229" s="20"/>
      <c r="B229" s="20"/>
      <c r="C229" s="351" t="s">
        <v>27</v>
      </c>
      <c r="D229" s="351">
        <v>7.0</v>
      </c>
      <c r="E229" s="351">
        <v>675.0</v>
      </c>
      <c r="F229" s="351">
        <f>D229*E229</f>
        <v>4725</v>
      </c>
      <c r="G229" s="351" t="s">
        <v>782</v>
      </c>
      <c r="H229" s="607"/>
      <c r="I229" s="333"/>
      <c r="J229" s="333"/>
    </row>
    <row r="230">
      <c r="A230" s="346" t="s">
        <v>1178</v>
      </c>
      <c r="B230" s="344"/>
      <c r="C230" s="357" t="s">
        <v>2098</v>
      </c>
      <c r="D230" s="2"/>
      <c r="E230" s="3"/>
      <c r="F230" s="349"/>
      <c r="G230" s="3"/>
      <c r="H230" s="606"/>
      <c r="I230" s="333"/>
      <c r="J230" s="333"/>
    </row>
    <row r="231">
      <c r="A231" s="20"/>
      <c r="B231" s="20"/>
      <c r="C231" s="351" t="s">
        <v>107</v>
      </c>
      <c r="D231" s="359"/>
      <c r="E231" s="359"/>
      <c r="F231" s="351">
        <f>(F225+F227+F229)*1%</f>
        <v>292.39875</v>
      </c>
      <c r="G231" s="351" t="s">
        <v>1215</v>
      </c>
      <c r="H231" s="607"/>
      <c r="I231" s="333"/>
      <c r="J231" s="333"/>
    </row>
    <row r="232">
      <c r="A232" s="341" t="s">
        <v>42</v>
      </c>
      <c r="B232" s="2"/>
      <c r="C232" s="3"/>
      <c r="D232" s="362">
        <v>50.0</v>
      </c>
      <c r="E232" s="362" t="s">
        <v>22</v>
      </c>
      <c r="F232" s="362">
        <f>F225+F227+F229+F231</f>
        <v>29532.27375</v>
      </c>
      <c r="G232" s="339"/>
      <c r="H232" s="604"/>
      <c r="I232" s="333"/>
      <c r="J232" s="333"/>
    </row>
    <row r="233">
      <c r="A233" s="341" t="s">
        <v>800</v>
      </c>
      <c r="B233" s="2"/>
      <c r="C233" s="3"/>
      <c r="D233" s="362">
        <v>1.0</v>
      </c>
      <c r="E233" s="362" t="s">
        <v>22</v>
      </c>
      <c r="F233" s="362">
        <f>F232/D232</f>
        <v>590.645475</v>
      </c>
      <c r="G233" s="339"/>
      <c r="H233" s="604"/>
      <c r="I233" s="333"/>
      <c r="J233" s="333"/>
    </row>
    <row r="234">
      <c r="A234" s="341" t="s">
        <v>1187</v>
      </c>
      <c r="B234" s="2"/>
      <c r="C234" s="2"/>
      <c r="D234" s="3"/>
      <c r="E234" s="366">
        <f>F225*105%*101%/D232</f>
        <v>495.200475</v>
      </c>
      <c r="F234" s="362">
        <f>E234*1%</f>
        <v>4.95200475</v>
      </c>
      <c r="G234" s="339"/>
      <c r="H234" s="604"/>
      <c r="I234" s="333"/>
      <c r="J234" s="333"/>
    </row>
    <row r="235">
      <c r="A235" s="341" t="s">
        <v>42</v>
      </c>
      <c r="B235" s="2"/>
      <c r="C235" s="2"/>
      <c r="D235" s="3"/>
      <c r="E235" s="339"/>
      <c r="F235" s="362">
        <f>F233+F234</f>
        <v>595.5974798</v>
      </c>
      <c r="G235" s="339"/>
      <c r="H235" s="604"/>
      <c r="I235" s="333"/>
      <c r="J235" s="333"/>
    </row>
    <row r="236">
      <c r="A236" s="341" t="s">
        <v>806</v>
      </c>
      <c r="B236" s="2"/>
      <c r="C236" s="2"/>
      <c r="D236" s="3"/>
      <c r="E236" s="362">
        <f>F235</f>
        <v>595.5974798</v>
      </c>
      <c r="F236" s="362">
        <f>E236*15%</f>
        <v>89.33962196</v>
      </c>
      <c r="G236" s="339"/>
      <c r="H236" s="604"/>
      <c r="I236" s="333"/>
      <c r="J236" s="333"/>
    </row>
    <row r="237">
      <c r="A237" s="367" t="s">
        <v>42</v>
      </c>
      <c r="B237" s="2"/>
      <c r="C237" s="2"/>
      <c r="D237" s="3"/>
      <c r="E237" s="368"/>
      <c r="F237" s="369">
        <f>round(F235+F236,2)</f>
        <v>684.94</v>
      </c>
      <c r="G237" s="339"/>
      <c r="H237" s="604"/>
      <c r="I237" s="333"/>
      <c r="J237" s="333"/>
    </row>
    <row r="238">
      <c r="A238" s="346">
        <v>1001.0</v>
      </c>
      <c r="B238" s="344"/>
      <c r="C238" s="348" t="s">
        <v>1529</v>
      </c>
      <c r="D238" s="2"/>
      <c r="E238" s="3"/>
      <c r="F238" s="349"/>
      <c r="G238" s="3"/>
      <c r="H238" s="606"/>
      <c r="I238" s="333"/>
      <c r="J238" s="333"/>
    </row>
    <row r="239">
      <c r="A239" s="20"/>
      <c r="B239" s="20"/>
      <c r="C239" s="351" t="s">
        <v>27</v>
      </c>
      <c r="D239" s="351">
        <v>1.0</v>
      </c>
      <c r="E239" s="351">
        <v>806.0</v>
      </c>
      <c r="F239" s="351">
        <f>E239*D239</f>
        <v>806</v>
      </c>
      <c r="G239" s="351" t="s">
        <v>780</v>
      </c>
      <c r="H239" s="607"/>
      <c r="I239" s="333"/>
      <c r="J239" s="333"/>
    </row>
    <row r="240">
      <c r="A240" s="346" t="s">
        <v>1178</v>
      </c>
      <c r="B240" s="344"/>
      <c r="C240" s="357" t="s">
        <v>2103</v>
      </c>
      <c r="D240" s="2"/>
      <c r="E240" s="3"/>
      <c r="F240" s="349"/>
      <c r="G240" s="3"/>
      <c r="H240" s="606"/>
      <c r="I240" s="333"/>
      <c r="J240" s="333"/>
    </row>
    <row r="241">
      <c r="A241" s="20"/>
      <c r="B241" s="20"/>
      <c r="C241" s="351" t="s">
        <v>107</v>
      </c>
      <c r="D241" s="359"/>
      <c r="E241" s="359"/>
      <c r="F241" s="351">
        <f>F239*1%</f>
        <v>8.06</v>
      </c>
      <c r="G241" s="351" t="s">
        <v>1998</v>
      </c>
      <c r="H241" s="607">
        <f>F241+F231</f>
        <v>300.45875</v>
      </c>
      <c r="I241" s="333"/>
      <c r="J241" s="333"/>
    </row>
    <row r="242">
      <c r="A242" s="351">
        <v>14.4</v>
      </c>
      <c r="B242" s="351"/>
      <c r="C242" s="348" t="s">
        <v>2104</v>
      </c>
      <c r="D242" s="2"/>
      <c r="E242" s="3"/>
      <c r="F242" s="351"/>
      <c r="G242" s="384"/>
      <c r="H242" s="608"/>
      <c r="I242" s="333"/>
      <c r="J242" s="333"/>
    </row>
    <row r="243">
      <c r="A243" s="351"/>
      <c r="B243" s="351"/>
      <c r="C243" s="351" t="s">
        <v>824</v>
      </c>
      <c r="D243" s="351">
        <v>13.13</v>
      </c>
      <c r="E243" s="351">
        <v>498.87</v>
      </c>
      <c r="F243" s="351">
        <f>D243*E243</f>
        <v>6550.1631</v>
      </c>
      <c r="G243" s="351" t="s">
        <v>797</v>
      </c>
      <c r="H243" s="607"/>
      <c r="I243" s="333"/>
      <c r="J243" s="333"/>
    </row>
    <row r="244">
      <c r="A244" s="341" t="s">
        <v>42</v>
      </c>
      <c r="B244" s="2"/>
      <c r="C244" s="3"/>
      <c r="D244" s="362">
        <v>50.0</v>
      </c>
      <c r="E244" s="362" t="s">
        <v>22</v>
      </c>
      <c r="F244" s="362">
        <f>F239+F241+F243</f>
        <v>7364.2231</v>
      </c>
      <c r="G244" s="368"/>
      <c r="H244" s="609"/>
      <c r="I244" s="333"/>
      <c r="J244" s="333"/>
    </row>
    <row r="245">
      <c r="A245" s="341" t="s">
        <v>800</v>
      </c>
      <c r="B245" s="2"/>
      <c r="C245" s="3"/>
      <c r="D245" s="362">
        <v>1.0</v>
      </c>
      <c r="E245" s="362" t="s">
        <v>22</v>
      </c>
      <c r="F245" s="362">
        <f>F244/D244</f>
        <v>147.284462</v>
      </c>
      <c r="G245" s="368"/>
      <c r="H245" s="609"/>
      <c r="I245" s="333"/>
      <c r="J245" s="333"/>
    </row>
    <row r="246">
      <c r="A246" s="341" t="s">
        <v>806</v>
      </c>
      <c r="B246" s="2"/>
      <c r="C246" s="2"/>
      <c r="D246" s="3"/>
      <c r="E246" s="362">
        <f>F245</f>
        <v>147.284462</v>
      </c>
      <c r="F246" s="362">
        <f>E246*15%</f>
        <v>22.0926693</v>
      </c>
      <c r="G246" s="368"/>
      <c r="H246" s="609">
        <f>E246+E236</f>
        <v>742.8819418</v>
      </c>
      <c r="I246" s="333"/>
      <c r="J246" s="333"/>
    </row>
    <row r="247">
      <c r="A247" s="367" t="s">
        <v>42</v>
      </c>
      <c r="B247" s="2"/>
      <c r="C247" s="2"/>
      <c r="D247" s="3"/>
      <c r="E247" s="368"/>
      <c r="F247" s="369">
        <f>round(F245+F246,2)</f>
        <v>169.38</v>
      </c>
      <c r="G247" s="339"/>
      <c r="H247" s="604">
        <f>F247+F237</f>
        <v>854.32</v>
      </c>
      <c r="I247" s="333"/>
      <c r="J247" s="333"/>
    </row>
    <row r="248">
      <c r="A248" s="666" t="str">
        <f>CONCATENATE("Say ₹ ",F237," + ",F247," x Cost Index")                                           </f>
        <v>Say ₹ 684.94 + 169.38 x Cost Index</v>
      </c>
      <c r="B248" s="7"/>
      <c r="C248" s="7"/>
      <c r="D248" s="7"/>
      <c r="E248" s="7"/>
      <c r="F248" s="9"/>
      <c r="G248" s="667" t="s">
        <v>939</v>
      </c>
      <c r="H248" s="610"/>
      <c r="I248" s="333">
        <f>((F225*1.05*1.01)+F229)*1.01*1.15/50</f>
        <v>684.9371017</v>
      </c>
      <c r="J248" s="333">
        <f>((F239*1.01)+F243)*1.15/50</f>
        <v>169.3771313</v>
      </c>
    </row>
    <row r="249">
      <c r="A249" s="331" t="s">
        <v>742</v>
      </c>
      <c r="B249" s="331" t="s">
        <v>745</v>
      </c>
      <c r="C249" s="332" t="s">
        <v>6</v>
      </c>
      <c r="D249" s="2"/>
      <c r="E249" s="3"/>
      <c r="F249" s="332" t="s">
        <v>746</v>
      </c>
      <c r="G249" s="3"/>
      <c r="H249" s="602"/>
      <c r="I249" s="333"/>
      <c r="J249" s="333"/>
    </row>
    <row r="250">
      <c r="A250" s="20"/>
      <c r="B250" s="20"/>
      <c r="C250" s="334" t="s">
        <v>8</v>
      </c>
      <c r="D250" s="334" t="s">
        <v>9</v>
      </c>
      <c r="E250" s="334" t="s">
        <v>358</v>
      </c>
      <c r="F250" s="334" t="s">
        <v>11</v>
      </c>
      <c r="G250" s="334" t="s">
        <v>751</v>
      </c>
      <c r="H250" s="602"/>
      <c r="I250" s="333"/>
      <c r="J250" s="333"/>
    </row>
    <row r="251">
      <c r="A251" s="337" t="s">
        <v>2239</v>
      </c>
      <c r="B251" s="2"/>
      <c r="C251" s="2"/>
      <c r="D251" s="2"/>
      <c r="E251" s="2"/>
      <c r="F251" s="2"/>
      <c r="G251" s="3"/>
      <c r="H251" s="603"/>
      <c r="I251" s="333"/>
      <c r="J251" s="333"/>
    </row>
    <row r="252">
      <c r="A252" s="339"/>
      <c r="B252" s="339" t="s">
        <v>754</v>
      </c>
      <c r="C252" s="339" t="s">
        <v>22</v>
      </c>
      <c r="D252" s="339" t="s">
        <v>757</v>
      </c>
      <c r="E252" s="339">
        <v>50.0</v>
      </c>
      <c r="F252" s="339"/>
      <c r="G252" s="339"/>
      <c r="H252" s="604"/>
      <c r="I252" s="333"/>
      <c r="J252" s="333"/>
    </row>
    <row r="253">
      <c r="A253" s="339" t="s">
        <v>761</v>
      </c>
      <c r="B253" s="341" t="s">
        <v>2092</v>
      </c>
      <c r="C253" s="2"/>
      <c r="D253" s="2"/>
      <c r="E253" s="2"/>
      <c r="F253" s="2"/>
      <c r="G253" s="3"/>
      <c r="H253" s="605"/>
      <c r="I253" s="333"/>
      <c r="J253" s="333"/>
    </row>
    <row r="254">
      <c r="A254" s="341" t="s">
        <v>2093</v>
      </c>
      <c r="B254" s="2"/>
      <c r="C254" s="2"/>
      <c r="D254" s="2"/>
      <c r="E254" s="2"/>
      <c r="F254" s="2"/>
      <c r="G254" s="3"/>
      <c r="H254" s="605"/>
      <c r="I254" s="333"/>
      <c r="J254" s="333"/>
    </row>
    <row r="255">
      <c r="A255" s="344"/>
      <c r="B255" s="346" t="s">
        <v>2240</v>
      </c>
      <c r="C255" s="348" t="s">
        <v>2241</v>
      </c>
      <c r="D255" s="2"/>
      <c r="E255" s="3"/>
      <c r="F255" s="349"/>
      <c r="G255" s="3"/>
      <c r="H255" s="606"/>
      <c r="I255" s="333"/>
      <c r="J255" s="333"/>
    </row>
    <row r="256">
      <c r="A256" s="20"/>
      <c r="B256" s="20"/>
      <c r="C256" s="351" t="s">
        <v>22</v>
      </c>
      <c r="D256" s="351">
        <v>50.0</v>
      </c>
      <c r="E256" s="351">
        <v>425.42</v>
      </c>
      <c r="F256" s="351">
        <f>D256*E256</f>
        <v>21271</v>
      </c>
      <c r="G256" s="351" t="s">
        <v>772</v>
      </c>
      <c r="H256" s="607"/>
      <c r="I256" s="333"/>
      <c r="J256" s="333"/>
    </row>
    <row r="257">
      <c r="A257" s="346" t="s">
        <v>1178</v>
      </c>
      <c r="B257" s="344"/>
      <c r="C257" s="348" t="s">
        <v>1988</v>
      </c>
      <c r="D257" s="2"/>
      <c r="E257" s="3"/>
      <c r="F257" s="349"/>
      <c r="G257" s="3"/>
      <c r="H257" s="606"/>
      <c r="I257" s="333"/>
      <c r="J257" s="333"/>
    </row>
    <row r="258">
      <c r="A258" s="20"/>
      <c r="B258" s="20"/>
      <c r="C258" s="351" t="s">
        <v>107</v>
      </c>
      <c r="D258" s="359"/>
      <c r="E258" s="359"/>
      <c r="F258" s="351">
        <f>F256*5%</f>
        <v>1063.55</v>
      </c>
      <c r="G258" s="351" t="s">
        <v>1183</v>
      </c>
      <c r="H258" s="607"/>
      <c r="I258" s="333"/>
      <c r="J258" s="333"/>
    </row>
    <row r="259">
      <c r="A259" s="344"/>
      <c r="B259" s="346" t="s">
        <v>1174</v>
      </c>
      <c r="C259" s="348" t="s">
        <v>1175</v>
      </c>
      <c r="D259" s="2"/>
      <c r="E259" s="3"/>
      <c r="F259" s="349"/>
      <c r="G259" s="3"/>
      <c r="H259" s="606"/>
      <c r="I259" s="333"/>
      <c r="J259" s="333"/>
    </row>
    <row r="260">
      <c r="A260" s="20"/>
      <c r="B260" s="20"/>
      <c r="C260" s="351" t="s">
        <v>27</v>
      </c>
      <c r="D260" s="351">
        <v>7.0</v>
      </c>
      <c r="E260" s="351">
        <v>675.0</v>
      </c>
      <c r="F260" s="351">
        <f>D260*E260</f>
        <v>4725</v>
      </c>
      <c r="G260" s="351" t="s">
        <v>782</v>
      </c>
      <c r="H260" s="607"/>
      <c r="I260" s="333"/>
      <c r="J260" s="333"/>
    </row>
    <row r="261">
      <c r="A261" s="346" t="s">
        <v>1178</v>
      </c>
      <c r="B261" s="344"/>
      <c r="C261" s="357" t="s">
        <v>2098</v>
      </c>
      <c r="D261" s="2"/>
      <c r="E261" s="3"/>
      <c r="F261" s="349"/>
      <c r="G261" s="3"/>
      <c r="H261" s="606"/>
      <c r="I261" s="333"/>
      <c r="J261" s="333"/>
    </row>
    <row r="262">
      <c r="A262" s="20"/>
      <c r="B262" s="20"/>
      <c r="C262" s="351" t="s">
        <v>107</v>
      </c>
      <c r="D262" s="359"/>
      <c r="E262" s="359"/>
      <c r="F262" s="351">
        <f>(F256+F258+F260)*1%</f>
        <v>270.5955</v>
      </c>
      <c r="G262" s="351" t="s">
        <v>1215</v>
      </c>
      <c r="H262" s="607"/>
      <c r="I262" s="333"/>
      <c r="J262" s="333"/>
    </row>
    <row r="263">
      <c r="A263" s="341" t="s">
        <v>42</v>
      </c>
      <c r="B263" s="2"/>
      <c r="C263" s="3"/>
      <c r="D263" s="362">
        <v>50.0</v>
      </c>
      <c r="E263" s="362" t="s">
        <v>22</v>
      </c>
      <c r="F263" s="362">
        <f>F256+F258+F260+F262</f>
        <v>27330.1455</v>
      </c>
      <c r="G263" s="339"/>
      <c r="H263" s="604"/>
      <c r="I263" s="333"/>
      <c r="J263" s="333"/>
    </row>
    <row r="264">
      <c r="A264" s="341" t="s">
        <v>800</v>
      </c>
      <c r="B264" s="2"/>
      <c r="C264" s="3"/>
      <c r="D264" s="362">
        <v>1.0</v>
      </c>
      <c r="E264" s="362" t="s">
        <v>22</v>
      </c>
      <c r="F264" s="362">
        <f>F263/D263</f>
        <v>546.60291</v>
      </c>
      <c r="G264" s="339"/>
      <c r="H264" s="604"/>
      <c r="I264" s="333"/>
      <c r="J264" s="333"/>
    </row>
    <row r="265">
      <c r="A265" s="341" t="s">
        <v>1187</v>
      </c>
      <c r="B265" s="2"/>
      <c r="C265" s="2"/>
      <c r="D265" s="3"/>
      <c r="E265" s="366">
        <f>F256*105%*101%/D263</f>
        <v>451.15791</v>
      </c>
      <c r="F265" s="362">
        <f>E265*1%</f>
        <v>4.5115791</v>
      </c>
      <c r="G265" s="339"/>
      <c r="H265" s="604"/>
      <c r="I265" s="333"/>
      <c r="J265" s="333"/>
    </row>
    <row r="266">
      <c r="A266" s="341" t="s">
        <v>42</v>
      </c>
      <c r="B266" s="2"/>
      <c r="C266" s="2"/>
      <c r="D266" s="3"/>
      <c r="E266" s="339"/>
      <c r="F266" s="362">
        <f>F264+F265</f>
        <v>551.1144891</v>
      </c>
      <c r="G266" s="339"/>
      <c r="H266" s="604"/>
      <c r="I266" s="333"/>
      <c r="J266" s="333"/>
    </row>
    <row r="267">
      <c r="A267" s="341" t="s">
        <v>806</v>
      </c>
      <c r="B267" s="2"/>
      <c r="C267" s="2"/>
      <c r="D267" s="3"/>
      <c r="E267" s="362">
        <f>F266</f>
        <v>551.1144891</v>
      </c>
      <c r="F267" s="362">
        <f>E267*15%</f>
        <v>82.66717337</v>
      </c>
      <c r="G267" s="339"/>
      <c r="H267" s="604"/>
      <c r="I267" s="333"/>
      <c r="J267" s="333"/>
    </row>
    <row r="268">
      <c r="A268" s="367" t="s">
        <v>42</v>
      </c>
      <c r="B268" s="2"/>
      <c r="C268" s="2"/>
      <c r="D268" s="3"/>
      <c r="E268" s="368"/>
      <c r="F268" s="369">
        <f>round(F266+F267,2)</f>
        <v>633.78</v>
      </c>
      <c r="G268" s="339"/>
      <c r="H268" s="604"/>
      <c r="I268" s="333"/>
      <c r="J268" s="333"/>
    </row>
    <row r="269">
      <c r="A269" s="346">
        <v>1001.0</v>
      </c>
      <c r="B269" s="344"/>
      <c r="C269" s="348" t="s">
        <v>1529</v>
      </c>
      <c r="D269" s="2"/>
      <c r="E269" s="3"/>
      <c r="F269" s="349"/>
      <c r="G269" s="3"/>
      <c r="H269" s="606"/>
      <c r="I269" s="333"/>
      <c r="J269" s="333"/>
    </row>
    <row r="270">
      <c r="A270" s="20"/>
      <c r="B270" s="20"/>
      <c r="C270" s="351" t="s">
        <v>27</v>
      </c>
      <c r="D270" s="351">
        <v>1.0</v>
      </c>
      <c r="E270" s="351">
        <v>806.0</v>
      </c>
      <c r="F270" s="351">
        <f>E270*D270</f>
        <v>806</v>
      </c>
      <c r="G270" s="351" t="s">
        <v>780</v>
      </c>
      <c r="H270" s="607"/>
      <c r="I270" s="333"/>
      <c r="J270" s="333"/>
    </row>
    <row r="271">
      <c r="A271" s="346" t="s">
        <v>1178</v>
      </c>
      <c r="B271" s="344"/>
      <c r="C271" s="357" t="s">
        <v>2103</v>
      </c>
      <c r="D271" s="2"/>
      <c r="E271" s="3"/>
      <c r="F271" s="349"/>
      <c r="G271" s="3"/>
      <c r="H271" s="606"/>
      <c r="I271" s="333"/>
      <c r="J271" s="333"/>
    </row>
    <row r="272">
      <c r="A272" s="20"/>
      <c r="B272" s="20"/>
      <c r="C272" s="351" t="s">
        <v>107</v>
      </c>
      <c r="D272" s="359"/>
      <c r="E272" s="359"/>
      <c r="F272" s="351">
        <f>F270*1%</f>
        <v>8.06</v>
      </c>
      <c r="G272" s="351" t="s">
        <v>1998</v>
      </c>
      <c r="H272" s="607">
        <f>F272+F262</f>
        <v>278.6555</v>
      </c>
      <c r="I272" s="333"/>
      <c r="J272" s="333"/>
    </row>
    <row r="273">
      <c r="A273" s="351">
        <v>14.4</v>
      </c>
      <c r="B273" s="351"/>
      <c r="C273" s="348" t="s">
        <v>2104</v>
      </c>
      <c r="D273" s="2"/>
      <c r="E273" s="3"/>
      <c r="F273" s="351"/>
      <c r="G273" s="384"/>
      <c r="H273" s="608"/>
      <c r="I273" s="333"/>
      <c r="J273" s="333"/>
    </row>
    <row r="274">
      <c r="A274" s="351"/>
      <c r="B274" s="351"/>
      <c r="C274" s="351" t="s">
        <v>824</v>
      </c>
      <c r="D274" s="351">
        <v>13.13</v>
      </c>
      <c r="E274" s="351">
        <v>498.87</v>
      </c>
      <c r="F274" s="351">
        <f>D274*E274</f>
        <v>6550.1631</v>
      </c>
      <c r="G274" s="351" t="s">
        <v>797</v>
      </c>
      <c r="H274" s="607"/>
      <c r="I274" s="333"/>
      <c r="J274" s="333"/>
    </row>
    <row r="275">
      <c r="A275" s="341" t="s">
        <v>42</v>
      </c>
      <c r="B275" s="2"/>
      <c r="C275" s="3"/>
      <c r="D275" s="362">
        <v>50.0</v>
      </c>
      <c r="E275" s="362" t="s">
        <v>22</v>
      </c>
      <c r="F275" s="362">
        <f>F270+F272+F274</f>
        <v>7364.2231</v>
      </c>
      <c r="G275" s="368"/>
      <c r="H275" s="609"/>
      <c r="I275" s="333"/>
      <c r="J275" s="333"/>
    </row>
    <row r="276">
      <c r="A276" s="341" t="s">
        <v>800</v>
      </c>
      <c r="B276" s="2"/>
      <c r="C276" s="3"/>
      <c r="D276" s="362">
        <v>1.0</v>
      </c>
      <c r="E276" s="362" t="s">
        <v>22</v>
      </c>
      <c r="F276" s="362">
        <f>F275/D275</f>
        <v>147.284462</v>
      </c>
      <c r="G276" s="368"/>
      <c r="H276" s="609"/>
      <c r="I276" s="333"/>
      <c r="J276" s="333"/>
    </row>
    <row r="277">
      <c r="A277" s="341" t="s">
        <v>806</v>
      </c>
      <c r="B277" s="2"/>
      <c r="C277" s="2"/>
      <c r="D277" s="3"/>
      <c r="E277" s="362">
        <f>F276</f>
        <v>147.284462</v>
      </c>
      <c r="F277" s="362">
        <f>E277*15%</f>
        <v>22.0926693</v>
      </c>
      <c r="G277" s="368"/>
      <c r="H277" s="609">
        <f>E277+E267</f>
        <v>698.3989511</v>
      </c>
      <c r="I277" s="333"/>
      <c r="J277" s="333"/>
    </row>
    <row r="278">
      <c r="A278" s="367" t="s">
        <v>42</v>
      </c>
      <c r="B278" s="2"/>
      <c r="C278" s="2"/>
      <c r="D278" s="3"/>
      <c r="E278" s="368"/>
      <c r="F278" s="369">
        <f>round(F276+F277,2)</f>
        <v>169.38</v>
      </c>
      <c r="G278" s="339"/>
      <c r="H278" s="604">
        <f>F278+F268</f>
        <v>803.16</v>
      </c>
      <c r="I278" s="333"/>
      <c r="J278" s="333"/>
    </row>
    <row r="279">
      <c r="A279" s="592" t="str">
        <f>CONCATENATE("Say ₹ ",F268," + ",F278," x Cost Index")                                           </f>
        <v>Say ₹ 633.78 + 169.38 x Cost Index</v>
      </c>
      <c r="B279" s="2"/>
      <c r="C279" s="2"/>
      <c r="D279" s="2"/>
      <c r="E279" s="2"/>
      <c r="F279" s="3"/>
      <c r="G279" s="369" t="s">
        <v>939</v>
      </c>
      <c r="H279" s="610"/>
      <c r="I279" s="333">
        <f>((F256*1.05*1.01)+F260)*1.01*1.15/50</f>
        <v>633.7816625</v>
      </c>
      <c r="J279" s="333">
        <f>((F270*1.01)+F274)*1.15/50</f>
        <v>169.3771313</v>
      </c>
    </row>
  </sheetData>
  <mergeCells count="387">
    <mergeCell ref="A91:D91"/>
    <mergeCell ref="A92:D92"/>
    <mergeCell ref="A93:F93"/>
    <mergeCell ref="A94:A95"/>
    <mergeCell ref="B94:B95"/>
    <mergeCell ref="C94:E94"/>
    <mergeCell ref="F94:G94"/>
    <mergeCell ref="A96:G96"/>
    <mergeCell ref="B98:G98"/>
    <mergeCell ref="A99:G99"/>
    <mergeCell ref="A100:A101"/>
    <mergeCell ref="B100:B101"/>
    <mergeCell ref="C100:E100"/>
    <mergeCell ref="F100:G100"/>
    <mergeCell ref="A50:D50"/>
    <mergeCell ref="A51:D51"/>
    <mergeCell ref="A52:A53"/>
    <mergeCell ref="B52:B53"/>
    <mergeCell ref="C52:E52"/>
    <mergeCell ref="F52:G52"/>
    <mergeCell ref="A54:A55"/>
    <mergeCell ref="F54:G54"/>
    <mergeCell ref="B54:B55"/>
    <mergeCell ref="C54:E54"/>
    <mergeCell ref="C56:E56"/>
    <mergeCell ref="A58:C58"/>
    <mergeCell ref="A59:C59"/>
    <mergeCell ref="A60:D60"/>
    <mergeCell ref="A61:D61"/>
    <mergeCell ref="C69:E69"/>
    <mergeCell ref="F69:G69"/>
    <mergeCell ref="C71:E71"/>
    <mergeCell ref="F71:G71"/>
    <mergeCell ref="C73:E73"/>
    <mergeCell ref="F73:G73"/>
    <mergeCell ref="A62:F62"/>
    <mergeCell ref="B63:B64"/>
    <mergeCell ref="C63:E63"/>
    <mergeCell ref="F63:G63"/>
    <mergeCell ref="A65:G65"/>
    <mergeCell ref="B67:G67"/>
    <mergeCell ref="A68:G68"/>
    <mergeCell ref="A63:A64"/>
    <mergeCell ref="A69:A70"/>
    <mergeCell ref="B69:B70"/>
    <mergeCell ref="A71:A72"/>
    <mergeCell ref="B71:B72"/>
    <mergeCell ref="A73:A74"/>
    <mergeCell ref="B73:B74"/>
    <mergeCell ref="A75:A76"/>
    <mergeCell ref="B75:B76"/>
    <mergeCell ref="C75:E75"/>
    <mergeCell ref="F75:G75"/>
    <mergeCell ref="A77:C77"/>
    <mergeCell ref="A78:C78"/>
    <mergeCell ref="A79:D79"/>
    <mergeCell ref="A104:A105"/>
    <mergeCell ref="A106:A107"/>
    <mergeCell ref="B106:B107"/>
    <mergeCell ref="A108:C108"/>
    <mergeCell ref="A109:C109"/>
    <mergeCell ref="A110:D110"/>
    <mergeCell ref="A111:D111"/>
    <mergeCell ref="A23:A24"/>
    <mergeCell ref="A32:A33"/>
    <mergeCell ref="B32:B33"/>
    <mergeCell ref="A21:A22"/>
    <mergeCell ref="B23:B24"/>
    <mergeCell ref="A27:C27"/>
    <mergeCell ref="A28:C28"/>
    <mergeCell ref="A29:D29"/>
    <mergeCell ref="A30:D30"/>
    <mergeCell ref="A31:F31"/>
    <mergeCell ref="C38:E38"/>
    <mergeCell ref="F38:G38"/>
    <mergeCell ref="C32:E32"/>
    <mergeCell ref="F32:G32"/>
    <mergeCell ref="A34:G34"/>
    <mergeCell ref="B36:G36"/>
    <mergeCell ref="A37:G37"/>
    <mergeCell ref="A38:A39"/>
    <mergeCell ref="B38:B39"/>
    <mergeCell ref="C44:E44"/>
    <mergeCell ref="F44:G44"/>
    <mergeCell ref="A40:A41"/>
    <mergeCell ref="B40:B41"/>
    <mergeCell ref="C40:E40"/>
    <mergeCell ref="F40:G40"/>
    <mergeCell ref="B42:B43"/>
    <mergeCell ref="C42:E42"/>
    <mergeCell ref="F42:G42"/>
    <mergeCell ref="A1:A2"/>
    <mergeCell ref="B1:B2"/>
    <mergeCell ref="C1:E1"/>
    <mergeCell ref="F1:G1"/>
    <mergeCell ref="A3:G3"/>
    <mergeCell ref="B5:G5"/>
    <mergeCell ref="A6:G6"/>
    <mergeCell ref="C11:E11"/>
    <mergeCell ref="F11:G11"/>
    <mergeCell ref="C13:E13"/>
    <mergeCell ref="F13:G13"/>
    <mergeCell ref="A7:A8"/>
    <mergeCell ref="B7:B8"/>
    <mergeCell ref="C7:E7"/>
    <mergeCell ref="F7:G7"/>
    <mergeCell ref="B9:B10"/>
    <mergeCell ref="C9:E9"/>
    <mergeCell ref="F9:G9"/>
    <mergeCell ref="A9:A10"/>
    <mergeCell ref="A11:A12"/>
    <mergeCell ref="B11:B12"/>
    <mergeCell ref="A13:A14"/>
    <mergeCell ref="B13:B14"/>
    <mergeCell ref="A15:C15"/>
    <mergeCell ref="A16:C16"/>
    <mergeCell ref="C23:E23"/>
    <mergeCell ref="F23:G23"/>
    <mergeCell ref="C25:E25"/>
    <mergeCell ref="A17:D17"/>
    <mergeCell ref="A18:D18"/>
    <mergeCell ref="A19:D19"/>
    <mergeCell ref="A20:D20"/>
    <mergeCell ref="B21:B22"/>
    <mergeCell ref="C21:E21"/>
    <mergeCell ref="F21:G21"/>
    <mergeCell ref="A42:A43"/>
    <mergeCell ref="A44:A45"/>
    <mergeCell ref="B44:B45"/>
    <mergeCell ref="A46:C46"/>
    <mergeCell ref="A47:C47"/>
    <mergeCell ref="A48:D48"/>
    <mergeCell ref="A49:D49"/>
    <mergeCell ref="A80:D80"/>
    <mergeCell ref="A81:D81"/>
    <mergeCell ref="A82:D82"/>
    <mergeCell ref="A83:A84"/>
    <mergeCell ref="B83:B84"/>
    <mergeCell ref="C83:E83"/>
    <mergeCell ref="F83:G83"/>
    <mergeCell ref="A85:A86"/>
    <mergeCell ref="B85:B86"/>
    <mergeCell ref="C85:E85"/>
    <mergeCell ref="F85:G85"/>
    <mergeCell ref="C87:E87"/>
    <mergeCell ref="A89:C89"/>
    <mergeCell ref="A90:C90"/>
    <mergeCell ref="C106:E106"/>
    <mergeCell ref="F106:G106"/>
    <mergeCell ref="A102:A103"/>
    <mergeCell ref="B102:B103"/>
    <mergeCell ref="C102:E102"/>
    <mergeCell ref="F102:G102"/>
    <mergeCell ref="B104:B105"/>
    <mergeCell ref="C104:E104"/>
    <mergeCell ref="F104:G104"/>
    <mergeCell ref="A142:D142"/>
    <mergeCell ref="A143:D143"/>
    <mergeCell ref="A144:D144"/>
    <mergeCell ref="A145:A146"/>
    <mergeCell ref="B145:B146"/>
    <mergeCell ref="C145:E145"/>
    <mergeCell ref="F145:G145"/>
    <mergeCell ref="A147:A148"/>
    <mergeCell ref="B147:B148"/>
    <mergeCell ref="C147:E147"/>
    <mergeCell ref="F147:G147"/>
    <mergeCell ref="C149:E149"/>
    <mergeCell ref="A151:C151"/>
    <mergeCell ref="A152:C152"/>
    <mergeCell ref="A266:D266"/>
    <mergeCell ref="A267:D267"/>
    <mergeCell ref="A268:D268"/>
    <mergeCell ref="A269:A270"/>
    <mergeCell ref="B269:B270"/>
    <mergeCell ref="C269:E269"/>
    <mergeCell ref="F269:G269"/>
    <mergeCell ref="A271:A272"/>
    <mergeCell ref="B271:B272"/>
    <mergeCell ref="C271:E271"/>
    <mergeCell ref="F271:G271"/>
    <mergeCell ref="C273:E273"/>
    <mergeCell ref="A275:C275"/>
    <mergeCell ref="A276:C276"/>
    <mergeCell ref="A236:D236"/>
    <mergeCell ref="A237:D237"/>
    <mergeCell ref="A238:A239"/>
    <mergeCell ref="B238:B239"/>
    <mergeCell ref="C238:E238"/>
    <mergeCell ref="F238:G238"/>
    <mergeCell ref="A240:A241"/>
    <mergeCell ref="F240:G240"/>
    <mergeCell ref="B240:B241"/>
    <mergeCell ref="C240:E240"/>
    <mergeCell ref="C242:E242"/>
    <mergeCell ref="A244:C244"/>
    <mergeCell ref="A245:C245"/>
    <mergeCell ref="A246:D246"/>
    <mergeCell ref="A247:D247"/>
    <mergeCell ref="C255:E255"/>
    <mergeCell ref="F255:G255"/>
    <mergeCell ref="C257:E257"/>
    <mergeCell ref="F257:G257"/>
    <mergeCell ref="C259:E259"/>
    <mergeCell ref="F259:G259"/>
    <mergeCell ref="A248:F248"/>
    <mergeCell ref="B249:B250"/>
    <mergeCell ref="C249:E249"/>
    <mergeCell ref="F249:G249"/>
    <mergeCell ref="A251:G251"/>
    <mergeCell ref="B253:G253"/>
    <mergeCell ref="A254:G254"/>
    <mergeCell ref="A249:A250"/>
    <mergeCell ref="A255:A256"/>
    <mergeCell ref="B255:B256"/>
    <mergeCell ref="A257:A258"/>
    <mergeCell ref="B257:B258"/>
    <mergeCell ref="A259:A260"/>
    <mergeCell ref="B259:B260"/>
    <mergeCell ref="A261:A262"/>
    <mergeCell ref="B261:B262"/>
    <mergeCell ref="C261:E261"/>
    <mergeCell ref="F261:G261"/>
    <mergeCell ref="A263:C263"/>
    <mergeCell ref="A264:C264"/>
    <mergeCell ref="A265:D265"/>
    <mergeCell ref="A277:D277"/>
    <mergeCell ref="A278:D278"/>
    <mergeCell ref="A279:F279"/>
    <mergeCell ref="A153:D153"/>
    <mergeCell ref="A154:D154"/>
    <mergeCell ref="A155:F155"/>
    <mergeCell ref="A156:A157"/>
    <mergeCell ref="B156:B157"/>
    <mergeCell ref="C156:E156"/>
    <mergeCell ref="F156:G156"/>
    <mergeCell ref="A158:G158"/>
    <mergeCell ref="B160:G160"/>
    <mergeCell ref="A161:G161"/>
    <mergeCell ref="A162:A163"/>
    <mergeCell ref="B162:B163"/>
    <mergeCell ref="C162:E162"/>
    <mergeCell ref="F162:G162"/>
    <mergeCell ref="C168:E168"/>
    <mergeCell ref="F168:G168"/>
    <mergeCell ref="A164:A165"/>
    <mergeCell ref="B164:B165"/>
    <mergeCell ref="C164:E164"/>
    <mergeCell ref="F164:G164"/>
    <mergeCell ref="B166:B167"/>
    <mergeCell ref="C166:E166"/>
    <mergeCell ref="F166:G166"/>
    <mergeCell ref="A112:D112"/>
    <mergeCell ref="A113:D113"/>
    <mergeCell ref="A114:A115"/>
    <mergeCell ref="B114:B115"/>
    <mergeCell ref="C114:E114"/>
    <mergeCell ref="F114:G114"/>
    <mergeCell ref="A116:A117"/>
    <mergeCell ref="F116:G116"/>
    <mergeCell ref="B116:B117"/>
    <mergeCell ref="C116:E116"/>
    <mergeCell ref="C118:E118"/>
    <mergeCell ref="A120:C120"/>
    <mergeCell ref="A121:C121"/>
    <mergeCell ref="A122:D122"/>
    <mergeCell ref="A123:D123"/>
    <mergeCell ref="C131:E131"/>
    <mergeCell ref="F131:G131"/>
    <mergeCell ref="C133:E133"/>
    <mergeCell ref="F133:G133"/>
    <mergeCell ref="C135:E135"/>
    <mergeCell ref="F135:G135"/>
    <mergeCell ref="A124:F124"/>
    <mergeCell ref="B125:B126"/>
    <mergeCell ref="C125:E125"/>
    <mergeCell ref="F125:G125"/>
    <mergeCell ref="A127:G127"/>
    <mergeCell ref="B129:G129"/>
    <mergeCell ref="A130:G130"/>
    <mergeCell ref="A125:A126"/>
    <mergeCell ref="A131:A132"/>
    <mergeCell ref="B131:B132"/>
    <mergeCell ref="A133:A134"/>
    <mergeCell ref="B133:B134"/>
    <mergeCell ref="A135:A136"/>
    <mergeCell ref="B135:B136"/>
    <mergeCell ref="A137:A138"/>
    <mergeCell ref="B137:B138"/>
    <mergeCell ref="C137:E137"/>
    <mergeCell ref="F137:G137"/>
    <mergeCell ref="A139:C139"/>
    <mergeCell ref="A140:C140"/>
    <mergeCell ref="A141:D141"/>
    <mergeCell ref="A166:A167"/>
    <mergeCell ref="A168:A169"/>
    <mergeCell ref="B168:B169"/>
    <mergeCell ref="A170:C170"/>
    <mergeCell ref="A171:C171"/>
    <mergeCell ref="A172:D172"/>
    <mergeCell ref="A173:D173"/>
    <mergeCell ref="A204:D204"/>
    <mergeCell ref="A205:D205"/>
    <mergeCell ref="A206:D206"/>
    <mergeCell ref="A207:A208"/>
    <mergeCell ref="B207:B208"/>
    <mergeCell ref="C207:E207"/>
    <mergeCell ref="F207:G207"/>
    <mergeCell ref="A209:A210"/>
    <mergeCell ref="B209:B210"/>
    <mergeCell ref="C209:E209"/>
    <mergeCell ref="F209:G209"/>
    <mergeCell ref="C211:E211"/>
    <mergeCell ref="A213:C213"/>
    <mergeCell ref="A214:C214"/>
    <mergeCell ref="A215:D215"/>
    <mergeCell ref="A216:D216"/>
    <mergeCell ref="A217:F217"/>
    <mergeCell ref="A218:A219"/>
    <mergeCell ref="B218:B219"/>
    <mergeCell ref="C218:E218"/>
    <mergeCell ref="F218:G218"/>
    <mergeCell ref="A220:G220"/>
    <mergeCell ref="B222:G222"/>
    <mergeCell ref="A223:G223"/>
    <mergeCell ref="A224:A225"/>
    <mergeCell ref="B224:B225"/>
    <mergeCell ref="C224:E224"/>
    <mergeCell ref="F224:G224"/>
    <mergeCell ref="C230:E230"/>
    <mergeCell ref="F230:G230"/>
    <mergeCell ref="A226:A227"/>
    <mergeCell ref="B226:B227"/>
    <mergeCell ref="C226:E226"/>
    <mergeCell ref="F226:G226"/>
    <mergeCell ref="B228:B229"/>
    <mergeCell ref="C228:E228"/>
    <mergeCell ref="F228:G228"/>
    <mergeCell ref="A174:D174"/>
    <mergeCell ref="A175:D175"/>
    <mergeCell ref="A176:A177"/>
    <mergeCell ref="B176:B177"/>
    <mergeCell ref="C176:E176"/>
    <mergeCell ref="F176:G176"/>
    <mergeCell ref="A178:A179"/>
    <mergeCell ref="F178:G178"/>
    <mergeCell ref="B178:B179"/>
    <mergeCell ref="C178:E178"/>
    <mergeCell ref="C180:E180"/>
    <mergeCell ref="A182:C182"/>
    <mergeCell ref="A183:C183"/>
    <mergeCell ref="A184:D184"/>
    <mergeCell ref="A185:D185"/>
    <mergeCell ref="C193:E193"/>
    <mergeCell ref="F193:G193"/>
    <mergeCell ref="C195:E195"/>
    <mergeCell ref="F195:G195"/>
    <mergeCell ref="C197:E197"/>
    <mergeCell ref="F197:G197"/>
    <mergeCell ref="A186:F186"/>
    <mergeCell ref="B187:B188"/>
    <mergeCell ref="C187:E187"/>
    <mergeCell ref="F187:G187"/>
    <mergeCell ref="A189:G189"/>
    <mergeCell ref="B191:G191"/>
    <mergeCell ref="A192:G192"/>
    <mergeCell ref="A187:A188"/>
    <mergeCell ref="A193:A194"/>
    <mergeCell ref="B193:B194"/>
    <mergeCell ref="A195:A196"/>
    <mergeCell ref="B195:B196"/>
    <mergeCell ref="A197:A198"/>
    <mergeCell ref="B197:B198"/>
    <mergeCell ref="A199:A200"/>
    <mergeCell ref="B199:B200"/>
    <mergeCell ref="C199:E199"/>
    <mergeCell ref="F199:G199"/>
    <mergeCell ref="A201:C201"/>
    <mergeCell ref="A202:C202"/>
    <mergeCell ref="A203:D203"/>
    <mergeCell ref="A228:A229"/>
    <mergeCell ref="A230:A231"/>
    <mergeCell ref="B230:B231"/>
    <mergeCell ref="A232:C232"/>
    <mergeCell ref="A233:C233"/>
    <mergeCell ref="A234:D234"/>
    <mergeCell ref="A235:D235"/>
  </mergeCells>
  <drawing r:id="rId1"/>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hidden="1" min="8" max="8" width="9.14"/>
    <col customWidth="1" hidden="1" min="9" max="9" width="6.43"/>
  </cols>
  <sheetData>
    <row r="1">
      <c r="A1" s="111" t="s">
        <v>742</v>
      </c>
      <c r="B1" s="111" t="s">
        <v>745</v>
      </c>
      <c r="C1" s="112" t="s">
        <v>6</v>
      </c>
      <c r="D1" s="2"/>
      <c r="E1" s="3"/>
      <c r="F1" s="112" t="s">
        <v>746</v>
      </c>
      <c r="G1" s="3"/>
      <c r="H1" s="611"/>
      <c r="I1" s="611"/>
    </row>
    <row r="2">
      <c r="A2" s="20"/>
      <c r="B2" s="20"/>
      <c r="C2" s="115" t="s">
        <v>8</v>
      </c>
      <c r="D2" s="115" t="s">
        <v>9</v>
      </c>
      <c r="E2" s="115" t="s">
        <v>358</v>
      </c>
      <c r="F2" s="115" t="s">
        <v>11</v>
      </c>
      <c r="G2" s="115" t="s">
        <v>751</v>
      </c>
      <c r="H2" s="611"/>
      <c r="I2" s="611"/>
    </row>
    <row r="3">
      <c r="A3" s="118" t="s">
        <v>2115</v>
      </c>
      <c r="B3" s="2"/>
      <c r="C3" s="2"/>
      <c r="D3" s="2"/>
      <c r="E3" s="2"/>
      <c r="F3" s="2"/>
      <c r="G3" s="3"/>
      <c r="H3" s="611"/>
      <c r="I3" s="611"/>
    </row>
    <row r="4">
      <c r="A4" s="119"/>
      <c r="B4" s="120" t="s">
        <v>754</v>
      </c>
      <c r="C4" s="120" t="s">
        <v>1117</v>
      </c>
      <c r="D4" s="120" t="s">
        <v>757</v>
      </c>
      <c r="E4" s="121">
        <v>1.0</v>
      </c>
      <c r="F4" s="467"/>
      <c r="G4" s="3"/>
      <c r="H4" s="611"/>
      <c r="I4" s="611"/>
    </row>
    <row r="5">
      <c r="A5" s="120" t="s">
        <v>761</v>
      </c>
      <c r="B5" s="123" t="s">
        <v>1617</v>
      </c>
      <c r="C5" s="2"/>
      <c r="D5" s="2"/>
      <c r="E5" s="2"/>
      <c r="F5" s="2"/>
      <c r="G5" s="3"/>
      <c r="H5" s="611"/>
      <c r="I5" s="611"/>
    </row>
    <row r="6">
      <c r="A6" s="124" t="s">
        <v>764</v>
      </c>
      <c r="B6" s="2"/>
      <c r="C6" s="2"/>
      <c r="D6" s="2"/>
      <c r="E6" s="2"/>
      <c r="F6" s="3"/>
      <c r="G6" s="125" t="s">
        <v>766</v>
      </c>
      <c r="H6" s="611"/>
      <c r="I6" s="611"/>
    </row>
    <row r="7">
      <c r="A7" s="126"/>
      <c r="B7" s="127" t="s">
        <v>2118</v>
      </c>
      <c r="C7" s="123" t="s">
        <v>2119</v>
      </c>
      <c r="D7" s="2"/>
      <c r="E7" s="3"/>
      <c r="F7" s="467"/>
      <c r="G7" s="3"/>
      <c r="H7" s="611"/>
      <c r="I7" s="611"/>
    </row>
    <row r="8">
      <c r="A8" s="20"/>
      <c r="B8" s="20"/>
      <c r="C8" s="120" t="s">
        <v>43</v>
      </c>
      <c r="D8" s="121">
        <v>1.0</v>
      </c>
      <c r="E8" s="121">
        <f t="array" ref="E8">IFERROR(INDEX(LMRRates,MATCH(B7,LMRCodes,0), ), )</f>
        <v>875</v>
      </c>
      <c r="F8" s="121">
        <f>D8*E8</f>
        <v>875</v>
      </c>
      <c r="G8" s="120" t="s">
        <v>772</v>
      </c>
      <c r="H8" s="611"/>
      <c r="I8" s="611"/>
    </row>
    <row r="9">
      <c r="A9" s="129" t="s">
        <v>1116</v>
      </c>
      <c r="B9" s="2"/>
      <c r="C9" s="3"/>
      <c r="D9" s="121">
        <v>1.0</v>
      </c>
      <c r="E9" s="130" t="s">
        <v>1117</v>
      </c>
      <c r="F9" s="121">
        <f>F8</f>
        <v>875</v>
      </c>
      <c r="G9" s="120"/>
      <c r="H9" s="611"/>
      <c r="I9" s="611"/>
    </row>
    <row r="10">
      <c r="A10" s="129" t="s">
        <v>800</v>
      </c>
      <c r="B10" s="2"/>
      <c r="C10" s="3"/>
      <c r="D10" s="121">
        <v>1.0</v>
      </c>
      <c r="E10" s="130" t="s">
        <v>1117</v>
      </c>
      <c r="F10" s="121">
        <f>F9/D9</f>
        <v>875</v>
      </c>
      <c r="G10" s="120"/>
      <c r="H10" s="611"/>
      <c r="I10" s="611"/>
    </row>
    <row r="11">
      <c r="A11" s="133" t="s">
        <v>802</v>
      </c>
      <c r="B11" s="2"/>
      <c r="C11" s="2"/>
      <c r="D11" s="3"/>
      <c r="E11" s="121"/>
      <c r="F11" s="121">
        <f>F10*1%</f>
        <v>8.75</v>
      </c>
      <c r="G11" s="120"/>
      <c r="H11" s="611"/>
      <c r="I11" s="611"/>
    </row>
    <row r="12">
      <c r="A12" s="133" t="s">
        <v>42</v>
      </c>
      <c r="B12" s="2"/>
      <c r="C12" s="2"/>
      <c r="D12" s="3"/>
      <c r="E12" s="131"/>
      <c r="F12" s="121">
        <f>F11+F10</f>
        <v>883.75</v>
      </c>
      <c r="G12" s="120"/>
      <c r="H12" s="611"/>
      <c r="I12" s="611"/>
    </row>
    <row r="13">
      <c r="A13" s="133" t="s">
        <v>806</v>
      </c>
      <c r="B13" s="2"/>
      <c r="C13" s="2"/>
      <c r="D13" s="3"/>
      <c r="E13" s="121"/>
      <c r="F13" s="121">
        <f>F12*15%</f>
        <v>132.5625</v>
      </c>
      <c r="G13" s="120"/>
      <c r="H13" s="611"/>
      <c r="I13" s="611"/>
    </row>
    <row r="14">
      <c r="A14" s="133" t="s">
        <v>42</v>
      </c>
      <c r="B14" s="2"/>
      <c r="C14" s="2"/>
      <c r="D14" s="3"/>
      <c r="E14" s="131"/>
      <c r="F14" s="300">
        <f>round(F13+F12,2)</f>
        <v>1016.31</v>
      </c>
      <c r="G14" s="120"/>
      <c r="H14" s="611"/>
      <c r="I14" s="611"/>
    </row>
    <row r="15">
      <c r="A15" s="124" t="s">
        <v>843</v>
      </c>
      <c r="B15" s="2"/>
      <c r="C15" s="2"/>
      <c r="D15" s="2"/>
      <c r="E15" s="2"/>
      <c r="F15" s="3"/>
      <c r="G15" s="125" t="s">
        <v>778</v>
      </c>
      <c r="H15" s="611"/>
      <c r="I15" s="611"/>
    </row>
    <row r="16">
      <c r="A16" s="127">
        <v>9999.0</v>
      </c>
      <c r="B16" s="126"/>
      <c r="C16" s="123" t="s">
        <v>1626</v>
      </c>
      <c r="D16" s="2"/>
      <c r="E16" s="3"/>
      <c r="F16" s="467"/>
      <c r="G16" s="3"/>
      <c r="H16" s="611"/>
      <c r="I16" s="611"/>
    </row>
    <row r="17">
      <c r="A17" s="20"/>
      <c r="B17" s="20"/>
      <c r="C17" s="120" t="s">
        <v>107</v>
      </c>
      <c r="D17" s="121">
        <v>10.0</v>
      </c>
      <c r="E17" s="121">
        <v>2.12</v>
      </c>
      <c r="F17" s="121">
        <f>D17*E17</f>
        <v>21.2</v>
      </c>
      <c r="G17" s="120" t="s">
        <v>846</v>
      </c>
      <c r="H17" s="611"/>
      <c r="I17" s="611"/>
    </row>
    <row r="18">
      <c r="A18" s="127">
        <v>9999.0</v>
      </c>
      <c r="B18" s="126"/>
      <c r="C18" s="123" t="s">
        <v>1629</v>
      </c>
      <c r="D18" s="2"/>
      <c r="E18" s="3"/>
      <c r="F18" s="467"/>
      <c r="G18" s="3"/>
      <c r="H18" s="611"/>
      <c r="I18" s="611"/>
    </row>
    <row r="19">
      <c r="A19" s="20"/>
      <c r="B19" s="20"/>
      <c r="C19" s="120" t="s">
        <v>107</v>
      </c>
      <c r="D19" s="121">
        <v>9.36</v>
      </c>
      <c r="E19" s="121">
        <v>2.12</v>
      </c>
      <c r="F19" s="121">
        <f>D19*E19</f>
        <v>19.8432</v>
      </c>
      <c r="G19" s="120" t="s">
        <v>850</v>
      </c>
      <c r="H19" s="611"/>
      <c r="I19" s="611"/>
    </row>
    <row r="20">
      <c r="A20" s="129" t="s">
        <v>1633</v>
      </c>
      <c r="B20" s="2"/>
      <c r="C20" s="3"/>
      <c r="D20" s="121">
        <v>1.0</v>
      </c>
      <c r="E20" s="130" t="s">
        <v>1117</v>
      </c>
      <c r="F20" s="121">
        <f>F19+F17</f>
        <v>41.0432</v>
      </c>
      <c r="G20" s="131"/>
      <c r="H20" s="611"/>
      <c r="I20" s="611"/>
    </row>
    <row r="21">
      <c r="A21" s="129" t="s">
        <v>800</v>
      </c>
      <c r="B21" s="2"/>
      <c r="C21" s="3"/>
      <c r="D21" s="121">
        <v>1.0</v>
      </c>
      <c r="E21" s="130" t="s">
        <v>1117</v>
      </c>
      <c r="F21" s="121">
        <f>F20/D20</f>
        <v>41.0432</v>
      </c>
      <c r="G21" s="131"/>
      <c r="H21" s="611"/>
      <c r="I21" s="611"/>
    </row>
    <row r="22">
      <c r="A22" s="133" t="s">
        <v>802</v>
      </c>
      <c r="B22" s="2"/>
      <c r="C22" s="2"/>
      <c r="D22" s="3"/>
      <c r="E22" s="121"/>
      <c r="F22" s="121">
        <f>F21*1%</f>
        <v>0.410432</v>
      </c>
      <c r="G22" s="131"/>
      <c r="H22" s="611"/>
      <c r="I22" s="611"/>
    </row>
    <row r="23">
      <c r="A23" s="133" t="s">
        <v>42</v>
      </c>
      <c r="B23" s="2"/>
      <c r="C23" s="2"/>
      <c r="D23" s="3"/>
      <c r="E23" s="131"/>
      <c r="F23" s="121">
        <f>F22+F21</f>
        <v>41.453632</v>
      </c>
      <c r="G23" s="131"/>
      <c r="H23" s="611"/>
      <c r="I23" s="611"/>
    </row>
    <row r="24">
      <c r="A24" s="133" t="s">
        <v>806</v>
      </c>
      <c r="B24" s="2"/>
      <c r="C24" s="2"/>
      <c r="D24" s="3"/>
      <c r="E24" s="121"/>
      <c r="F24" s="121">
        <f>F23*15%</f>
        <v>6.2180448</v>
      </c>
      <c r="G24" s="131"/>
      <c r="H24" s="611"/>
      <c r="I24" s="611"/>
    </row>
    <row r="25">
      <c r="A25" s="133" t="s">
        <v>42</v>
      </c>
      <c r="B25" s="2"/>
      <c r="C25" s="2"/>
      <c r="D25" s="3"/>
      <c r="E25" s="131"/>
      <c r="F25" s="300">
        <f>round(F24+F23,2)</f>
        <v>47.67</v>
      </c>
      <c r="G25" s="131"/>
      <c r="H25" s="611"/>
      <c r="I25" s="611"/>
    </row>
    <row r="26">
      <c r="A26" s="455" t="str">
        <f>CONCATENATE("Say ₹ ",F14," + ",F25," x Cost Index")</f>
        <v>Say ₹ 1016.31 + 47.67 x Cost Index</v>
      </c>
      <c r="B26" s="2"/>
      <c r="C26" s="2"/>
      <c r="D26" s="2"/>
      <c r="E26" s="2"/>
      <c r="F26" s="2"/>
      <c r="G26" s="3"/>
      <c r="H26" s="611">
        <f>F8*1.01*1.15</f>
        <v>1016.3125</v>
      </c>
      <c r="I26" s="611">
        <f>(F17+F19)*1.01*1.15</f>
        <v>47.6716768</v>
      </c>
    </row>
    <row r="27">
      <c r="A27" s="111" t="s">
        <v>742</v>
      </c>
      <c r="B27" s="111" t="s">
        <v>745</v>
      </c>
      <c r="C27" s="112" t="s">
        <v>6</v>
      </c>
      <c r="D27" s="2"/>
      <c r="E27" s="3"/>
      <c r="F27" s="112" t="s">
        <v>746</v>
      </c>
      <c r="G27" s="3"/>
      <c r="H27" s="611"/>
      <c r="I27" s="611"/>
    </row>
    <row r="28">
      <c r="A28" s="20"/>
      <c r="B28" s="20"/>
      <c r="C28" s="115" t="s">
        <v>8</v>
      </c>
      <c r="D28" s="115" t="s">
        <v>9</v>
      </c>
      <c r="E28" s="115" t="s">
        <v>358</v>
      </c>
      <c r="F28" s="115" t="s">
        <v>11</v>
      </c>
      <c r="G28" s="115" t="s">
        <v>751</v>
      </c>
      <c r="H28" s="611"/>
      <c r="I28" s="611"/>
    </row>
    <row r="29">
      <c r="A29" s="118" t="s">
        <v>2120</v>
      </c>
      <c r="B29" s="2"/>
      <c r="C29" s="2"/>
      <c r="D29" s="2"/>
      <c r="E29" s="2"/>
      <c r="F29" s="2"/>
      <c r="G29" s="3"/>
      <c r="H29" s="611"/>
      <c r="I29" s="611"/>
    </row>
    <row r="30">
      <c r="A30" s="119"/>
      <c r="B30" s="120" t="s">
        <v>754</v>
      </c>
      <c r="C30" s="120" t="s">
        <v>1117</v>
      </c>
      <c r="D30" s="120" t="s">
        <v>757</v>
      </c>
      <c r="E30" s="121">
        <v>1.0</v>
      </c>
      <c r="F30" s="467"/>
      <c r="G30" s="3"/>
      <c r="H30" s="611"/>
      <c r="I30" s="611"/>
    </row>
    <row r="31">
      <c r="A31" s="120" t="s">
        <v>761</v>
      </c>
      <c r="B31" s="123" t="s">
        <v>1617</v>
      </c>
      <c r="C31" s="2"/>
      <c r="D31" s="2"/>
      <c r="E31" s="2"/>
      <c r="F31" s="2"/>
      <c r="G31" s="3"/>
      <c r="H31" s="611"/>
      <c r="I31" s="611"/>
    </row>
    <row r="32">
      <c r="A32" s="124" t="s">
        <v>764</v>
      </c>
      <c r="B32" s="2"/>
      <c r="C32" s="2"/>
      <c r="D32" s="2"/>
      <c r="E32" s="2"/>
      <c r="F32" s="3"/>
      <c r="G32" s="125" t="s">
        <v>766</v>
      </c>
      <c r="H32" s="611"/>
      <c r="I32" s="611"/>
    </row>
    <row r="33">
      <c r="A33" s="126"/>
      <c r="B33" s="127" t="s">
        <v>2121</v>
      </c>
      <c r="C33" s="123" t="s">
        <v>2122</v>
      </c>
      <c r="D33" s="2"/>
      <c r="E33" s="3"/>
      <c r="F33" s="467"/>
      <c r="G33" s="3"/>
      <c r="H33" s="611"/>
      <c r="I33" s="611"/>
    </row>
    <row r="34">
      <c r="A34" s="20"/>
      <c r="B34" s="20"/>
      <c r="C34" s="120" t="s">
        <v>43</v>
      </c>
      <c r="D34" s="121">
        <v>1.0</v>
      </c>
      <c r="E34" s="121">
        <f t="array" ref="E34">IFERROR(INDEX(LMRRates,MATCH(B33,LMRCodes,0), ), )</f>
        <v>1228</v>
      </c>
      <c r="F34" s="121">
        <f>D34*E34</f>
        <v>1228</v>
      </c>
      <c r="G34" s="120" t="s">
        <v>772</v>
      </c>
      <c r="H34" s="611"/>
      <c r="I34" s="611"/>
    </row>
    <row r="35">
      <c r="A35" s="129" t="s">
        <v>1116</v>
      </c>
      <c r="B35" s="2"/>
      <c r="C35" s="3"/>
      <c r="D35" s="121">
        <v>1.0</v>
      </c>
      <c r="E35" s="130" t="s">
        <v>1117</v>
      </c>
      <c r="F35" s="121">
        <f>F34</f>
        <v>1228</v>
      </c>
      <c r="G35" s="120"/>
      <c r="H35" s="611"/>
      <c r="I35" s="611"/>
    </row>
    <row r="36">
      <c r="A36" s="129" t="s">
        <v>800</v>
      </c>
      <c r="B36" s="2"/>
      <c r="C36" s="3"/>
      <c r="D36" s="121">
        <v>1.0</v>
      </c>
      <c r="E36" s="130" t="s">
        <v>1117</v>
      </c>
      <c r="F36" s="121">
        <f>F35/D35</f>
        <v>1228</v>
      </c>
      <c r="G36" s="120"/>
      <c r="H36" s="611"/>
      <c r="I36" s="611"/>
    </row>
    <row r="37">
      <c r="A37" s="133" t="s">
        <v>802</v>
      </c>
      <c r="B37" s="2"/>
      <c r="C37" s="2"/>
      <c r="D37" s="3"/>
      <c r="E37" s="121"/>
      <c r="F37" s="121">
        <f>F36*1%</f>
        <v>12.28</v>
      </c>
      <c r="G37" s="120"/>
      <c r="H37" s="611"/>
      <c r="I37" s="611"/>
    </row>
    <row r="38">
      <c r="A38" s="133" t="s">
        <v>42</v>
      </c>
      <c r="B38" s="2"/>
      <c r="C38" s="2"/>
      <c r="D38" s="3"/>
      <c r="E38" s="131"/>
      <c r="F38" s="121">
        <f>F37+F36</f>
        <v>1240.28</v>
      </c>
      <c r="G38" s="120"/>
      <c r="H38" s="611"/>
      <c r="I38" s="611"/>
    </row>
    <row r="39">
      <c r="A39" s="133" t="s">
        <v>806</v>
      </c>
      <c r="B39" s="2"/>
      <c r="C39" s="2"/>
      <c r="D39" s="3"/>
      <c r="E39" s="121"/>
      <c r="F39" s="121">
        <f>F38*15%</f>
        <v>186.042</v>
      </c>
      <c r="G39" s="120"/>
      <c r="H39" s="611"/>
      <c r="I39" s="611"/>
    </row>
    <row r="40">
      <c r="A40" s="133" t="s">
        <v>42</v>
      </c>
      <c r="B40" s="2"/>
      <c r="C40" s="2"/>
      <c r="D40" s="3"/>
      <c r="E40" s="131"/>
      <c r="F40" s="300">
        <f>round(F39+F38,2)</f>
        <v>1426.32</v>
      </c>
      <c r="G40" s="120"/>
      <c r="H40" s="611"/>
      <c r="I40" s="611"/>
    </row>
    <row r="41">
      <c r="A41" s="124" t="s">
        <v>843</v>
      </c>
      <c r="B41" s="2"/>
      <c r="C41" s="2"/>
      <c r="D41" s="2"/>
      <c r="E41" s="2"/>
      <c r="F41" s="3"/>
      <c r="G41" s="125" t="s">
        <v>778</v>
      </c>
      <c r="H41" s="611"/>
      <c r="I41" s="611"/>
    </row>
    <row r="42">
      <c r="A42" s="127">
        <v>9999.0</v>
      </c>
      <c r="B42" s="126"/>
      <c r="C42" s="123" t="s">
        <v>1626</v>
      </c>
      <c r="D42" s="2"/>
      <c r="E42" s="3"/>
      <c r="F42" s="467"/>
      <c r="G42" s="3"/>
      <c r="H42" s="611"/>
      <c r="I42" s="611"/>
    </row>
    <row r="43">
      <c r="A43" s="20"/>
      <c r="B43" s="20"/>
      <c r="C43" s="120" t="s">
        <v>107</v>
      </c>
      <c r="D43" s="121">
        <v>10.0</v>
      </c>
      <c r="E43" s="121">
        <v>2.12</v>
      </c>
      <c r="F43" s="121">
        <f>D43*E43</f>
        <v>21.2</v>
      </c>
      <c r="G43" s="120" t="s">
        <v>846</v>
      </c>
      <c r="H43" s="611"/>
      <c r="I43" s="611"/>
    </row>
    <row r="44">
      <c r="A44" s="127">
        <v>9999.0</v>
      </c>
      <c r="B44" s="126"/>
      <c r="C44" s="123" t="s">
        <v>1629</v>
      </c>
      <c r="D44" s="2"/>
      <c r="E44" s="3"/>
      <c r="F44" s="467"/>
      <c r="G44" s="3"/>
      <c r="H44" s="611"/>
      <c r="I44" s="611"/>
    </row>
    <row r="45">
      <c r="A45" s="20"/>
      <c r="B45" s="20"/>
      <c r="C45" s="120" t="s">
        <v>107</v>
      </c>
      <c r="D45" s="121">
        <v>9.36</v>
      </c>
      <c r="E45" s="121">
        <v>2.12</v>
      </c>
      <c r="F45" s="121">
        <f>D45*E45</f>
        <v>19.8432</v>
      </c>
      <c r="G45" s="120" t="s">
        <v>850</v>
      </c>
      <c r="H45" s="611"/>
      <c r="I45" s="611"/>
    </row>
    <row r="46">
      <c r="A46" s="129" t="s">
        <v>1633</v>
      </c>
      <c r="B46" s="2"/>
      <c r="C46" s="3"/>
      <c r="D46" s="121">
        <v>1.0</v>
      </c>
      <c r="E46" s="130" t="s">
        <v>1117</v>
      </c>
      <c r="F46" s="121">
        <f>F45+F43</f>
        <v>41.0432</v>
      </c>
      <c r="G46" s="131"/>
      <c r="H46" s="611"/>
      <c r="I46" s="611"/>
    </row>
    <row r="47">
      <c r="A47" s="129" t="s">
        <v>800</v>
      </c>
      <c r="B47" s="2"/>
      <c r="C47" s="3"/>
      <c r="D47" s="121">
        <v>1.0</v>
      </c>
      <c r="E47" s="130" t="s">
        <v>1117</v>
      </c>
      <c r="F47" s="121">
        <f>F46/D46</f>
        <v>41.0432</v>
      </c>
      <c r="G47" s="131"/>
      <c r="H47" s="611"/>
      <c r="I47" s="611"/>
    </row>
    <row r="48">
      <c r="A48" s="133" t="s">
        <v>802</v>
      </c>
      <c r="B48" s="2"/>
      <c r="C48" s="2"/>
      <c r="D48" s="3"/>
      <c r="E48" s="121"/>
      <c r="F48" s="121">
        <f>F47*1%</f>
        <v>0.410432</v>
      </c>
      <c r="G48" s="131"/>
      <c r="H48" s="611"/>
      <c r="I48" s="611"/>
    </row>
    <row r="49">
      <c r="A49" s="133" t="s">
        <v>42</v>
      </c>
      <c r="B49" s="2"/>
      <c r="C49" s="2"/>
      <c r="D49" s="3"/>
      <c r="E49" s="131"/>
      <c r="F49" s="121">
        <f>F48+F47</f>
        <v>41.453632</v>
      </c>
      <c r="G49" s="131"/>
      <c r="H49" s="611"/>
      <c r="I49" s="611"/>
    </row>
    <row r="50">
      <c r="A50" s="133" t="s">
        <v>806</v>
      </c>
      <c r="B50" s="2"/>
      <c r="C50" s="2"/>
      <c r="D50" s="3"/>
      <c r="E50" s="121"/>
      <c r="F50" s="121">
        <f>F49*15%</f>
        <v>6.2180448</v>
      </c>
      <c r="G50" s="131"/>
      <c r="H50" s="611"/>
      <c r="I50" s="611"/>
    </row>
    <row r="51">
      <c r="A51" s="133" t="s">
        <v>42</v>
      </c>
      <c r="B51" s="2"/>
      <c r="C51" s="2"/>
      <c r="D51" s="3"/>
      <c r="E51" s="131"/>
      <c r="F51" s="300">
        <f>round(F50+F49,2)</f>
        <v>47.67</v>
      </c>
      <c r="G51" s="131"/>
      <c r="H51" s="611"/>
      <c r="I51" s="611"/>
    </row>
    <row r="52">
      <c r="A52" s="455" t="str">
        <f>CONCATENATE("Say ₹ ",F40," + ",F51," x Cost Index")</f>
        <v>Say ₹ 1426.32 + 47.67 x Cost Index</v>
      </c>
      <c r="B52" s="2"/>
      <c r="C52" s="2"/>
      <c r="D52" s="2"/>
      <c r="E52" s="2"/>
      <c r="F52" s="2"/>
      <c r="G52" s="3"/>
      <c r="H52" s="611">
        <f>F34*1.01*1.15</f>
        <v>1426.322</v>
      </c>
      <c r="I52" s="611">
        <f>(F43+F45)*1.01*1.15</f>
        <v>47.6716768</v>
      </c>
    </row>
  </sheetData>
  <mergeCells count="68">
    <mergeCell ref="A23:D23"/>
    <mergeCell ref="A24:D24"/>
    <mergeCell ref="A25:D25"/>
    <mergeCell ref="A26:G26"/>
    <mergeCell ref="A27:A28"/>
    <mergeCell ref="B27:B28"/>
    <mergeCell ref="F27:G27"/>
    <mergeCell ref="C27:E27"/>
    <mergeCell ref="A29:G29"/>
    <mergeCell ref="F30:G30"/>
    <mergeCell ref="B31:G31"/>
    <mergeCell ref="A32:F32"/>
    <mergeCell ref="A33:A34"/>
    <mergeCell ref="B33:B34"/>
    <mergeCell ref="A35:C35"/>
    <mergeCell ref="A36:C36"/>
    <mergeCell ref="A37:D37"/>
    <mergeCell ref="A38:D38"/>
    <mergeCell ref="A39:D39"/>
    <mergeCell ref="A40:D40"/>
    <mergeCell ref="A41:F41"/>
    <mergeCell ref="A47:C47"/>
    <mergeCell ref="A48:D48"/>
    <mergeCell ref="A49:D49"/>
    <mergeCell ref="A50:D50"/>
    <mergeCell ref="A51:D51"/>
    <mergeCell ref="A52:G52"/>
    <mergeCell ref="A42:A43"/>
    <mergeCell ref="B42:B43"/>
    <mergeCell ref="A44:A45"/>
    <mergeCell ref="B44:B45"/>
    <mergeCell ref="C44:E44"/>
    <mergeCell ref="F44:G44"/>
    <mergeCell ref="A46:C46"/>
    <mergeCell ref="C7:E7"/>
    <mergeCell ref="F7:G7"/>
    <mergeCell ref="B1:B2"/>
    <mergeCell ref="C1:E1"/>
    <mergeCell ref="F1:G1"/>
    <mergeCell ref="A3:G3"/>
    <mergeCell ref="F4:G4"/>
    <mergeCell ref="B5:G5"/>
    <mergeCell ref="A6:F6"/>
    <mergeCell ref="A1:A2"/>
    <mergeCell ref="A7:A8"/>
    <mergeCell ref="B7:B8"/>
    <mergeCell ref="A9:C9"/>
    <mergeCell ref="A10:C10"/>
    <mergeCell ref="A11:D11"/>
    <mergeCell ref="A12:D12"/>
    <mergeCell ref="A13:D13"/>
    <mergeCell ref="A14:D14"/>
    <mergeCell ref="A15:F15"/>
    <mergeCell ref="A16:A17"/>
    <mergeCell ref="B16:B17"/>
    <mergeCell ref="C16:E16"/>
    <mergeCell ref="F16:G16"/>
    <mergeCell ref="A18:A19"/>
    <mergeCell ref="B18:B19"/>
    <mergeCell ref="C18:E18"/>
    <mergeCell ref="F18:G18"/>
    <mergeCell ref="A20:C20"/>
    <mergeCell ref="A21:C21"/>
    <mergeCell ref="A22:D22"/>
    <mergeCell ref="C33:E33"/>
    <mergeCell ref="F33:G33"/>
    <mergeCell ref="C42:E42"/>
    <mergeCell ref="F42:G42"/>
  </mergeCells>
  <drawing r:id="rId1"/>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7.14"/>
    <col customWidth="1" min="2" max="2" width="73.0"/>
    <col customWidth="1" min="3" max="3" width="7.14"/>
    <col customWidth="1" min="4" max="4" width="7.0"/>
  </cols>
  <sheetData>
    <row r="1">
      <c r="A1" s="26" t="s">
        <v>354</v>
      </c>
      <c r="B1" s="26" t="s">
        <v>357</v>
      </c>
      <c r="C1" s="26" t="s">
        <v>358</v>
      </c>
      <c r="D1" s="26" t="s">
        <v>8</v>
      </c>
    </row>
    <row r="2">
      <c r="A2" s="613">
        <v>18.48</v>
      </c>
      <c r="B2" s="614" t="s">
        <v>2128</v>
      </c>
      <c r="C2" s="615">
        <v>8.41</v>
      </c>
      <c r="D2" s="615" t="s">
        <v>1256</v>
      </c>
    </row>
  </sheetData>
  <printOptions/>
  <pageMargins bottom="0.75" footer="0.0" header="0.0" left="0.7" right="0.7" top="0.75"/>
  <pageSetup orientation="landscape"/>
  <drawing r:id="rId1"/>
  <tableParts count="1">
    <tablePart r:id="rId3"/>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4.57"/>
    <col customWidth="1" min="2" max="2" width="21.14"/>
    <col customWidth="1" min="3" max="3" width="4.71"/>
    <col customWidth="1" min="4" max="5" width="5.71"/>
    <col customWidth="1" min="6" max="6" width="7.29"/>
    <col customWidth="1" min="7" max="7" width="11.86"/>
    <col customWidth="1" min="8" max="8" width="5.86"/>
    <col customWidth="1" min="9" max="9" width="9.57"/>
    <col customWidth="1" min="10" max="10" width="10.29"/>
  </cols>
  <sheetData>
    <row r="1">
      <c r="A1" s="612" t="s">
        <v>2127</v>
      </c>
    </row>
    <row r="2">
      <c r="A2" s="167" t="s">
        <v>1105</v>
      </c>
      <c r="B2" s="167" t="s">
        <v>1001</v>
      </c>
      <c r="C2" s="167" t="s">
        <v>1003</v>
      </c>
      <c r="D2" s="167" t="s">
        <v>778</v>
      </c>
      <c r="E2" s="167" t="s">
        <v>1109</v>
      </c>
      <c r="F2" s="167" t="s">
        <v>1111</v>
      </c>
      <c r="G2" s="286" t="s">
        <v>37</v>
      </c>
      <c r="H2" s="167" t="s">
        <v>1115</v>
      </c>
      <c r="I2" s="167" t="s">
        <v>10</v>
      </c>
      <c r="J2" s="289" t="s">
        <v>11</v>
      </c>
    </row>
    <row r="3">
      <c r="A3" s="167">
        <v>1.0</v>
      </c>
      <c r="B3" s="156" t="s">
        <v>2129</v>
      </c>
      <c r="C3" s="136"/>
      <c r="D3" s="136"/>
      <c r="E3" s="136"/>
      <c r="F3" s="136"/>
      <c r="G3" s="136"/>
      <c r="H3" s="136"/>
      <c r="I3" s="136"/>
      <c r="J3" s="137"/>
    </row>
    <row r="4">
      <c r="A4" s="167"/>
      <c r="B4" s="158" t="s">
        <v>1140</v>
      </c>
      <c r="C4" s="167">
        <v>1.0</v>
      </c>
      <c r="D4" s="167">
        <v>0.75</v>
      </c>
      <c r="E4" s="167">
        <v>0.75</v>
      </c>
      <c r="F4" s="167">
        <v>0.2</v>
      </c>
      <c r="G4" s="616">
        <f>PRODUCT(C4:F4)</f>
        <v>0.1125</v>
      </c>
      <c r="H4" s="167"/>
      <c r="I4" s="167"/>
      <c r="J4" s="289"/>
    </row>
    <row r="5">
      <c r="A5" s="167"/>
      <c r="B5" s="158" t="s">
        <v>37</v>
      </c>
      <c r="C5" s="167"/>
      <c r="D5" s="167"/>
      <c r="E5" s="167"/>
      <c r="F5" s="167"/>
      <c r="G5" s="617">
        <f>SUM(G4)</f>
        <v>0.1125</v>
      </c>
      <c r="H5" s="172" t="s">
        <v>21</v>
      </c>
      <c r="I5" s="172">
        <v>249.03</v>
      </c>
      <c r="J5" s="289">
        <f>G5*I5</f>
        <v>28.015875</v>
      </c>
    </row>
    <row r="6">
      <c r="A6" s="167">
        <v>2.0</v>
      </c>
      <c r="B6" s="294" t="s">
        <v>2131</v>
      </c>
      <c r="C6" s="136"/>
      <c r="D6" s="136"/>
      <c r="E6" s="136"/>
      <c r="F6" s="136"/>
      <c r="G6" s="136"/>
      <c r="H6" s="136"/>
      <c r="I6" s="136"/>
      <c r="J6" s="137"/>
    </row>
    <row r="7">
      <c r="A7" s="167"/>
      <c r="B7" s="158" t="s">
        <v>1140</v>
      </c>
      <c r="C7" s="167">
        <v>1.0</v>
      </c>
      <c r="D7" s="167">
        <v>0.75</v>
      </c>
      <c r="E7" s="167">
        <v>0.75</v>
      </c>
      <c r="F7" s="167">
        <v>0.1</v>
      </c>
      <c r="G7" s="301">
        <f t="shared" ref="G7:G8" si="1">PRODUCT(C7:F7)</f>
        <v>0.05625</v>
      </c>
      <c r="H7" s="167"/>
      <c r="I7" s="167"/>
      <c r="J7" s="289"/>
    </row>
    <row r="8">
      <c r="A8" s="167"/>
      <c r="B8" s="158" t="s">
        <v>2134</v>
      </c>
      <c r="C8" s="172">
        <v>3.14</v>
      </c>
      <c r="D8" s="172">
        <v>0.07</v>
      </c>
      <c r="E8" s="167">
        <v>0.07</v>
      </c>
      <c r="F8" s="172">
        <v>0.1</v>
      </c>
      <c r="G8" s="301">
        <f t="shared" si="1"/>
        <v>0.0015386</v>
      </c>
      <c r="H8" s="167"/>
      <c r="I8" s="167"/>
      <c r="J8" s="289"/>
    </row>
    <row r="9">
      <c r="A9" s="167"/>
      <c r="B9" s="158" t="s">
        <v>37</v>
      </c>
      <c r="C9" s="167"/>
      <c r="D9" s="167"/>
      <c r="E9" s="167"/>
      <c r="F9" s="167"/>
      <c r="G9" s="301">
        <f>G7-G8</f>
        <v>0.0547114</v>
      </c>
      <c r="H9" s="167" t="s">
        <v>2135</v>
      </c>
      <c r="I9" s="172">
        <v>5491.79</v>
      </c>
      <c r="J9" s="289">
        <f>G9*I9</f>
        <v>300.4635194</v>
      </c>
    </row>
    <row r="10">
      <c r="A10" s="167">
        <v>3.0</v>
      </c>
      <c r="B10" s="294" t="s">
        <v>2136</v>
      </c>
      <c r="C10" s="136"/>
      <c r="D10" s="136"/>
      <c r="E10" s="136"/>
      <c r="F10" s="136"/>
      <c r="G10" s="136"/>
      <c r="H10" s="136"/>
      <c r="I10" s="136"/>
      <c r="J10" s="137"/>
    </row>
    <row r="11">
      <c r="A11" s="167"/>
      <c r="B11" s="158" t="s">
        <v>2137</v>
      </c>
      <c r="C11" s="167">
        <v>4.0</v>
      </c>
      <c r="D11" s="167">
        <v>0.65</v>
      </c>
      <c r="E11" s="167">
        <v>0.1</v>
      </c>
      <c r="F11" s="167">
        <v>0.6</v>
      </c>
      <c r="G11" s="301">
        <f>PRODUCT(C11:F11)</f>
        <v>0.156</v>
      </c>
      <c r="H11" s="167"/>
      <c r="I11" s="167"/>
      <c r="J11" s="289"/>
    </row>
    <row r="12">
      <c r="A12" s="167"/>
      <c r="B12" s="158" t="s">
        <v>37</v>
      </c>
      <c r="C12" s="167"/>
      <c r="D12" s="167"/>
      <c r="E12" s="167"/>
      <c r="F12" s="167"/>
      <c r="G12" s="618">
        <f>SUM(G11)</f>
        <v>0.156</v>
      </c>
      <c r="H12" s="167" t="s">
        <v>2139</v>
      </c>
      <c r="I12" s="172">
        <v>7195.35</v>
      </c>
      <c r="J12" s="289">
        <f>G12*I12</f>
        <v>1122.4746</v>
      </c>
    </row>
    <row r="13">
      <c r="A13" s="167">
        <v>4.0</v>
      </c>
      <c r="B13" s="294" t="s">
        <v>2140</v>
      </c>
      <c r="C13" s="136"/>
      <c r="D13" s="136"/>
      <c r="E13" s="136"/>
      <c r="F13" s="136"/>
      <c r="G13" s="136"/>
      <c r="H13" s="136"/>
      <c r="I13" s="136"/>
      <c r="J13" s="137"/>
    </row>
    <row r="14">
      <c r="A14" s="167"/>
      <c r="B14" s="158" t="s">
        <v>2141</v>
      </c>
      <c r="C14" s="167">
        <v>1.0</v>
      </c>
      <c r="D14" s="167">
        <v>0.8</v>
      </c>
      <c r="E14" s="167">
        <v>0.8</v>
      </c>
      <c r="F14" s="167">
        <v>0.1</v>
      </c>
      <c r="G14" s="301">
        <f>PRODUCT(C14:F14)</f>
        <v>0.064</v>
      </c>
      <c r="H14" s="167"/>
      <c r="I14" s="167"/>
      <c r="J14" s="289"/>
    </row>
    <row r="15">
      <c r="A15" s="167"/>
      <c r="B15" s="158" t="s">
        <v>37</v>
      </c>
      <c r="C15" s="167"/>
      <c r="D15" s="167"/>
      <c r="E15" s="167"/>
      <c r="F15" s="167"/>
      <c r="G15" s="618">
        <f>SUM(G14)</f>
        <v>0.064</v>
      </c>
      <c r="H15" s="167" t="s">
        <v>2142</v>
      </c>
      <c r="I15" s="172">
        <v>6897.84</v>
      </c>
      <c r="J15" s="289">
        <f>G15*I15</f>
        <v>441.46176</v>
      </c>
    </row>
    <row r="16">
      <c r="A16" s="167">
        <v>5.0</v>
      </c>
      <c r="B16" s="294" t="s">
        <v>2144</v>
      </c>
      <c r="C16" s="136"/>
      <c r="D16" s="136"/>
      <c r="E16" s="136"/>
      <c r="F16" s="136"/>
      <c r="G16" s="136"/>
      <c r="H16" s="136"/>
      <c r="I16" s="136"/>
      <c r="J16" s="137"/>
    </row>
    <row r="17">
      <c r="A17" s="167"/>
      <c r="B17" s="158" t="s">
        <v>2145</v>
      </c>
      <c r="C17" s="167"/>
      <c r="D17" s="167"/>
      <c r="E17" s="167"/>
      <c r="F17" s="167"/>
      <c r="G17" s="301">
        <f>G15</f>
        <v>0.064</v>
      </c>
      <c r="H17" s="167" t="s">
        <v>2146</v>
      </c>
      <c r="I17" s="167"/>
      <c r="J17" s="289"/>
    </row>
    <row r="18">
      <c r="A18" s="167"/>
      <c r="B18" s="158" t="s">
        <v>2147</v>
      </c>
      <c r="C18" s="167"/>
      <c r="D18" s="167"/>
      <c r="E18" s="167">
        <v>80.0</v>
      </c>
      <c r="F18" s="624">
        <f>G17</f>
        <v>0.064</v>
      </c>
      <c r="G18" s="301">
        <f>PRODUCT(C18:F18)</f>
        <v>5.12</v>
      </c>
      <c r="H18" s="167" t="s">
        <v>759</v>
      </c>
      <c r="I18" s="172">
        <v>77.22</v>
      </c>
      <c r="J18" s="289">
        <f>G18*I18</f>
        <v>395.3664</v>
      </c>
    </row>
    <row r="19">
      <c r="A19" s="167">
        <v>6.0</v>
      </c>
      <c r="B19" s="294" t="s">
        <v>2149</v>
      </c>
      <c r="C19" s="136"/>
      <c r="D19" s="136"/>
      <c r="E19" s="136"/>
      <c r="F19" s="136"/>
      <c r="G19" s="136"/>
      <c r="H19" s="136"/>
      <c r="I19" s="136"/>
      <c r="J19" s="137"/>
    </row>
    <row r="20">
      <c r="A20" s="167"/>
      <c r="B20" s="158" t="s">
        <v>2141</v>
      </c>
      <c r="C20" s="172">
        <v>4.0</v>
      </c>
      <c r="D20" s="167">
        <f>D14</f>
        <v>0.8</v>
      </c>
      <c r="E20" s="167"/>
      <c r="F20" s="167">
        <f>F14</f>
        <v>0.1</v>
      </c>
      <c r="G20" s="301">
        <f>PRODUCT(C20:F20)</f>
        <v>0.32</v>
      </c>
      <c r="H20" s="167" t="s">
        <v>2152</v>
      </c>
      <c r="I20" s="167"/>
      <c r="J20" s="289"/>
    </row>
    <row r="21">
      <c r="A21" s="167"/>
      <c r="B21" s="158" t="s">
        <v>37</v>
      </c>
      <c r="C21" s="167"/>
      <c r="D21" s="167"/>
      <c r="E21" s="167"/>
      <c r="F21" s="167"/>
      <c r="G21" s="301">
        <f>SUM(G20)</f>
        <v>0.32</v>
      </c>
      <c r="H21" s="167" t="s">
        <v>2153</v>
      </c>
      <c r="I21" s="172">
        <v>665.45</v>
      </c>
      <c r="J21" s="289">
        <f>G21*I21</f>
        <v>212.944</v>
      </c>
    </row>
    <row r="22">
      <c r="A22" s="167">
        <v>7.0</v>
      </c>
      <c r="B22" s="294" t="s">
        <v>2154</v>
      </c>
      <c r="C22" s="136"/>
      <c r="D22" s="136"/>
      <c r="E22" s="136"/>
      <c r="F22" s="136"/>
      <c r="G22" s="136"/>
      <c r="H22" s="136"/>
      <c r="I22" s="136"/>
      <c r="J22" s="137"/>
    </row>
    <row r="23">
      <c r="A23" s="167"/>
      <c r="B23" s="158" t="s">
        <v>2155</v>
      </c>
      <c r="C23" s="167">
        <v>4.0</v>
      </c>
      <c r="D23" s="172">
        <v>0.75</v>
      </c>
      <c r="E23" s="167"/>
      <c r="F23" s="167">
        <v>0.5</v>
      </c>
      <c r="G23" s="301">
        <f t="shared" ref="G23:G24" si="2">PRODUCT(C23:F23)</f>
        <v>1.5</v>
      </c>
      <c r="H23" s="167"/>
      <c r="I23" s="167"/>
      <c r="J23" s="289"/>
    </row>
    <row r="24">
      <c r="A24" s="167"/>
      <c r="B24" s="158" t="s">
        <v>2156</v>
      </c>
      <c r="C24" s="167">
        <v>4.0</v>
      </c>
      <c r="D24" s="167">
        <f>D23-2*E11</f>
        <v>0.55</v>
      </c>
      <c r="E24" s="167"/>
      <c r="F24" s="167">
        <v>0.6</v>
      </c>
      <c r="G24" s="301">
        <f t="shared" si="2"/>
        <v>1.32</v>
      </c>
      <c r="H24" s="167"/>
      <c r="I24" s="167"/>
      <c r="J24" s="289"/>
    </row>
    <row r="25">
      <c r="A25" s="167"/>
      <c r="B25" s="158" t="s">
        <v>2157</v>
      </c>
      <c r="C25" s="172">
        <v>4.0</v>
      </c>
      <c r="D25" s="172">
        <v>0.65</v>
      </c>
      <c r="E25" s="167">
        <f>E11</f>
        <v>0.1</v>
      </c>
      <c r="F25" s="363"/>
      <c r="G25" s="301">
        <f>PRODUCT(C25:E25)</f>
        <v>0.26</v>
      </c>
      <c r="H25" s="167"/>
      <c r="I25" s="167"/>
      <c r="J25" s="289"/>
    </row>
    <row r="26">
      <c r="A26" s="167"/>
      <c r="B26" s="158" t="s">
        <v>2158</v>
      </c>
      <c r="C26" s="167">
        <v>2.0</v>
      </c>
      <c r="D26" s="167">
        <f t="shared" ref="D26:E26" si="3">D14</f>
        <v>0.8</v>
      </c>
      <c r="E26" s="167">
        <f t="shared" si="3"/>
        <v>0.8</v>
      </c>
      <c r="F26" s="167"/>
      <c r="G26" s="301">
        <f t="shared" ref="G26:G27" si="4">PRODUCT(C26:F26)</f>
        <v>1.28</v>
      </c>
      <c r="H26" s="167"/>
      <c r="I26" s="167"/>
      <c r="J26" s="289"/>
    </row>
    <row r="27">
      <c r="A27" s="167"/>
      <c r="B27" s="158" t="s">
        <v>2161</v>
      </c>
      <c r="C27" s="167">
        <v>4.0</v>
      </c>
      <c r="D27" s="167">
        <f>D26</f>
        <v>0.8</v>
      </c>
      <c r="E27" s="167"/>
      <c r="F27" s="167">
        <f>F14</f>
        <v>0.1</v>
      </c>
      <c r="G27" s="301">
        <f t="shared" si="4"/>
        <v>0.32</v>
      </c>
      <c r="H27" s="167"/>
      <c r="I27" s="167"/>
      <c r="J27" s="289"/>
    </row>
    <row r="28">
      <c r="A28" s="167"/>
      <c r="B28" s="158" t="s">
        <v>37</v>
      </c>
      <c r="C28" s="167"/>
      <c r="D28" s="167"/>
      <c r="E28" s="167"/>
      <c r="F28" s="167"/>
      <c r="G28" s="301">
        <f>SUM(G23:G27)</f>
        <v>4.68</v>
      </c>
      <c r="H28" s="167" t="s">
        <v>2162</v>
      </c>
      <c r="I28" s="172">
        <v>255.98</v>
      </c>
      <c r="J28" s="289">
        <f>G28*I28</f>
        <v>1197.9864</v>
      </c>
    </row>
    <row r="29">
      <c r="A29" s="167">
        <v>8.0</v>
      </c>
      <c r="B29" s="311" t="s">
        <v>1290</v>
      </c>
      <c r="C29" s="136"/>
      <c r="D29" s="136"/>
      <c r="E29" s="136"/>
      <c r="F29" s="136"/>
      <c r="G29" s="136"/>
      <c r="H29" s="136"/>
      <c r="I29" s="137"/>
      <c r="J29" s="642">
        <v>101.29</v>
      </c>
    </row>
    <row r="30">
      <c r="A30" s="167"/>
      <c r="B30" s="378" t="s">
        <v>42</v>
      </c>
      <c r="C30" s="136"/>
      <c r="D30" s="136"/>
      <c r="E30" s="136"/>
      <c r="F30" s="136"/>
      <c r="G30" s="136"/>
      <c r="H30" s="136"/>
      <c r="I30" s="137"/>
      <c r="J30" s="379">
        <f>J5+J9+J12+J15+J18+J21+J28+J29</f>
        <v>3800.002554</v>
      </c>
    </row>
    <row r="31">
      <c r="A31" s="172"/>
      <c r="B31" s="192" t="s">
        <v>2167</v>
      </c>
      <c r="C31" s="136"/>
      <c r="D31" s="136"/>
      <c r="E31" s="136"/>
      <c r="F31" s="136"/>
      <c r="G31" s="136"/>
      <c r="H31" s="136"/>
      <c r="I31" s="136"/>
      <c r="J31" s="137"/>
    </row>
  </sheetData>
  <mergeCells count="11">
    <mergeCell ref="B22:J22"/>
    <mergeCell ref="B29:I29"/>
    <mergeCell ref="B30:I30"/>
    <mergeCell ref="B31:J31"/>
    <mergeCell ref="A1:J1"/>
    <mergeCell ref="B3:J3"/>
    <mergeCell ref="B6:J6"/>
    <mergeCell ref="B10:J10"/>
    <mergeCell ref="B13:J13"/>
    <mergeCell ref="B16:J16"/>
    <mergeCell ref="B19:J19"/>
  </mergeCells>
  <printOptions/>
  <pageMargins bottom="0.75" footer="0.0" header="0.0" left="0.7" right="0.7" top="0.75"/>
  <pageSetup orientation="landscape"/>
  <headerFooter>
    <oddFooter>&amp;RDirector            </oddFooter>
  </headerFooter>
  <drawing r:id="rId1"/>
</worksheet>
</file>

<file path=xl/worksheets/sheet4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pageSetUpPr/>
  </sheetPr>
  <sheetViews>
    <sheetView workbookViewId="0"/>
  </sheetViews>
  <sheetFormatPr customHeight="1" defaultColWidth="14.43" defaultRowHeight="15.0"/>
  <cols>
    <col customWidth="1" min="1" max="1" width="10.14"/>
    <col customWidth="1" min="2" max="2" width="50.57"/>
    <col customWidth="1" min="3" max="3" width="6.43"/>
    <col customWidth="1" min="4" max="4" width="7.0"/>
    <col customWidth="1" min="5" max="5" width="8.86"/>
    <col customWidth="1" min="6" max="6" width="5.86"/>
    <col customWidth="1" min="7" max="7" width="12.86"/>
    <col customWidth="1" hidden="1" min="8" max="9" width="12.86"/>
  </cols>
  <sheetData>
    <row r="1">
      <c r="A1" s="619" t="s">
        <v>2138</v>
      </c>
      <c r="B1" s="185"/>
      <c r="C1" s="185"/>
      <c r="D1" s="185"/>
      <c r="E1" s="185"/>
      <c r="F1" s="185"/>
      <c r="G1" s="187"/>
      <c r="H1" s="620"/>
      <c r="I1" s="620"/>
    </row>
    <row r="2">
      <c r="A2" s="621" t="s">
        <v>2143</v>
      </c>
      <c r="B2" s="2"/>
      <c r="C2" s="2"/>
      <c r="D2" s="2"/>
      <c r="E2" s="2"/>
      <c r="F2" s="2"/>
      <c r="G2" s="193"/>
      <c r="H2" s="622"/>
      <c r="I2" s="622"/>
    </row>
    <row r="3">
      <c r="A3" s="623" t="s">
        <v>882</v>
      </c>
      <c r="B3" s="625" t="s">
        <v>2148</v>
      </c>
      <c r="C3" s="2"/>
      <c r="D3" s="2"/>
      <c r="E3" s="2"/>
      <c r="F3" s="2"/>
      <c r="G3" s="193"/>
      <c r="H3" s="626"/>
      <c r="I3" s="626"/>
    </row>
    <row r="4">
      <c r="A4" s="627" t="s">
        <v>864</v>
      </c>
      <c r="B4" s="628" t="s">
        <v>2150</v>
      </c>
      <c r="C4" s="629">
        <v>1.0</v>
      </c>
      <c r="D4" s="629" t="s">
        <v>1117</v>
      </c>
      <c r="E4" s="629">
        <v>16500.0</v>
      </c>
      <c r="F4" s="630" t="s">
        <v>2151</v>
      </c>
      <c r="G4" s="631">
        <f>E4*C4</f>
        <v>16500</v>
      </c>
      <c r="H4" s="473"/>
      <c r="I4" s="473"/>
    </row>
    <row r="5">
      <c r="A5" s="632"/>
      <c r="B5" s="633" t="s">
        <v>908</v>
      </c>
      <c r="C5" s="629"/>
      <c r="D5" s="629"/>
      <c r="E5" s="629"/>
      <c r="F5" s="630"/>
      <c r="G5" s="631">
        <f>G4*1%</f>
        <v>165</v>
      </c>
      <c r="H5" s="473"/>
      <c r="I5" s="473"/>
    </row>
    <row r="6">
      <c r="A6" s="632"/>
      <c r="B6" s="633" t="s">
        <v>37</v>
      </c>
      <c r="C6" s="629"/>
      <c r="D6" s="629"/>
      <c r="E6" s="629"/>
      <c r="F6" s="630"/>
      <c r="G6" s="631">
        <f>SUM(G4:G5)</f>
        <v>16665</v>
      </c>
      <c r="H6" s="473"/>
      <c r="I6" s="473"/>
    </row>
    <row r="7">
      <c r="A7" s="632"/>
      <c r="B7" s="633" t="s">
        <v>912</v>
      </c>
      <c r="C7" s="629"/>
      <c r="D7" s="629"/>
      <c r="E7" s="629"/>
      <c r="F7" s="630"/>
      <c r="G7" s="631">
        <f>G6*15%</f>
        <v>2499.75</v>
      </c>
      <c r="H7" s="473"/>
      <c r="I7" s="473"/>
    </row>
    <row r="8">
      <c r="A8" s="632"/>
      <c r="B8" s="634" t="s">
        <v>2159</v>
      </c>
      <c r="C8" s="635"/>
      <c r="D8" s="636"/>
      <c r="E8" s="636"/>
      <c r="F8" s="637"/>
      <c r="G8" s="638">
        <f>round(SUM(G6:G7),2)</f>
        <v>19164.75</v>
      </c>
      <c r="H8" s="639"/>
      <c r="I8" s="639"/>
    </row>
    <row r="9">
      <c r="A9" s="627" t="s">
        <v>879</v>
      </c>
      <c r="B9" s="640" t="s">
        <v>888</v>
      </c>
      <c r="C9" s="629">
        <v>0.3</v>
      </c>
      <c r="D9" s="641" t="s">
        <v>868</v>
      </c>
      <c r="E9" s="629">
        <v>784.0</v>
      </c>
      <c r="F9" s="643" t="s">
        <v>890</v>
      </c>
      <c r="G9" s="631">
        <f t="shared" ref="G9:G10" si="1">C9*E9</f>
        <v>235.2</v>
      </c>
      <c r="H9" s="473"/>
      <c r="I9" s="473"/>
    </row>
    <row r="10">
      <c r="A10" s="627" t="s">
        <v>881</v>
      </c>
      <c r="B10" s="640" t="s">
        <v>97</v>
      </c>
      <c r="C10" s="629">
        <v>0.3</v>
      </c>
      <c r="D10" s="641" t="s">
        <v>868</v>
      </c>
      <c r="E10" s="629">
        <v>645.0</v>
      </c>
      <c r="F10" s="643" t="s">
        <v>890</v>
      </c>
      <c r="G10" s="631">
        <f t="shared" si="1"/>
        <v>193.5</v>
      </c>
      <c r="H10" s="473"/>
      <c r="I10" s="473"/>
    </row>
    <row r="11">
      <c r="A11" s="632"/>
      <c r="B11" s="633" t="s">
        <v>990</v>
      </c>
      <c r="C11" s="629"/>
      <c r="D11" s="629"/>
      <c r="E11" s="629"/>
      <c r="F11" s="630"/>
      <c r="G11" s="631">
        <f>SUM(G9:G10)</f>
        <v>428.7</v>
      </c>
      <c r="H11" s="473"/>
      <c r="I11" s="473"/>
    </row>
    <row r="12">
      <c r="A12" s="632"/>
      <c r="B12" s="633" t="s">
        <v>908</v>
      </c>
      <c r="C12" s="629"/>
      <c r="D12" s="629"/>
      <c r="E12" s="629"/>
      <c r="F12" s="630"/>
      <c r="G12" s="631">
        <f>G11*0.01</f>
        <v>4.287</v>
      </c>
      <c r="H12" s="473"/>
      <c r="I12" s="473"/>
    </row>
    <row r="13">
      <c r="A13" s="632"/>
      <c r="B13" s="633" t="s">
        <v>37</v>
      </c>
      <c r="C13" s="629"/>
      <c r="D13" s="629"/>
      <c r="E13" s="629"/>
      <c r="F13" s="630"/>
      <c r="G13" s="631">
        <f>SUM(G11:G12)</f>
        <v>432.987</v>
      </c>
      <c r="H13" s="473"/>
      <c r="I13" s="473"/>
    </row>
    <row r="14">
      <c r="A14" s="632"/>
      <c r="B14" s="633" t="s">
        <v>912</v>
      </c>
      <c r="C14" s="629"/>
      <c r="D14" s="629"/>
      <c r="E14" s="629"/>
      <c r="F14" s="630"/>
      <c r="G14" s="631">
        <f>G13*15%</f>
        <v>64.94805</v>
      </c>
      <c r="H14" s="473"/>
      <c r="I14" s="473"/>
    </row>
    <row r="15">
      <c r="A15" s="632"/>
      <c r="B15" s="634" t="s">
        <v>2159</v>
      </c>
      <c r="C15" s="635"/>
      <c r="D15" s="636"/>
      <c r="E15" s="636"/>
      <c r="F15" s="637"/>
      <c r="G15" s="638">
        <f>round(SUM(G13:G14),2)</f>
        <v>497.94</v>
      </c>
      <c r="H15" s="639"/>
      <c r="I15" s="639"/>
    </row>
    <row r="16">
      <c r="A16" s="218" t="str">
        <f>CONCATENATE("Say ₹ ",G8," + ",G15," x Cost Index")</f>
        <v>Say ₹ 19164.75 + 497.94 x Cost Index</v>
      </c>
      <c r="B16" s="2"/>
      <c r="C16" s="2"/>
      <c r="D16" s="2"/>
      <c r="E16" s="2"/>
      <c r="F16" s="2"/>
      <c r="G16" s="3"/>
      <c r="H16" s="622">
        <f>G4*1.01*1.15</f>
        <v>19164.75</v>
      </c>
      <c r="I16" s="622">
        <f>SUM(G9:G10)*1.01*1.15</f>
        <v>497.93505</v>
      </c>
    </row>
    <row r="17">
      <c r="A17" s="623" t="s">
        <v>896</v>
      </c>
      <c r="B17" s="625" t="s">
        <v>2168</v>
      </c>
      <c r="C17" s="2"/>
      <c r="D17" s="2"/>
      <c r="E17" s="2"/>
      <c r="F17" s="2"/>
      <c r="G17" s="193"/>
      <c r="H17" s="626"/>
      <c r="I17" s="626"/>
    </row>
    <row r="18">
      <c r="A18" s="644" t="s">
        <v>864</v>
      </c>
      <c r="B18" s="628" t="s">
        <v>2169</v>
      </c>
      <c r="C18" s="629">
        <v>1.0</v>
      </c>
      <c r="D18" s="629" t="s">
        <v>1117</v>
      </c>
      <c r="E18" s="629">
        <v>26500.0</v>
      </c>
      <c r="F18" s="630" t="s">
        <v>2151</v>
      </c>
      <c r="G18" s="631">
        <f>E18*C18</f>
        <v>26500</v>
      </c>
      <c r="H18" s="473"/>
      <c r="I18" s="473"/>
    </row>
    <row r="19">
      <c r="A19" s="632"/>
      <c r="B19" s="633" t="s">
        <v>908</v>
      </c>
      <c r="C19" s="629"/>
      <c r="D19" s="629"/>
      <c r="E19" s="629"/>
      <c r="F19" s="630"/>
      <c r="G19" s="631">
        <f>G18*1%</f>
        <v>265</v>
      </c>
      <c r="H19" s="473"/>
      <c r="I19" s="473"/>
    </row>
    <row r="20">
      <c r="A20" s="632"/>
      <c r="B20" s="633" t="s">
        <v>37</v>
      </c>
      <c r="C20" s="629"/>
      <c r="D20" s="629"/>
      <c r="E20" s="629"/>
      <c r="F20" s="630"/>
      <c r="G20" s="631">
        <f>SUM(G18:G19)</f>
        <v>26765</v>
      </c>
      <c r="H20" s="473"/>
      <c r="I20" s="473"/>
    </row>
    <row r="21">
      <c r="A21" s="632"/>
      <c r="B21" s="633" t="s">
        <v>912</v>
      </c>
      <c r="C21" s="629"/>
      <c r="D21" s="629"/>
      <c r="E21" s="629"/>
      <c r="F21" s="630"/>
      <c r="G21" s="631">
        <f>G20*15%</f>
        <v>4014.75</v>
      </c>
      <c r="H21" s="473"/>
      <c r="I21" s="473"/>
    </row>
    <row r="22">
      <c r="A22" s="632"/>
      <c r="B22" s="634" t="s">
        <v>2159</v>
      </c>
      <c r="C22" s="635"/>
      <c r="D22" s="636"/>
      <c r="E22" s="636"/>
      <c r="F22" s="637"/>
      <c r="G22" s="638">
        <f>round(SUM(G20:G21),2)</f>
        <v>30779.75</v>
      </c>
      <c r="H22" s="639"/>
      <c r="I22" s="639"/>
    </row>
    <row r="23">
      <c r="A23" s="627" t="s">
        <v>879</v>
      </c>
      <c r="B23" s="640" t="s">
        <v>888</v>
      </c>
      <c r="C23" s="629">
        <v>0.3</v>
      </c>
      <c r="D23" s="641" t="s">
        <v>868</v>
      </c>
      <c r="E23" s="629">
        <v>784.0</v>
      </c>
      <c r="F23" s="643" t="s">
        <v>890</v>
      </c>
      <c r="G23" s="631">
        <f t="shared" ref="G23:G24" si="2">C23*E23</f>
        <v>235.2</v>
      </c>
      <c r="H23" s="473"/>
      <c r="I23" s="473"/>
    </row>
    <row r="24">
      <c r="A24" s="627" t="s">
        <v>881</v>
      </c>
      <c r="B24" s="640" t="s">
        <v>97</v>
      </c>
      <c r="C24" s="629">
        <v>0.3</v>
      </c>
      <c r="D24" s="641" t="s">
        <v>868</v>
      </c>
      <c r="E24" s="629">
        <v>645.0</v>
      </c>
      <c r="F24" s="643" t="s">
        <v>890</v>
      </c>
      <c r="G24" s="631">
        <f t="shared" si="2"/>
        <v>193.5</v>
      </c>
      <c r="H24" s="473"/>
      <c r="I24" s="473"/>
    </row>
    <row r="25">
      <c r="A25" s="632"/>
      <c r="B25" s="633" t="s">
        <v>990</v>
      </c>
      <c r="C25" s="629"/>
      <c r="D25" s="629"/>
      <c r="E25" s="629"/>
      <c r="F25" s="630"/>
      <c r="G25" s="631">
        <f>SUM(G23:G24)</f>
        <v>428.7</v>
      </c>
      <c r="H25" s="473"/>
      <c r="I25" s="473"/>
    </row>
    <row r="26">
      <c r="A26" s="632"/>
      <c r="B26" s="633" t="s">
        <v>908</v>
      </c>
      <c r="C26" s="629"/>
      <c r="D26" s="629"/>
      <c r="E26" s="629"/>
      <c r="F26" s="630"/>
      <c r="G26" s="631">
        <f>G25*0.01</f>
        <v>4.287</v>
      </c>
      <c r="H26" s="473"/>
      <c r="I26" s="473"/>
    </row>
    <row r="27">
      <c r="A27" s="632"/>
      <c r="B27" s="633" t="s">
        <v>37</v>
      </c>
      <c r="C27" s="629"/>
      <c r="D27" s="629"/>
      <c r="E27" s="629"/>
      <c r="F27" s="630"/>
      <c r="G27" s="631">
        <f>SUM(G25:G26)</f>
        <v>432.987</v>
      </c>
      <c r="H27" s="473"/>
      <c r="I27" s="473"/>
    </row>
    <row r="28">
      <c r="A28" s="632"/>
      <c r="B28" s="633" t="s">
        <v>912</v>
      </c>
      <c r="C28" s="629"/>
      <c r="D28" s="629"/>
      <c r="E28" s="629"/>
      <c r="F28" s="630"/>
      <c r="G28" s="631">
        <f>G27*15%</f>
        <v>64.94805</v>
      </c>
      <c r="H28" s="473"/>
      <c r="I28" s="473"/>
    </row>
    <row r="29">
      <c r="A29" s="632"/>
      <c r="B29" s="634" t="s">
        <v>2159</v>
      </c>
      <c r="C29" s="635"/>
      <c r="D29" s="636"/>
      <c r="E29" s="636"/>
      <c r="F29" s="637"/>
      <c r="G29" s="638">
        <f>round(SUM(G27:G28),2)</f>
        <v>497.94</v>
      </c>
      <c r="H29" s="639"/>
      <c r="I29" s="639"/>
    </row>
    <row r="30">
      <c r="A30" s="218" t="str">
        <f>CONCATENATE("Say ₹ ",G22," + ",G29," x Cost Index")</f>
        <v>Say ₹ 30779.75 + 497.94 x Cost Index</v>
      </c>
      <c r="B30" s="2"/>
      <c r="C30" s="2"/>
      <c r="D30" s="2"/>
      <c r="E30" s="2"/>
      <c r="F30" s="2"/>
      <c r="G30" s="3"/>
      <c r="H30" s="622">
        <f>G18*1.01*1.15</f>
        <v>30779.75</v>
      </c>
      <c r="I30" s="622">
        <f>SUM(G23:G24)*1.01*1.15</f>
        <v>497.93505</v>
      </c>
    </row>
    <row r="31">
      <c r="A31" s="623" t="s">
        <v>2193</v>
      </c>
      <c r="B31" s="625" t="s">
        <v>2194</v>
      </c>
      <c r="C31" s="2"/>
      <c r="D31" s="2"/>
      <c r="E31" s="2"/>
      <c r="F31" s="2"/>
      <c r="G31" s="193"/>
      <c r="H31" s="626"/>
      <c r="I31" s="626"/>
    </row>
    <row r="32">
      <c r="A32" s="644" t="s">
        <v>864</v>
      </c>
      <c r="B32" s="628" t="s">
        <v>2196</v>
      </c>
      <c r="C32" s="629">
        <v>1.0</v>
      </c>
      <c r="D32" s="629" t="s">
        <v>1117</v>
      </c>
      <c r="E32" s="629">
        <v>36000.0</v>
      </c>
      <c r="F32" s="630" t="s">
        <v>2151</v>
      </c>
      <c r="G32" s="631">
        <f>E32*C32</f>
        <v>36000</v>
      </c>
      <c r="H32" s="473"/>
      <c r="I32" s="473"/>
    </row>
    <row r="33">
      <c r="A33" s="632"/>
      <c r="B33" s="633" t="s">
        <v>908</v>
      </c>
      <c r="C33" s="629"/>
      <c r="D33" s="629"/>
      <c r="E33" s="629"/>
      <c r="F33" s="630"/>
      <c r="G33" s="631">
        <f>G32*1%</f>
        <v>360</v>
      </c>
      <c r="H33" s="473"/>
      <c r="I33" s="473"/>
    </row>
    <row r="34">
      <c r="A34" s="632"/>
      <c r="B34" s="633" t="s">
        <v>37</v>
      </c>
      <c r="C34" s="629"/>
      <c r="D34" s="629"/>
      <c r="E34" s="629"/>
      <c r="F34" s="630"/>
      <c r="G34" s="631">
        <f>SUM(G32:G33)</f>
        <v>36360</v>
      </c>
      <c r="H34" s="473"/>
      <c r="I34" s="473"/>
    </row>
    <row r="35">
      <c r="A35" s="632"/>
      <c r="B35" s="633" t="s">
        <v>912</v>
      </c>
      <c r="C35" s="629"/>
      <c r="D35" s="629"/>
      <c r="E35" s="629"/>
      <c r="F35" s="630"/>
      <c r="G35" s="631">
        <f>G34*15%</f>
        <v>5454</v>
      </c>
      <c r="H35" s="473"/>
      <c r="I35" s="473"/>
    </row>
    <row r="36">
      <c r="A36" s="632"/>
      <c r="B36" s="634" t="s">
        <v>2159</v>
      </c>
      <c r="C36" s="635"/>
      <c r="D36" s="636"/>
      <c r="E36" s="636"/>
      <c r="F36" s="637"/>
      <c r="G36" s="638">
        <f>round(SUM(G34:G35),2)</f>
        <v>41814</v>
      </c>
      <c r="H36" s="639"/>
      <c r="I36" s="639"/>
    </row>
    <row r="37">
      <c r="A37" s="627" t="s">
        <v>879</v>
      </c>
      <c r="B37" s="640" t="s">
        <v>888</v>
      </c>
      <c r="C37" s="629">
        <v>0.3</v>
      </c>
      <c r="D37" s="641" t="s">
        <v>868</v>
      </c>
      <c r="E37" s="629">
        <v>784.0</v>
      </c>
      <c r="F37" s="643" t="s">
        <v>890</v>
      </c>
      <c r="G37" s="631">
        <f t="shared" ref="G37:G38" si="3">C37*E37</f>
        <v>235.2</v>
      </c>
      <c r="H37" s="473"/>
      <c r="I37" s="473"/>
    </row>
    <row r="38">
      <c r="A38" s="627" t="s">
        <v>881</v>
      </c>
      <c r="B38" s="640" t="s">
        <v>97</v>
      </c>
      <c r="C38" s="629">
        <v>0.3</v>
      </c>
      <c r="D38" s="641" t="s">
        <v>868</v>
      </c>
      <c r="E38" s="629">
        <v>645.0</v>
      </c>
      <c r="F38" s="643" t="s">
        <v>890</v>
      </c>
      <c r="G38" s="631">
        <f t="shared" si="3"/>
        <v>193.5</v>
      </c>
      <c r="H38" s="473"/>
      <c r="I38" s="473"/>
    </row>
    <row r="39">
      <c r="A39" s="632"/>
      <c r="B39" s="633" t="s">
        <v>990</v>
      </c>
      <c r="C39" s="629"/>
      <c r="D39" s="629"/>
      <c r="E39" s="629"/>
      <c r="F39" s="630"/>
      <c r="G39" s="631">
        <f>SUM(G37:G38)</f>
        <v>428.7</v>
      </c>
      <c r="H39" s="473"/>
      <c r="I39" s="473"/>
    </row>
    <row r="40">
      <c r="A40" s="632"/>
      <c r="B40" s="633" t="s">
        <v>908</v>
      </c>
      <c r="C40" s="629"/>
      <c r="D40" s="629"/>
      <c r="E40" s="629"/>
      <c r="F40" s="630"/>
      <c r="G40" s="631">
        <f>G39*0.01</f>
        <v>4.287</v>
      </c>
      <c r="H40" s="473"/>
      <c r="I40" s="473"/>
    </row>
    <row r="41">
      <c r="A41" s="632"/>
      <c r="B41" s="633" t="s">
        <v>37</v>
      </c>
      <c r="C41" s="629"/>
      <c r="D41" s="629"/>
      <c r="E41" s="629"/>
      <c r="F41" s="630"/>
      <c r="G41" s="631">
        <f>SUM(G39:G40)</f>
        <v>432.987</v>
      </c>
      <c r="H41" s="473"/>
      <c r="I41" s="473"/>
    </row>
    <row r="42">
      <c r="A42" s="632"/>
      <c r="B42" s="633" t="s">
        <v>912</v>
      </c>
      <c r="C42" s="629"/>
      <c r="D42" s="629"/>
      <c r="E42" s="629"/>
      <c r="F42" s="630"/>
      <c r="G42" s="631">
        <f>G41*15%</f>
        <v>64.94805</v>
      </c>
      <c r="H42" s="473"/>
      <c r="I42" s="473"/>
    </row>
    <row r="43">
      <c r="A43" s="632"/>
      <c r="B43" s="634" t="s">
        <v>2159</v>
      </c>
      <c r="C43" s="635"/>
      <c r="D43" s="636"/>
      <c r="E43" s="636"/>
      <c r="F43" s="637"/>
      <c r="G43" s="638">
        <f>round(SUM(G41:G42),2)</f>
        <v>497.94</v>
      </c>
      <c r="H43" s="639"/>
      <c r="I43" s="639"/>
    </row>
    <row r="44">
      <c r="A44" s="218" t="str">
        <f>CONCATENATE("Say ₹ ",G36," + ",G43," x Cost Index")</f>
        <v>Say ₹ 41814 + 497.94 x Cost Index</v>
      </c>
      <c r="B44" s="2"/>
      <c r="C44" s="2"/>
      <c r="D44" s="2"/>
      <c r="E44" s="2"/>
      <c r="F44" s="2"/>
      <c r="G44" s="3"/>
      <c r="H44" s="622">
        <f>G32*1.01*1.15</f>
        <v>41814</v>
      </c>
      <c r="I44" s="622">
        <f>SUM(G37:G38)*1.01*1.15</f>
        <v>497.93505</v>
      </c>
    </row>
    <row r="45">
      <c r="A45" s="623" t="s">
        <v>2211</v>
      </c>
      <c r="B45" s="625" t="s">
        <v>2212</v>
      </c>
      <c r="C45" s="2"/>
      <c r="D45" s="2"/>
      <c r="E45" s="2"/>
      <c r="F45" s="2"/>
      <c r="G45" s="193"/>
      <c r="H45" s="626"/>
      <c r="I45" s="626"/>
    </row>
    <row r="46">
      <c r="A46" s="644" t="s">
        <v>864</v>
      </c>
      <c r="B46" s="628" t="s">
        <v>2213</v>
      </c>
      <c r="C46" s="629">
        <v>1.0</v>
      </c>
      <c r="D46" s="629" t="s">
        <v>1117</v>
      </c>
      <c r="E46" s="629">
        <v>40500.0</v>
      </c>
      <c r="F46" s="630" t="s">
        <v>2151</v>
      </c>
      <c r="G46" s="631">
        <f>E46*C46</f>
        <v>40500</v>
      </c>
      <c r="H46" s="473"/>
      <c r="I46" s="473"/>
    </row>
    <row r="47">
      <c r="A47" s="632"/>
      <c r="B47" s="633" t="s">
        <v>908</v>
      </c>
      <c r="C47" s="629"/>
      <c r="D47" s="629"/>
      <c r="E47" s="629"/>
      <c r="F47" s="630"/>
      <c r="G47" s="631">
        <f>G46*1%</f>
        <v>405</v>
      </c>
      <c r="H47" s="473"/>
      <c r="I47" s="473"/>
    </row>
    <row r="48">
      <c r="A48" s="632"/>
      <c r="B48" s="633" t="s">
        <v>37</v>
      </c>
      <c r="C48" s="629"/>
      <c r="D48" s="629"/>
      <c r="E48" s="629"/>
      <c r="F48" s="630"/>
      <c r="G48" s="631">
        <f>SUM(G46:G47)</f>
        <v>40905</v>
      </c>
      <c r="H48" s="473"/>
      <c r="I48" s="473"/>
    </row>
    <row r="49">
      <c r="A49" s="632"/>
      <c r="B49" s="633" t="s">
        <v>912</v>
      </c>
      <c r="C49" s="629"/>
      <c r="D49" s="629"/>
      <c r="E49" s="629"/>
      <c r="F49" s="630"/>
      <c r="G49" s="631">
        <f>G48*15%</f>
        <v>6135.75</v>
      </c>
      <c r="H49" s="473"/>
      <c r="I49" s="473"/>
    </row>
    <row r="50">
      <c r="A50" s="632"/>
      <c r="B50" s="634" t="s">
        <v>2159</v>
      </c>
      <c r="C50" s="635"/>
      <c r="D50" s="636"/>
      <c r="E50" s="636"/>
      <c r="F50" s="637"/>
      <c r="G50" s="638">
        <f>round(SUM(G48:G49),2)</f>
        <v>47040.75</v>
      </c>
      <c r="H50" s="639"/>
      <c r="I50" s="639"/>
    </row>
    <row r="51">
      <c r="A51" s="627" t="s">
        <v>879</v>
      </c>
      <c r="B51" s="640" t="s">
        <v>888</v>
      </c>
      <c r="C51" s="629">
        <v>0.3</v>
      </c>
      <c r="D51" s="641" t="s">
        <v>868</v>
      </c>
      <c r="E51" s="629">
        <v>784.0</v>
      </c>
      <c r="F51" s="643" t="s">
        <v>890</v>
      </c>
      <c r="G51" s="631">
        <f t="shared" ref="G51:G52" si="4">C51*E51</f>
        <v>235.2</v>
      </c>
      <c r="H51" s="473"/>
      <c r="I51" s="473"/>
    </row>
    <row r="52">
      <c r="A52" s="627" t="s">
        <v>881</v>
      </c>
      <c r="B52" s="640" t="s">
        <v>97</v>
      </c>
      <c r="C52" s="629">
        <v>0.3</v>
      </c>
      <c r="D52" s="641" t="s">
        <v>868</v>
      </c>
      <c r="E52" s="629">
        <v>645.0</v>
      </c>
      <c r="F52" s="643" t="s">
        <v>890</v>
      </c>
      <c r="G52" s="631">
        <f t="shared" si="4"/>
        <v>193.5</v>
      </c>
      <c r="H52" s="473"/>
      <c r="I52" s="473"/>
    </row>
    <row r="53">
      <c r="A53" s="632"/>
      <c r="B53" s="633" t="s">
        <v>990</v>
      </c>
      <c r="C53" s="629"/>
      <c r="D53" s="629"/>
      <c r="E53" s="629"/>
      <c r="F53" s="630"/>
      <c r="G53" s="631">
        <f>SUM(G51:G52)</f>
        <v>428.7</v>
      </c>
      <c r="H53" s="473"/>
      <c r="I53" s="473"/>
    </row>
    <row r="54">
      <c r="A54" s="632"/>
      <c r="B54" s="633" t="s">
        <v>908</v>
      </c>
      <c r="C54" s="629"/>
      <c r="D54" s="629"/>
      <c r="E54" s="629"/>
      <c r="F54" s="630"/>
      <c r="G54" s="631">
        <f>G53*0.01</f>
        <v>4.287</v>
      </c>
      <c r="H54" s="473"/>
      <c r="I54" s="473"/>
    </row>
    <row r="55">
      <c r="A55" s="632"/>
      <c r="B55" s="633" t="s">
        <v>37</v>
      </c>
      <c r="C55" s="629"/>
      <c r="D55" s="629"/>
      <c r="E55" s="629"/>
      <c r="F55" s="630"/>
      <c r="G55" s="631">
        <f>SUM(G53:G54)</f>
        <v>432.987</v>
      </c>
      <c r="H55" s="473"/>
      <c r="I55" s="473"/>
    </row>
    <row r="56">
      <c r="A56" s="632"/>
      <c r="B56" s="633" t="s">
        <v>912</v>
      </c>
      <c r="C56" s="629"/>
      <c r="D56" s="629"/>
      <c r="E56" s="629"/>
      <c r="F56" s="630"/>
      <c r="G56" s="631">
        <f>G55*15%</f>
        <v>64.94805</v>
      </c>
      <c r="H56" s="473"/>
      <c r="I56" s="473"/>
    </row>
    <row r="57">
      <c r="A57" s="632"/>
      <c r="B57" s="634" t="s">
        <v>2159</v>
      </c>
      <c r="C57" s="635"/>
      <c r="D57" s="636"/>
      <c r="E57" s="636"/>
      <c r="F57" s="637"/>
      <c r="G57" s="638">
        <f>round(SUM(G55:G56),2)</f>
        <v>497.94</v>
      </c>
      <c r="H57" s="639"/>
      <c r="I57" s="639"/>
    </row>
    <row r="58">
      <c r="A58" s="218" t="str">
        <f>CONCATENATE("Say ₹ ",G50," + ",G57," x Cost Index")</f>
        <v>Say ₹ 47040.75 + 497.94 x Cost Index</v>
      </c>
      <c r="B58" s="2"/>
      <c r="C58" s="2"/>
      <c r="D58" s="2"/>
      <c r="E58" s="2"/>
      <c r="F58" s="2"/>
      <c r="G58" s="3"/>
      <c r="H58" s="622">
        <f>G46*1.01*1.15</f>
        <v>47040.75</v>
      </c>
      <c r="I58" s="622">
        <f>SUM(G51:G52)*1.01*1.15</f>
        <v>497.93505</v>
      </c>
    </row>
    <row r="59">
      <c r="A59" s="623" t="s">
        <v>2215</v>
      </c>
      <c r="B59" s="625" t="s">
        <v>2216</v>
      </c>
      <c r="C59" s="2"/>
      <c r="D59" s="2"/>
      <c r="E59" s="2"/>
      <c r="F59" s="2"/>
      <c r="G59" s="193"/>
      <c r="H59" s="626"/>
      <c r="I59" s="626"/>
    </row>
    <row r="60">
      <c r="A60" s="644" t="s">
        <v>864</v>
      </c>
      <c r="B60" s="628" t="s">
        <v>2217</v>
      </c>
      <c r="C60" s="629">
        <v>1.0</v>
      </c>
      <c r="D60" s="629" t="s">
        <v>1117</v>
      </c>
      <c r="E60" s="629">
        <v>49000.0</v>
      </c>
      <c r="F60" s="630" t="s">
        <v>2151</v>
      </c>
      <c r="G60" s="631">
        <f>E60*C60</f>
        <v>49000</v>
      </c>
      <c r="H60" s="473"/>
      <c r="I60" s="473"/>
    </row>
    <row r="61">
      <c r="A61" s="632"/>
      <c r="B61" s="633" t="s">
        <v>908</v>
      </c>
      <c r="C61" s="629"/>
      <c r="D61" s="629"/>
      <c r="E61" s="629"/>
      <c r="F61" s="630"/>
      <c r="G61" s="631">
        <f>G60*1%</f>
        <v>490</v>
      </c>
      <c r="H61" s="473"/>
      <c r="I61" s="473"/>
    </row>
    <row r="62">
      <c r="A62" s="632"/>
      <c r="B62" s="633" t="s">
        <v>37</v>
      </c>
      <c r="C62" s="629"/>
      <c r="D62" s="629"/>
      <c r="E62" s="629"/>
      <c r="F62" s="630"/>
      <c r="G62" s="631">
        <f>SUM(G60:G61)</f>
        <v>49490</v>
      </c>
      <c r="H62" s="473"/>
      <c r="I62" s="473"/>
    </row>
    <row r="63">
      <c r="A63" s="632"/>
      <c r="B63" s="633" t="s">
        <v>912</v>
      </c>
      <c r="C63" s="629"/>
      <c r="D63" s="629"/>
      <c r="E63" s="629"/>
      <c r="F63" s="630"/>
      <c r="G63" s="631">
        <f>G62*15%</f>
        <v>7423.5</v>
      </c>
      <c r="H63" s="473"/>
      <c r="I63" s="473"/>
    </row>
    <row r="64">
      <c r="A64" s="632"/>
      <c r="B64" s="634" t="s">
        <v>2159</v>
      </c>
      <c r="C64" s="635"/>
      <c r="D64" s="636"/>
      <c r="E64" s="636"/>
      <c r="F64" s="637"/>
      <c r="G64" s="638">
        <f>round(SUM(G62:G63),2)</f>
        <v>56913.5</v>
      </c>
      <c r="H64" s="639"/>
      <c r="I64" s="639"/>
    </row>
    <row r="65">
      <c r="A65" s="627" t="s">
        <v>879</v>
      </c>
      <c r="B65" s="640" t="s">
        <v>888</v>
      </c>
      <c r="C65" s="629">
        <v>0.3</v>
      </c>
      <c r="D65" s="641" t="s">
        <v>868</v>
      </c>
      <c r="E65" s="629">
        <v>784.0</v>
      </c>
      <c r="F65" s="643" t="s">
        <v>890</v>
      </c>
      <c r="G65" s="631">
        <f t="shared" ref="G65:G66" si="5">C65*E65</f>
        <v>235.2</v>
      </c>
      <c r="H65" s="473"/>
      <c r="I65" s="473"/>
    </row>
    <row r="66">
      <c r="A66" s="627" t="s">
        <v>881</v>
      </c>
      <c r="B66" s="640" t="s">
        <v>97</v>
      </c>
      <c r="C66" s="641">
        <v>0.4</v>
      </c>
      <c r="D66" s="641" t="s">
        <v>868</v>
      </c>
      <c r="E66" s="629">
        <v>645.0</v>
      </c>
      <c r="F66" s="643" t="s">
        <v>890</v>
      </c>
      <c r="G66" s="631">
        <f t="shared" si="5"/>
        <v>258</v>
      </c>
      <c r="H66" s="473"/>
      <c r="I66" s="473"/>
    </row>
    <row r="67">
      <c r="A67" s="632"/>
      <c r="B67" s="633" t="s">
        <v>990</v>
      </c>
      <c r="C67" s="629"/>
      <c r="D67" s="629"/>
      <c r="E67" s="629"/>
      <c r="F67" s="630"/>
      <c r="G67" s="631">
        <f>SUM(G65:G66)</f>
        <v>493.2</v>
      </c>
      <c r="H67" s="473"/>
      <c r="I67" s="473"/>
    </row>
    <row r="68">
      <c r="A68" s="632"/>
      <c r="B68" s="633" t="s">
        <v>908</v>
      </c>
      <c r="C68" s="629"/>
      <c r="D68" s="629"/>
      <c r="E68" s="629"/>
      <c r="F68" s="630"/>
      <c r="G68" s="631">
        <f>G67*0.01</f>
        <v>4.932</v>
      </c>
      <c r="H68" s="473"/>
      <c r="I68" s="473"/>
    </row>
    <row r="69">
      <c r="A69" s="632"/>
      <c r="B69" s="633" t="s">
        <v>37</v>
      </c>
      <c r="C69" s="629"/>
      <c r="D69" s="629"/>
      <c r="E69" s="629"/>
      <c r="F69" s="630"/>
      <c r="G69" s="631">
        <f>SUM(G67:G68)</f>
        <v>498.132</v>
      </c>
      <c r="H69" s="473"/>
      <c r="I69" s="473"/>
    </row>
    <row r="70">
      <c r="A70" s="632"/>
      <c r="B70" s="633" t="s">
        <v>912</v>
      </c>
      <c r="C70" s="629"/>
      <c r="D70" s="629"/>
      <c r="E70" s="629"/>
      <c r="F70" s="630"/>
      <c r="G70" s="631">
        <f>G69*15%</f>
        <v>74.7198</v>
      </c>
      <c r="H70" s="473"/>
      <c r="I70" s="473"/>
    </row>
    <row r="71">
      <c r="A71" s="632"/>
      <c r="B71" s="634" t="s">
        <v>2159</v>
      </c>
      <c r="C71" s="635"/>
      <c r="D71" s="636"/>
      <c r="E71" s="636"/>
      <c r="F71" s="637"/>
      <c r="G71" s="638">
        <f>round(SUM(G69:G70),2)</f>
        <v>572.85</v>
      </c>
      <c r="H71" s="639"/>
      <c r="I71" s="639"/>
    </row>
    <row r="72">
      <c r="A72" s="218" t="str">
        <f>CONCATENATE("Say ₹ ",G64," + ",G71," x Cost Index")</f>
        <v>Say ₹ 56913.5 + 572.85 x Cost Index</v>
      </c>
      <c r="B72" s="2"/>
      <c r="C72" s="2"/>
      <c r="D72" s="2"/>
      <c r="E72" s="2"/>
      <c r="F72" s="2"/>
      <c r="G72" s="3"/>
      <c r="H72" s="622">
        <f>G60*1.01*1.15</f>
        <v>56913.5</v>
      </c>
      <c r="I72" s="622">
        <f>SUM(G65:G66)*1.01*1.15</f>
        <v>572.8518</v>
      </c>
    </row>
    <row r="73">
      <c r="A73" s="623" t="s">
        <v>2224</v>
      </c>
      <c r="B73" s="625" t="s">
        <v>2225</v>
      </c>
      <c r="C73" s="2"/>
      <c r="D73" s="2"/>
      <c r="E73" s="2"/>
      <c r="F73" s="2"/>
      <c r="G73" s="193"/>
      <c r="H73" s="626"/>
      <c r="I73" s="626"/>
    </row>
    <row r="74">
      <c r="A74" s="644" t="s">
        <v>864</v>
      </c>
      <c r="B74" s="628" t="s">
        <v>2227</v>
      </c>
      <c r="C74" s="629">
        <v>1.0</v>
      </c>
      <c r="D74" s="629" t="s">
        <v>1117</v>
      </c>
      <c r="E74" s="629">
        <v>62000.0</v>
      </c>
      <c r="F74" s="630" t="s">
        <v>2151</v>
      </c>
      <c r="G74" s="631">
        <f>E74*C74</f>
        <v>62000</v>
      </c>
      <c r="H74" s="473"/>
      <c r="I74" s="473"/>
    </row>
    <row r="75">
      <c r="A75" s="632"/>
      <c r="B75" s="633" t="s">
        <v>908</v>
      </c>
      <c r="C75" s="629"/>
      <c r="D75" s="629"/>
      <c r="E75" s="629"/>
      <c r="F75" s="630"/>
      <c r="G75" s="631">
        <f>G74*1%</f>
        <v>620</v>
      </c>
      <c r="H75" s="473"/>
      <c r="I75" s="473"/>
    </row>
    <row r="76">
      <c r="A76" s="632"/>
      <c r="B76" s="633" t="s">
        <v>37</v>
      </c>
      <c r="C76" s="629"/>
      <c r="D76" s="629"/>
      <c r="E76" s="629"/>
      <c r="F76" s="630"/>
      <c r="G76" s="631">
        <f>SUM(G74:G75)</f>
        <v>62620</v>
      </c>
      <c r="H76" s="473"/>
      <c r="I76" s="473"/>
    </row>
    <row r="77">
      <c r="A77" s="632"/>
      <c r="B77" s="633" t="s">
        <v>912</v>
      </c>
      <c r="C77" s="629"/>
      <c r="D77" s="629"/>
      <c r="E77" s="629"/>
      <c r="F77" s="630"/>
      <c r="G77" s="631">
        <f>G76*15%</f>
        <v>9393</v>
      </c>
      <c r="H77" s="473"/>
      <c r="I77" s="473"/>
    </row>
    <row r="78">
      <c r="A78" s="632"/>
      <c r="B78" s="634" t="s">
        <v>2159</v>
      </c>
      <c r="C78" s="635"/>
      <c r="D78" s="636"/>
      <c r="E78" s="636"/>
      <c r="F78" s="637"/>
      <c r="G78" s="638">
        <f>round(SUM(G76:G77),2)</f>
        <v>72013</v>
      </c>
      <c r="H78" s="639"/>
      <c r="I78" s="639"/>
    </row>
    <row r="79">
      <c r="A79" s="627" t="s">
        <v>879</v>
      </c>
      <c r="B79" s="640" t="s">
        <v>888</v>
      </c>
      <c r="C79" s="641">
        <v>0.5</v>
      </c>
      <c r="D79" s="641" t="s">
        <v>868</v>
      </c>
      <c r="E79" s="629">
        <v>784.0</v>
      </c>
      <c r="F79" s="643" t="s">
        <v>890</v>
      </c>
      <c r="G79" s="631">
        <f t="shared" ref="G79:G80" si="6">C79*E79</f>
        <v>392</v>
      </c>
      <c r="H79" s="473"/>
      <c r="I79" s="473"/>
    </row>
    <row r="80">
      <c r="A80" s="627" t="s">
        <v>881</v>
      </c>
      <c r="B80" s="640" t="s">
        <v>97</v>
      </c>
      <c r="C80" s="641">
        <v>0.4</v>
      </c>
      <c r="D80" s="641" t="s">
        <v>868</v>
      </c>
      <c r="E80" s="629">
        <v>645.0</v>
      </c>
      <c r="F80" s="643" t="s">
        <v>890</v>
      </c>
      <c r="G80" s="631">
        <f t="shared" si="6"/>
        <v>258</v>
      </c>
      <c r="H80" s="473"/>
      <c r="I80" s="473"/>
    </row>
    <row r="81">
      <c r="A81" s="632"/>
      <c r="B81" s="633" t="s">
        <v>990</v>
      </c>
      <c r="C81" s="629"/>
      <c r="D81" s="629"/>
      <c r="E81" s="629"/>
      <c r="F81" s="630"/>
      <c r="G81" s="631">
        <f>SUM(G79:G80)</f>
        <v>650</v>
      </c>
      <c r="H81" s="473"/>
      <c r="I81" s="473"/>
    </row>
    <row r="82">
      <c r="A82" s="632"/>
      <c r="B82" s="633" t="s">
        <v>908</v>
      </c>
      <c r="C82" s="629"/>
      <c r="D82" s="629"/>
      <c r="E82" s="629"/>
      <c r="F82" s="630"/>
      <c r="G82" s="631">
        <f>G81*0.01</f>
        <v>6.5</v>
      </c>
      <c r="H82" s="473"/>
      <c r="I82" s="473"/>
    </row>
    <row r="83">
      <c r="A83" s="632"/>
      <c r="B83" s="633" t="s">
        <v>37</v>
      </c>
      <c r="C83" s="629"/>
      <c r="D83" s="629"/>
      <c r="E83" s="629"/>
      <c r="F83" s="630"/>
      <c r="G83" s="631">
        <f>SUM(G81:G82)</f>
        <v>656.5</v>
      </c>
      <c r="H83" s="473"/>
      <c r="I83" s="473"/>
    </row>
    <row r="84">
      <c r="A84" s="632"/>
      <c r="B84" s="633" t="s">
        <v>912</v>
      </c>
      <c r="C84" s="629"/>
      <c r="D84" s="629"/>
      <c r="E84" s="629"/>
      <c r="F84" s="630"/>
      <c r="G84" s="631">
        <f>G83*15%</f>
        <v>98.475</v>
      </c>
      <c r="H84" s="473"/>
      <c r="I84" s="473"/>
    </row>
    <row r="85">
      <c r="A85" s="632"/>
      <c r="B85" s="634" t="s">
        <v>2159</v>
      </c>
      <c r="C85" s="635"/>
      <c r="D85" s="636"/>
      <c r="E85" s="636"/>
      <c r="F85" s="637"/>
      <c r="G85" s="638">
        <f>round(SUM(G83:G84),2)</f>
        <v>754.98</v>
      </c>
      <c r="H85" s="639"/>
      <c r="I85" s="639"/>
    </row>
    <row r="86">
      <c r="A86" s="218" t="str">
        <f>CONCATENATE("Say ₹ ",G78," + ",G85," x Cost Index")</f>
        <v>Say ₹ 72013 + 754.98 x Cost Index</v>
      </c>
      <c r="B86" s="2"/>
      <c r="C86" s="2"/>
      <c r="D86" s="2"/>
      <c r="E86" s="2"/>
      <c r="F86" s="2"/>
      <c r="G86" s="3"/>
      <c r="H86" s="622">
        <f>G74*1.01*1.15</f>
        <v>72013</v>
      </c>
      <c r="I86" s="622">
        <f>SUM(G79:G80)*1.01*1.15</f>
        <v>754.975</v>
      </c>
    </row>
    <row r="87">
      <c r="A87" s="623" t="s">
        <v>2233</v>
      </c>
      <c r="B87" s="625" t="s">
        <v>2234</v>
      </c>
      <c r="C87" s="2"/>
      <c r="D87" s="2"/>
      <c r="E87" s="2"/>
      <c r="F87" s="2"/>
      <c r="G87" s="193"/>
      <c r="H87" s="626"/>
      <c r="I87" s="626"/>
    </row>
    <row r="88">
      <c r="A88" s="644" t="s">
        <v>864</v>
      </c>
      <c r="B88" s="628" t="s">
        <v>2235</v>
      </c>
      <c r="C88" s="629">
        <v>1.0</v>
      </c>
      <c r="D88" s="629" t="s">
        <v>1117</v>
      </c>
      <c r="E88" s="629">
        <v>83000.0</v>
      </c>
      <c r="F88" s="630" t="s">
        <v>2151</v>
      </c>
      <c r="G88" s="631">
        <f>E88*C88</f>
        <v>83000</v>
      </c>
      <c r="H88" s="473"/>
      <c r="I88" s="473"/>
    </row>
    <row r="89">
      <c r="A89" s="632"/>
      <c r="B89" s="633" t="s">
        <v>908</v>
      </c>
      <c r="C89" s="629"/>
      <c r="D89" s="629"/>
      <c r="E89" s="629"/>
      <c r="F89" s="630"/>
      <c r="G89" s="631">
        <f>G88*1%</f>
        <v>830</v>
      </c>
      <c r="H89" s="473"/>
      <c r="I89" s="473"/>
    </row>
    <row r="90">
      <c r="A90" s="632"/>
      <c r="B90" s="633" t="s">
        <v>37</v>
      </c>
      <c r="C90" s="629"/>
      <c r="D90" s="629"/>
      <c r="E90" s="629"/>
      <c r="F90" s="630"/>
      <c r="G90" s="631">
        <f>SUM(G88:G89)</f>
        <v>83830</v>
      </c>
      <c r="H90" s="473"/>
      <c r="I90" s="473"/>
    </row>
    <row r="91">
      <c r="A91" s="632"/>
      <c r="B91" s="633" t="s">
        <v>912</v>
      </c>
      <c r="C91" s="629"/>
      <c r="D91" s="629"/>
      <c r="E91" s="629"/>
      <c r="F91" s="630"/>
      <c r="G91" s="631">
        <f>G90*15%</f>
        <v>12574.5</v>
      </c>
      <c r="H91" s="473"/>
      <c r="I91" s="473"/>
    </row>
    <row r="92">
      <c r="A92" s="632"/>
      <c r="B92" s="634" t="s">
        <v>2159</v>
      </c>
      <c r="C92" s="635"/>
      <c r="D92" s="636"/>
      <c r="E92" s="636"/>
      <c r="F92" s="637"/>
      <c r="G92" s="638">
        <f>round(SUM(G90:G91),2)</f>
        <v>96404.5</v>
      </c>
      <c r="H92" s="639"/>
      <c r="I92" s="639"/>
    </row>
    <row r="93">
      <c r="A93" s="627" t="s">
        <v>879</v>
      </c>
      <c r="B93" s="640" t="s">
        <v>888</v>
      </c>
      <c r="C93" s="641">
        <v>0.5</v>
      </c>
      <c r="D93" s="641" t="s">
        <v>868</v>
      </c>
      <c r="E93" s="629">
        <v>784.0</v>
      </c>
      <c r="F93" s="643" t="s">
        <v>890</v>
      </c>
      <c r="G93" s="631">
        <f t="shared" ref="G93:G94" si="7">C93*E93</f>
        <v>392</v>
      </c>
      <c r="H93" s="473"/>
      <c r="I93" s="473"/>
    </row>
    <row r="94">
      <c r="A94" s="627" t="s">
        <v>881</v>
      </c>
      <c r="B94" s="640" t="s">
        <v>97</v>
      </c>
      <c r="C94" s="641">
        <v>0.4</v>
      </c>
      <c r="D94" s="641" t="s">
        <v>868</v>
      </c>
      <c r="E94" s="629">
        <v>645.0</v>
      </c>
      <c r="F94" s="643" t="s">
        <v>890</v>
      </c>
      <c r="G94" s="631">
        <f t="shared" si="7"/>
        <v>258</v>
      </c>
      <c r="H94" s="473"/>
      <c r="I94" s="473"/>
    </row>
    <row r="95">
      <c r="A95" s="632"/>
      <c r="B95" s="633" t="s">
        <v>990</v>
      </c>
      <c r="C95" s="629"/>
      <c r="D95" s="629"/>
      <c r="E95" s="629"/>
      <c r="F95" s="630"/>
      <c r="G95" s="631">
        <f>SUM(G93:G94)</f>
        <v>650</v>
      </c>
      <c r="H95" s="473"/>
      <c r="I95" s="473"/>
    </row>
    <row r="96">
      <c r="A96" s="632"/>
      <c r="B96" s="633" t="s">
        <v>908</v>
      </c>
      <c r="C96" s="629"/>
      <c r="D96" s="629"/>
      <c r="E96" s="629"/>
      <c r="F96" s="630"/>
      <c r="G96" s="631">
        <f>G95*0.01</f>
        <v>6.5</v>
      </c>
      <c r="H96" s="473"/>
      <c r="I96" s="473"/>
    </row>
    <row r="97">
      <c r="A97" s="632"/>
      <c r="B97" s="633" t="s">
        <v>37</v>
      </c>
      <c r="C97" s="629"/>
      <c r="D97" s="629"/>
      <c r="E97" s="629"/>
      <c r="F97" s="630"/>
      <c r="G97" s="631">
        <f>SUM(G95:G96)</f>
        <v>656.5</v>
      </c>
      <c r="H97" s="473"/>
      <c r="I97" s="473"/>
    </row>
    <row r="98">
      <c r="A98" s="632"/>
      <c r="B98" s="633" t="s">
        <v>912</v>
      </c>
      <c r="C98" s="629"/>
      <c r="D98" s="629"/>
      <c r="E98" s="629"/>
      <c r="F98" s="630"/>
      <c r="G98" s="631">
        <f>G97*15%</f>
        <v>98.475</v>
      </c>
      <c r="H98" s="473"/>
      <c r="I98" s="473"/>
    </row>
    <row r="99">
      <c r="A99" s="632"/>
      <c r="B99" s="634" t="s">
        <v>2159</v>
      </c>
      <c r="C99" s="635"/>
      <c r="D99" s="636"/>
      <c r="E99" s="636"/>
      <c r="F99" s="637"/>
      <c r="G99" s="638">
        <f>round(SUM(G97:G98),2)</f>
        <v>754.98</v>
      </c>
      <c r="H99" s="639"/>
      <c r="I99" s="639"/>
    </row>
    <row r="100">
      <c r="A100" s="218" t="str">
        <f>CONCATENATE("Say ₹ ",G92," + ",G99," x Cost Index")</f>
        <v>Say ₹ 96404.5 + 754.98 x Cost Index</v>
      </c>
      <c r="B100" s="2"/>
      <c r="C100" s="2"/>
      <c r="D100" s="2"/>
      <c r="E100" s="2"/>
      <c r="F100" s="2"/>
      <c r="G100" s="3"/>
      <c r="H100" s="622">
        <f>G88*1.01*1.15</f>
        <v>96404.5</v>
      </c>
      <c r="I100" s="622">
        <f>SUM(G93:G94)*1.01*1.15</f>
        <v>754.975</v>
      </c>
    </row>
    <row r="101">
      <c r="A101" s="621" t="s">
        <v>2236</v>
      </c>
      <c r="B101" s="2"/>
      <c r="C101" s="2"/>
      <c r="D101" s="2"/>
      <c r="E101" s="2"/>
      <c r="F101" s="2"/>
      <c r="G101" s="193"/>
      <c r="H101" s="639"/>
      <c r="I101" s="639"/>
    </row>
    <row r="102">
      <c r="A102" s="623" t="s">
        <v>882</v>
      </c>
      <c r="B102" s="625" t="s">
        <v>2237</v>
      </c>
      <c r="C102" s="2"/>
      <c r="D102" s="2"/>
      <c r="E102" s="2"/>
      <c r="F102" s="2"/>
      <c r="G102" s="193"/>
      <c r="H102" s="668"/>
      <c r="I102" s="668"/>
    </row>
    <row r="103">
      <c r="A103" s="644" t="s">
        <v>864</v>
      </c>
      <c r="B103" s="628" t="s">
        <v>2238</v>
      </c>
      <c r="C103" s="629">
        <v>1.0</v>
      </c>
      <c r="D103" s="629" t="s">
        <v>1117</v>
      </c>
      <c r="E103" s="629">
        <v>7677.0</v>
      </c>
      <c r="F103" s="630" t="s">
        <v>2151</v>
      </c>
      <c r="G103" s="631">
        <f>E103*C103</f>
        <v>7677</v>
      </c>
      <c r="H103" s="473"/>
      <c r="I103" s="473"/>
    </row>
    <row r="104">
      <c r="A104" s="623"/>
      <c r="B104" s="633" t="s">
        <v>908</v>
      </c>
      <c r="C104" s="629"/>
      <c r="D104" s="629"/>
      <c r="E104" s="629"/>
      <c r="F104" s="630"/>
      <c r="G104" s="631">
        <f>G103*1%</f>
        <v>76.77</v>
      </c>
      <c r="H104" s="473"/>
      <c r="I104" s="473"/>
    </row>
    <row r="105">
      <c r="A105" s="623"/>
      <c r="B105" s="633" t="s">
        <v>37</v>
      </c>
      <c r="C105" s="629"/>
      <c r="D105" s="629"/>
      <c r="E105" s="629"/>
      <c r="F105" s="630"/>
      <c r="G105" s="631">
        <f>SUM(G103:G104)</f>
        <v>7753.77</v>
      </c>
      <c r="H105" s="473"/>
      <c r="I105" s="473"/>
    </row>
    <row r="106">
      <c r="A106" s="623"/>
      <c r="B106" s="633" t="s">
        <v>912</v>
      </c>
      <c r="C106" s="629"/>
      <c r="D106" s="629"/>
      <c r="E106" s="629"/>
      <c r="F106" s="630"/>
      <c r="G106" s="631">
        <f>G105*15%</f>
        <v>1163.0655</v>
      </c>
      <c r="H106" s="473"/>
      <c r="I106" s="473"/>
    </row>
    <row r="107">
      <c r="A107" s="623"/>
      <c r="B107" s="634" t="s">
        <v>2159</v>
      </c>
      <c r="C107" s="635"/>
      <c r="D107" s="636"/>
      <c r="E107" s="636"/>
      <c r="F107" s="637"/>
      <c r="G107" s="638">
        <f>round(SUM(G105:G106),2)</f>
        <v>8916.84</v>
      </c>
      <c r="H107" s="639"/>
      <c r="I107" s="639"/>
    </row>
    <row r="108">
      <c r="A108" s="627" t="s">
        <v>2242</v>
      </c>
      <c r="B108" s="628" t="s">
        <v>2243</v>
      </c>
      <c r="C108" s="629">
        <v>15.5</v>
      </c>
      <c r="D108" s="629" t="s">
        <v>904</v>
      </c>
      <c r="E108" s="641">
        <v>2.12</v>
      </c>
      <c r="F108" s="630" t="s">
        <v>2151</v>
      </c>
      <c r="G108" s="631">
        <f>C108*E108</f>
        <v>32.86</v>
      </c>
      <c r="H108" s="473"/>
      <c r="I108" s="473"/>
    </row>
    <row r="109">
      <c r="A109" s="623"/>
      <c r="B109" s="633" t="s">
        <v>990</v>
      </c>
      <c r="C109" s="629"/>
      <c r="D109" s="629"/>
      <c r="E109" s="629"/>
      <c r="F109" s="630"/>
      <c r="G109" s="631">
        <f>SUM(G108)</f>
        <v>32.86</v>
      </c>
      <c r="H109" s="473"/>
      <c r="I109" s="473"/>
    </row>
    <row r="110">
      <c r="A110" s="623"/>
      <c r="B110" s="633" t="s">
        <v>908</v>
      </c>
      <c r="C110" s="629"/>
      <c r="D110" s="629"/>
      <c r="E110" s="629"/>
      <c r="F110" s="630"/>
      <c r="G110" s="631">
        <f>G109*1%</f>
        <v>0.3286</v>
      </c>
      <c r="H110" s="473"/>
      <c r="I110" s="473"/>
    </row>
    <row r="111">
      <c r="A111" s="623"/>
      <c r="B111" s="633" t="s">
        <v>37</v>
      </c>
      <c r="C111" s="629"/>
      <c r="D111" s="629"/>
      <c r="E111" s="629"/>
      <c r="F111" s="630"/>
      <c r="G111" s="631">
        <f>SUM(G109:G110)</f>
        <v>33.1886</v>
      </c>
      <c r="H111" s="473"/>
      <c r="I111" s="473"/>
    </row>
    <row r="112">
      <c r="A112" s="623"/>
      <c r="B112" s="633" t="s">
        <v>912</v>
      </c>
      <c r="C112" s="629"/>
      <c r="D112" s="629"/>
      <c r="E112" s="629"/>
      <c r="F112" s="630"/>
      <c r="G112" s="631">
        <f>G111*15%</f>
        <v>4.97829</v>
      </c>
      <c r="H112" s="473"/>
      <c r="I112" s="473"/>
    </row>
    <row r="113">
      <c r="A113" s="623"/>
      <c r="B113" s="634" t="s">
        <v>2159</v>
      </c>
      <c r="C113" s="635"/>
      <c r="D113" s="636"/>
      <c r="E113" s="636"/>
      <c r="F113" s="637"/>
      <c r="G113" s="638">
        <f>round(SUM(G111:G112),2)</f>
        <v>38.17</v>
      </c>
      <c r="H113" s="639"/>
      <c r="I113" s="639"/>
    </row>
    <row r="114">
      <c r="A114" s="218" t="str">
        <f>CONCATENATE("Say ₹ ",G107," + ",G113," x Cost Index")</f>
        <v>Say ₹ 8916.84 + 38.17 x Cost Index</v>
      </c>
      <c r="B114" s="2"/>
      <c r="C114" s="2"/>
      <c r="D114" s="2"/>
      <c r="E114" s="2"/>
      <c r="F114" s="2"/>
      <c r="G114" s="3"/>
      <c r="H114" s="622">
        <f>G103*1.01*1.15</f>
        <v>8916.8355</v>
      </c>
      <c r="I114" s="622">
        <f>G108*1.01*1.15</f>
        <v>38.16689</v>
      </c>
    </row>
    <row r="115">
      <c r="A115" s="623" t="s">
        <v>896</v>
      </c>
      <c r="B115" s="625" t="s">
        <v>2246</v>
      </c>
      <c r="C115" s="2"/>
      <c r="D115" s="2"/>
      <c r="E115" s="2"/>
      <c r="F115" s="2"/>
      <c r="G115" s="193"/>
      <c r="H115" s="668"/>
      <c r="I115" s="668"/>
    </row>
    <row r="116">
      <c r="A116" s="644" t="s">
        <v>864</v>
      </c>
      <c r="B116" s="628" t="s">
        <v>2247</v>
      </c>
      <c r="C116" s="629">
        <v>1.0</v>
      </c>
      <c r="D116" s="629" t="s">
        <v>1117</v>
      </c>
      <c r="E116" s="629">
        <v>9620.0</v>
      </c>
      <c r="F116" s="630" t="s">
        <v>2151</v>
      </c>
      <c r="G116" s="631">
        <f>E116*C116</f>
        <v>9620</v>
      </c>
      <c r="H116" s="473"/>
      <c r="I116" s="473"/>
    </row>
    <row r="117">
      <c r="A117" s="623"/>
      <c r="B117" s="633" t="s">
        <v>908</v>
      </c>
      <c r="C117" s="629"/>
      <c r="D117" s="629"/>
      <c r="E117" s="629"/>
      <c r="F117" s="630"/>
      <c r="G117" s="631">
        <f>G116*1%</f>
        <v>96.2</v>
      </c>
      <c r="H117" s="473"/>
      <c r="I117" s="473"/>
    </row>
    <row r="118">
      <c r="A118" s="623"/>
      <c r="B118" s="633" t="s">
        <v>37</v>
      </c>
      <c r="C118" s="629"/>
      <c r="D118" s="629"/>
      <c r="E118" s="629"/>
      <c r="F118" s="630"/>
      <c r="G118" s="631">
        <f>SUM(G116:G117)</f>
        <v>9716.2</v>
      </c>
      <c r="H118" s="473"/>
      <c r="I118" s="473"/>
    </row>
    <row r="119">
      <c r="A119" s="623"/>
      <c r="B119" s="633" t="s">
        <v>912</v>
      </c>
      <c r="C119" s="629"/>
      <c r="D119" s="629"/>
      <c r="E119" s="629"/>
      <c r="F119" s="630"/>
      <c r="G119" s="631">
        <f>G118*15%</f>
        <v>1457.43</v>
      </c>
      <c r="H119" s="473"/>
      <c r="I119" s="473"/>
    </row>
    <row r="120">
      <c r="A120" s="623"/>
      <c r="B120" s="634" t="s">
        <v>2159</v>
      </c>
      <c r="C120" s="635"/>
      <c r="D120" s="636"/>
      <c r="E120" s="636"/>
      <c r="F120" s="637"/>
      <c r="G120" s="638">
        <f>round(SUM(G118:G119),2)</f>
        <v>11173.63</v>
      </c>
      <c r="H120" s="639"/>
      <c r="I120" s="639"/>
    </row>
    <row r="121">
      <c r="A121" s="627" t="s">
        <v>2242</v>
      </c>
      <c r="B121" s="628" t="s">
        <v>2243</v>
      </c>
      <c r="C121" s="629">
        <v>15.5</v>
      </c>
      <c r="D121" s="629" t="s">
        <v>904</v>
      </c>
      <c r="E121" s="641">
        <v>2.12</v>
      </c>
      <c r="F121" s="630" t="s">
        <v>2151</v>
      </c>
      <c r="G121" s="631">
        <f>C121*E121</f>
        <v>32.86</v>
      </c>
      <c r="H121" s="473"/>
      <c r="I121" s="473"/>
    </row>
    <row r="122">
      <c r="A122" s="623"/>
      <c r="B122" s="633" t="s">
        <v>990</v>
      </c>
      <c r="C122" s="629"/>
      <c r="D122" s="629"/>
      <c r="E122" s="629"/>
      <c r="F122" s="630"/>
      <c r="G122" s="631">
        <f>SUM(G121)</f>
        <v>32.86</v>
      </c>
      <c r="H122" s="473"/>
      <c r="I122" s="473"/>
    </row>
    <row r="123">
      <c r="A123" s="623"/>
      <c r="B123" s="633" t="s">
        <v>908</v>
      </c>
      <c r="C123" s="629"/>
      <c r="D123" s="629"/>
      <c r="E123" s="629"/>
      <c r="F123" s="630"/>
      <c r="G123" s="631">
        <f>G122*1%</f>
        <v>0.3286</v>
      </c>
      <c r="H123" s="473"/>
      <c r="I123" s="473"/>
    </row>
    <row r="124">
      <c r="A124" s="623"/>
      <c r="B124" s="633" t="s">
        <v>37</v>
      </c>
      <c r="C124" s="629"/>
      <c r="D124" s="629"/>
      <c r="E124" s="629"/>
      <c r="F124" s="630"/>
      <c r="G124" s="631">
        <f>SUM(G122:G123)</f>
        <v>33.1886</v>
      </c>
      <c r="H124" s="473"/>
      <c r="I124" s="473"/>
    </row>
    <row r="125">
      <c r="A125" s="623"/>
      <c r="B125" s="633" t="s">
        <v>912</v>
      </c>
      <c r="C125" s="629"/>
      <c r="D125" s="629"/>
      <c r="E125" s="629"/>
      <c r="F125" s="630"/>
      <c r="G125" s="631">
        <f>G124*15%</f>
        <v>4.97829</v>
      </c>
      <c r="H125" s="473"/>
      <c r="I125" s="473"/>
    </row>
    <row r="126">
      <c r="A126" s="623"/>
      <c r="B126" s="634" t="s">
        <v>2159</v>
      </c>
      <c r="C126" s="635"/>
      <c r="D126" s="636"/>
      <c r="E126" s="636"/>
      <c r="F126" s="637"/>
      <c r="G126" s="638">
        <f>round(SUM(G124:G125),2)</f>
        <v>38.17</v>
      </c>
      <c r="H126" s="639"/>
      <c r="I126" s="639"/>
    </row>
    <row r="127">
      <c r="A127" s="218" t="str">
        <f>CONCATENATE("Say ₹ ",G120," + ",G126," x Cost Index")</f>
        <v>Say ₹ 11173.63 + 38.17 x Cost Index</v>
      </c>
      <c r="B127" s="2"/>
      <c r="C127" s="2"/>
      <c r="D127" s="2"/>
      <c r="E127" s="2"/>
      <c r="F127" s="2"/>
      <c r="G127" s="3"/>
      <c r="H127" s="622">
        <f>G116*1.01*1.15</f>
        <v>11173.63</v>
      </c>
      <c r="I127" s="622">
        <f>G121*1.01*1.15</f>
        <v>38.16689</v>
      </c>
    </row>
    <row r="128">
      <c r="A128" s="623" t="s">
        <v>2193</v>
      </c>
      <c r="B128" s="625" t="s">
        <v>2250</v>
      </c>
      <c r="C128" s="2"/>
      <c r="D128" s="2"/>
      <c r="E128" s="2"/>
      <c r="F128" s="2"/>
      <c r="G128" s="193"/>
      <c r="H128" s="668"/>
      <c r="I128" s="668"/>
    </row>
    <row r="129">
      <c r="A129" s="644" t="s">
        <v>864</v>
      </c>
      <c r="B129" s="628" t="s">
        <v>2251</v>
      </c>
      <c r="C129" s="629">
        <v>1.0</v>
      </c>
      <c r="D129" s="629" t="s">
        <v>1117</v>
      </c>
      <c r="E129" s="629">
        <v>11487.0</v>
      </c>
      <c r="F129" s="630" t="s">
        <v>2151</v>
      </c>
      <c r="G129" s="631">
        <f>E129*C129</f>
        <v>11487</v>
      </c>
      <c r="H129" s="473"/>
      <c r="I129" s="473"/>
    </row>
    <row r="130">
      <c r="A130" s="623"/>
      <c r="B130" s="633" t="s">
        <v>908</v>
      </c>
      <c r="C130" s="629"/>
      <c r="D130" s="629"/>
      <c r="E130" s="629"/>
      <c r="F130" s="630"/>
      <c r="G130" s="631">
        <f>G129*1%</f>
        <v>114.87</v>
      </c>
      <c r="H130" s="473"/>
      <c r="I130" s="473"/>
    </row>
    <row r="131">
      <c r="A131" s="623"/>
      <c r="B131" s="633" t="s">
        <v>37</v>
      </c>
      <c r="C131" s="629"/>
      <c r="D131" s="629"/>
      <c r="E131" s="629"/>
      <c r="F131" s="630"/>
      <c r="G131" s="631">
        <f>SUM(G129:G130)</f>
        <v>11601.87</v>
      </c>
      <c r="H131" s="473"/>
      <c r="I131" s="473"/>
    </row>
    <row r="132">
      <c r="A132" s="623"/>
      <c r="B132" s="633" t="s">
        <v>912</v>
      </c>
      <c r="C132" s="629"/>
      <c r="D132" s="629"/>
      <c r="E132" s="629"/>
      <c r="F132" s="630"/>
      <c r="G132" s="631">
        <f>G131*15%</f>
        <v>1740.2805</v>
      </c>
      <c r="H132" s="473"/>
      <c r="I132" s="473"/>
    </row>
    <row r="133">
      <c r="A133" s="623"/>
      <c r="B133" s="634" t="s">
        <v>2159</v>
      </c>
      <c r="C133" s="635"/>
      <c r="D133" s="636"/>
      <c r="E133" s="636"/>
      <c r="F133" s="637"/>
      <c r="G133" s="638">
        <f>round(SUM(G131:G132),2)</f>
        <v>13342.15</v>
      </c>
      <c r="H133" s="639"/>
      <c r="I133" s="639"/>
    </row>
    <row r="134">
      <c r="A134" s="627" t="s">
        <v>2242</v>
      </c>
      <c r="B134" s="628" t="s">
        <v>2243</v>
      </c>
      <c r="C134" s="629">
        <v>15.5</v>
      </c>
      <c r="D134" s="629" t="s">
        <v>904</v>
      </c>
      <c r="E134" s="641">
        <v>2.12</v>
      </c>
      <c r="F134" s="630" t="s">
        <v>2151</v>
      </c>
      <c r="G134" s="631">
        <f>C134*E134</f>
        <v>32.86</v>
      </c>
      <c r="H134" s="473"/>
      <c r="I134" s="473"/>
    </row>
    <row r="135">
      <c r="A135" s="623"/>
      <c r="B135" s="633" t="s">
        <v>990</v>
      </c>
      <c r="C135" s="629"/>
      <c r="D135" s="629"/>
      <c r="E135" s="629"/>
      <c r="F135" s="630"/>
      <c r="G135" s="631">
        <f>SUM(G134)</f>
        <v>32.86</v>
      </c>
      <c r="H135" s="473"/>
      <c r="I135" s="473"/>
    </row>
    <row r="136">
      <c r="A136" s="623"/>
      <c r="B136" s="633" t="s">
        <v>908</v>
      </c>
      <c r="C136" s="629"/>
      <c r="D136" s="629"/>
      <c r="E136" s="629"/>
      <c r="F136" s="630"/>
      <c r="G136" s="631">
        <f>G135*1%</f>
        <v>0.3286</v>
      </c>
      <c r="H136" s="473"/>
      <c r="I136" s="473"/>
    </row>
    <row r="137">
      <c r="A137" s="623"/>
      <c r="B137" s="633" t="s">
        <v>37</v>
      </c>
      <c r="C137" s="629"/>
      <c r="D137" s="629"/>
      <c r="E137" s="629"/>
      <c r="F137" s="630"/>
      <c r="G137" s="631">
        <f>SUM(G135:G136)</f>
        <v>33.1886</v>
      </c>
      <c r="H137" s="473"/>
      <c r="I137" s="473"/>
    </row>
    <row r="138">
      <c r="A138" s="623"/>
      <c r="B138" s="633" t="s">
        <v>912</v>
      </c>
      <c r="C138" s="629"/>
      <c r="D138" s="629"/>
      <c r="E138" s="629"/>
      <c r="F138" s="630"/>
      <c r="G138" s="631">
        <f>G137*15%</f>
        <v>4.97829</v>
      </c>
      <c r="H138" s="473"/>
      <c r="I138" s="473"/>
    </row>
    <row r="139">
      <c r="A139" s="623"/>
      <c r="B139" s="634" t="s">
        <v>2159</v>
      </c>
      <c r="C139" s="635"/>
      <c r="D139" s="636"/>
      <c r="E139" s="636"/>
      <c r="F139" s="637"/>
      <c r="G139" s="638">
        <f>round(SUM(G137:G138),2)</f>
        <v>38.17</v>
      </c>
      <c r="H139" s="639"/>
      <c r="I139" s="639"/>
    </row>
    <row r="140">
      <c r="A140" s="218" t="str">
        <f>CONCATENATE("Say ₹ ",G133," + ",G139," x Cost Index")</f>
        <v>Say ₹ 13342.15 + 38.17 x Cost Index</v>
      </c>
      <c r="B140" s="2"/>
      <c r="C140" s="2"/>
      <c r="D140" s="2"/>
      <c r="E140" s="2"/>
      <c r="F140" s="2"/>
      <c r="G140" s="3"/>
      <c r="H140" s="622">
        <f>G129*1.01*1.15</f>
        <v>13342.1505</v>
      </c>
      <c r="I140" s="622">
        <f>G134*1.01*1.15</f>
        <v>38.16689</v>
      </c>
    </row>
    <row r="141">
      <c r="A141" s="621" t="s">
        <v>2265</v>
      </c>
      <c r="B141" s="2"/>
      <c r="C141" s="2"/>
      <c r="D141" s="2"/>
      <c r="E141" s="2"/>
      <c r="F141" s="2"/>
      <c r="G141" s="193"/>
      <c r="H141" s="639"/>
      <c r="I141" s="639"/>
    </row>
    <row r="142">
      <c r="A142" s="623" t="s">
        <v>882</v>
      </c>
      <c r="B142" s="672" t="s">
        <v>2270</v>
      </c>
      <c r="C142" s="2"/>
      <c r="D142" s="2"/>
      <c r="E142" s="2"/>
      <c r="F142" s="2"/>
      <c r="G142" s="193"/>
      <c r="H142" s="668"/>
      <c r="I142" s="668"/>
    </row>
    <row r="143">
      <c r="A143" s="644" t="s">
        <v>864</v>
      </c>
      <c r="B143" s="628" t="s">
        <v>2278</v>
      </c>
      <c r="C143" s="629">
        <v>1.0</v>
      </c>
      <c r="D143" s="629" t="s">
        <v>1117</v>
      </c>
      <c r="E143" s="629">
        <v>4530.0</v>
      </c>
      <c r="F143" s="630" t="s">
        <v>2151</v>
      </c>
      <c r="G143" s="631">
        <f>C143*E143</f>
        <v>4530</v>
      </c>
      <c r="H143" s="473"/>
      <c r="I143" s="473"/>
    </row>
    <row r="144">
      <c r="A144" s="623"/>
      <c r="B144" s="633" t="s">
        <v>908</v>
      </c>
      <c r="C144" s="629"/>
      <c r="D144" s="629"/>
      <c r="E144" s="629"/>
      <c r="F144" s="630"/>
      <c r="G144" s="631">
        <f>G143*1%</f>
        <v>45.3</v>
      </c>
      <c r="H144" s="473"/>
      <c r="I144" s="473"/>
    </row>
    <row r="145">
      <c r="A145" s="623"/>
      <c r="B145" s="633" t="s">
        <v>37</v>
      </c>
      <c r="C145" s="629"/>
      <c r="D145" s="629"/>
      <c r="E145" s="629"/>
      <c r="F145" s="630"/>
      <c r="G145" s="631">
        <f>SUM(G143:G144)</f>
        <v>4575.3</v>
      </c>
      <c r="H145" s="473"/>
      <c r="I145" s="473"/>
    </row>
    <row r="146">
      <c r="A146" s="623"/>
      <c r="B146" s="633" t="s">
        <v>912</v>
      </c>
      <c r="C146" s="629"/>
      <c r="D146" s="629"/>
      <c r="E146" s="629"/>
      <c r="F146" s="630"/>
      <c r="G146" s="631">
        <f>G145*15%</f>
        <v>686.295</v>
      </c>
      <c r="H146" s="473"/>
      <c r="I146" s="473"/>
    </row>
    <row r="147">
      <c r="A147" s="623"/>
      <c r="B147" s="634" t="s">
        <v>2159</v>
      </c>
      <c r="C147" s="635"/>
      <c r="D147" s="636"/>
      <c r="E147" s="636"/>
      <c r="F147" s="637"/>
      <c r="G147" s="638">
        <f>round(SUM(G145:G146),2)</f>
        <v>5261.6</v>
      </c>
      <c r="H147" s="639"/>
      <c r="I147" s="639"/>
    </row>
    <row r="148">
      <c r="A148" s="627" t="s">
        <v>2242</v>
      </c>
      <c r="B148" s="628" t="s">
        <v>2243</v>
      </c>
      <c r="C148" s="629">
        <v>15.5</v>
      </c>
      <c r="D148" s="629" t="s">
        <v>904</v>
      </c>
      <c r="E148" s="641">
        <v>2.12</v>
      </c>
      <c r="F148" s="630" t="s">
        <v>2151</v>
      </c>
      <c r="G148" s="631">
        <f>C148*E148</f>
        <v>32.86</v>
      </c>
      <c r="H148" s="473"/>
      <c r="I148" s="473"/>
    </row>
    <row r="149">
      <c r="A149" s="623"/>
      <c r="B149" s="633" t="s">
        <v>990</v>
      </c>
      <c r="C149" s="629"/>
      <c r="D149" s="629"/>
      <c r="E149" s="629"/>
      <c r="F149" s="630"/>
      <c r="G149" s="631">
        <f>SUM(G148)</f>
        <v>32.86</v>
      </c>
      <c r="H149" s="473"/>
      <c r="I149" s="473"/>
    </row>
    <row r="150">
      <c r="A150" s="623"/>
      <c r="B150" s="633" t="s">
        <v>908</v>
      </c>
      <c r="C150" s="629"/>
      <c r="D150" s="629"/>
      <c r="E150" s="629"/>
      <c r="F150" s="630"/>
      <c r="G150" s="631">
        <f>G149*1%</f>
        <v>0.3286</v>
      </c>
      <c r="H150" s="473"/>
      <c r="I150" s="473"/>
    </row>
    <row r="151">
      <c r="A151" s="623"/>
      <c r="B151" s="633" t="s">
        <v>37</v>
      </c>
      <c r="C151" s="629"/>
      <c r="D151" s="629"/>
      <c r="E151" s="629"/>
      <c r="F151" s="630"/>
      <c r="G151" s="631">
        <f>SUM(G149:G150)</f>
        <v>33.1886</v>
      </c>
      <c r="H151" s="473"/>
      <c r="I151" s="473"/>
    </row>
    <row r="152">
      <c r="A152" s="623"/>
      <c r="B152" s="633" t="s">
        <v>912</v>
      </c>
      <c r="C152" s="629"/>
      <c r="D152" s="629"/>
      <c r="E152" s="629"/>
      <c r="F152" s="630"/>
      <c r="G152" s="631">
        <f>G151*15%</f>
        <v>4.97829</v>
      </c>
      <c r="H152" s="473"/>
      <c r="I152" s="473"/>
    </row>
    <row r="153">
      <c r="A153" s="623"/>
      <c r="B153" s="634" t="s">
        <v>2159</v>
      </c>
      <c r="C153" s="635"/>
      <c r="D153" s="636"/>
      <c r="E153" s="636"/>
      <c r="F153" s="637"/>
      <c r="G153" s="638">
        <f>round(SUM(G151:G152),2)</f>
        <v>38.17</v>
      </c>
      <c r="H153" s="639"/>
      <c r="I153" s="639"/>
    </row>
    <row r="154">
      <c r="A154" s="218" t="str">
        <f>CONCATENATE("Say ₹ ",G147," + ",G153," x Cost Index")</f>
        <v>Say ₹ 5261.6 + 38.17 x Cost Index</v>
      </c>
      <c r="B154" s="2"/>
      <c r="C154" s="2"/>
      <c r="D154" s="2"/>
      <c r="E154" s="2"/>
      <c r="F154" s="2"/>
      <c r="G154" s="3"/>
      <c r="H154" s="622">
        <f>G143*1.01*1.15</f>
        <v>5261.595</v>
      </c>
      <c r="I154" s="622">
        <f>G148*1.01*1.15</f>
        <v>38.16689</v>
      </c>
    </row>
    <row r="155">
      <c r="A155" s="623" t="s">
        <v>896</v>
      </c>
      <c r="B155" s="672" t="s">
        <v>2347</v>
      </c>
      <c r="C155" s="2"/>
      <c r="D155" s="2"/>
      <c r="E155" s="2"/>
      <c r="F155" s="2"/>
      <c r="G155" s="193"/>
      <c r="H155" s="668"/>
      <c r="I155" s="668"/>
    </row>
    <row r="156">
      <c r="A156" s="644" t="s">
        <v>864</v>
      </c>
      <c r="B156" s="628" t="s">
        <v>2350</v>
      </c>
      <c r="C156" s="629">
        <v>1.0</v>
      </c>
      <c r="D156" s="629" t="s">
        <v>1117</v>
      </c>
      <c r="E156" s="629">
        <v>6750.0</v>
      </c>
      <c r="F156" s="630" t="s">
        <v>2151</v>
      </c>
      <c r="G156" s="631">
        <f>C156*E156</f>
        <v>6750</v>
      </c>
      <c r="H156" s="473"/>
      <c r="I156" s="473"/>
    </row>
    <row r="157">
      <c r="A157" s="623"/>
      <c r="B157" s="633" t="s">
        <v>908</v>
      </c>
      <c r="C157" s="629"/>
      <c r="D157" s="629"/>
      <c r="E157" s="629"/>
      <c r="F157" s="630"/>
      <c r="G157" s="631">
        <f>G156*1%</f>
        <v>67.5</v>
      </c>
      <c r="H157" s="473"/>
      <c r="I157" s="473"/>
    </row>
    <row r="158">
      <c r="A158" s="623"/>
      <c r="B158" s="633" t="s">
        <v>37</v>
      </c>
      <c r="C158" s="629"/>
      <c r="D158" s="629"/>
      <c r="E158" s="629"/>
      <c r="F158" s="630"/>
      <c r="G158" s="631">
        <f>SUM(G156:G157)</f>
        <v>6817.5</v>
      </c>
      <c r="H158" s="473"/>
      <c r="I158" s="473"/>
    </row>
    <row r="159">
      <c r="A159" s="623"/>
      <c r="B159" s="633" t="s">
        <v>912</v>
      </c>
      <c r="C159" s="629"/>
      <c r="D159" s="629"/>
      <c r="E159" s="629"/>
      <c r="F159" s="630"/>
      <c r="G159" s="631">
        <f>G158*15%</f>
        <v>1022.625</v>
      </c>
      <c r="H159" s="473"/>
      <c r="I159" s="473"/>
    </row>
    <row r="160">
      <c r="A160" s="623"/>
      <c r="B160" s="634" t="s">
        <v>2159</v>
      </c>
      <c r="C160" s="635"/>
      <c r="D160" s="636"/>
      <c r="E160" s="636"/>
      <c r="F160" s="637"/>
      <c r="G160" s="638">
        <f>round(SUM(G158:G159),2)</f>
        <v>7840.13</v>
      </c>
      <c r="H160" s="639"/>
      <c r="I160" s="639"/>
    </row>
    <row r="161">
      <c r="A161" s="627" t="s">
        <v>2242</v>
      </c>
      <c r="B161" s="628" t="s">
        <v>2243</v>
      </c>
      <c r="C161" s="629">
        <v>15.5</v>
      </c>
      <c r="D161" s="629" t="s">
        <v>904</v>
      </c>
      <c r="E161" s="641">
        <v>2.12</v>
      </c>
      <c r="F161" s="630" t="s">
        <v>2151</v>
      </c>
      <c r="G161" s="631">
        <f>C161*E161</f>
        <v>32.86</v>
      </c>
      <c r="H161" s="473"/>
      <c r="I161" s="473"/>
    </row>
    <row r="162">
      <c r="A162" s="623"/>
      <c r="B162" s="633" t="s">
        <v>990</v>
      </c>
      <c r="C162" s="629"/>
      <c r="D162" s="629"/>
      <c r="E162" s="629"/>
      <c r="F162" s="630"/>
      <c r="G162" s="631">
        <f>SUM(G161)</f>
        <v>32.86</v>
      </c>
      <c r="H162" s="473"/>
      <c r="I162" s="473"/>
    </row>
    <row r="163">
      <c r="A163" s="623"/>
      <c r="B163" s="633" t="s">
        <v>908</v>
      </c>
      <c r="C163" s="629"/>
      <c r="D163" s="629"/>
      <c r="E163" s="629"/>
      <c r="F163" s="630"/>
      <c r="G163" s="631">
        <f>G162*1%</f>
        <v>0.3286</v>
      </c>
      <c r="H163" s="473"/>
      <c r="I163" s="473"/>
    </row>
    <row r="164">
      <c r="A164" s="623"/>
      <c r="B164" s="633" t="s">
        <v>37</v>
      </c>
      <c r="C164" s="629"/>
      <c r="D164" s="629"/>
      <c r="E164" s="629"/>
      <c r="F164" s="630"/>
      <c r="G164" s="631">
        <f>SUM(G162:G163)</f>
        <v>33.1886</v>
      </c>
      <c r="H164" s="473"/>
      <c r="I164" s="473"/>
    </row>
    <row r="165">
      <c r="A165" s="623"/>
      <c r="B165" s="633" t="s">
        <v>912</v>
      </c>
      <c r="C165" s="629"/>
      <c r="D165" s="629"/>
      <c r="E165" s="629"/>
      <c r="F165" s="630"/>
      <c r="G165" s="631">
        <f>G164*15%</f>
        <v>4.97829</v>
      </c>
      <c r="H165" s="473"/>
      <c r="I165" s="473"/>
    </row>
    <row r="166">
      <c r="A166" s="623"/>
      <c r="B166" s="634" t="s">
        <v>2159</v>
      </c>
      <c r="C166" s="635"/>
      <c r="D166" s="636"/>
      <c r="E166" s="636"/>
      <c r="F166" s="637"/>
      <c r="G166" s="638">
        <f>round(SUM(G164:G165),2)</f>
        <v>38.17</v>
      </c>
      <c r="H166" s="639"/>
      <c r="I166" s="639"/>
    </row>
    <row r="167">
      <c r="A167" s="218" t="str">
        <f>CONCATENATE("Say ₹ ",G160," + ",G166," x Cost Index")</f>
        <v>Say ₹ 7840.13 + 38.17 x Cost Index</v>
      </c>
      <c r="B167" s="2"/>
      <c r="C167" s="2"/>
      <c r="D167" s="2"/>
      <c r="E167" s="2"/>
      <c r="F167" s="2"/>
      <c r="G167" s="3"/>
      <c r="H167" s="622">
        <f>G156*1.01*1.15</f>
        <v>7840.125</v>
      </c>
      <c r="I167" s="622">
        <f>G161*1.01*1.15</f>
        <v>38.16689</v>
      </c>
    </row>
    <row r="168">
      <c r="A168" s="623" t="s">
        <v>2193</v>
      </c>
      <c r="B168" s="672" t="s">
        <v>2370</v>
      </c>
      <c r="C168" s="2"/>
      <c r="D168" s="2"/>
      <c r="E168" s="2"/>
      <c r="F168" s="2"/>
      <c r="G168" s="193"/>
      <c r="H168" s="668"/>
      <c r="I168" s="668"/>
    </row>
    <row r="169">
      <c r="A169" s="644" t="s">
        <v>864</v>
      </c>
      <c r="B169" s="628" t="s">
        <v>2373</v>
      </c>
      <c r="C169" s="629">
        <v>1.0</v>
      </c>
      <c r="D169" s="629" t="s">
        <v>1117</v>
      </c>
      <c r="E169" s="629">
        <v>10266.0</v>
      </c>
      <c r="F169" s="630" t="s">
        <v>2151</v>
      </c>
      <c r="G169" s="631">
        <f>C169*E169</f>
        <v>10266</v>
      </c>
      <c r="H169" s="473"/>
      <c r="I169" s="473"/>
    </row>
    <row r="170">
      <c r="A170" s="623"/>
      <c r="B170" s="633" t="s">
        <v>908</v>
      </c>
      <c r="C170" s="629"/>
      <c r="D170" s="629"/>
      <c r="E170" s="629"/>
      <c r="F170" s="630"/>
      <c r="G170" s="631">
        <f>G169*1%</f>
        <v>102.66</v>
      </c>
      <c r="H170" s="473"/>
      <c r="I170" s="473"/>
    </row>
    <row r="171">
      <c r="A171" s="623"/>
      <c r="B171" s="633" t="s">
        <v>37</v>
      </c>
      <c r="C171" s="629"/>
      <c r="D171" s="629"/>
      <c r="E171" s="629"/>
      <c r="F171" s="630"/>
      <c r="G171" s="631">
        <f>SUM(G169:G170)</f>
        <v>10368.66</v>
      </c>
      <c r="H171" s="473"/>
      <c r="I171" s="473"/>
    </row>
    <row r="172">
      <c r="A172" s="623"/>
      <c r="B172" s="633" t="s">
        <v>912</v>
      </c>
      <c r="C172" s="629"/>
      <c r="D172" s="629"/>
      <c r="E172" s="629"/>
      <c r="F172" s="630"/>
      <c r="G172" s="631">
        <f>G171*15%</f>
        <v>1555.299</v>
      </c>
      <c r="H172" s="473"/>
      <c r="I172" s="473"/>
    </row>
    <row r="173">
      <c r="A173" s="623"/>
      <c r="B173" s="634" t="s">
        <v>2159</v>
      </c>
      <c r="C173" s="635"/>
      <c r="D173" s="636"/>
      <c r="E173" s="636"/>
      <c r="F173" s="637"/>
      <c r="G173" s="638">
        <f>round(SUM(G171:G172),2)</f>
        <v>11923.96</v>
      </c>
      <c r="H173" s="639"/>
      <c r="I173" s="639"/>
    </row>
    <row r="174">
      <c r="A174" s="627" t="s">
        <v>2242</v>
      </c>
      <c r="B174" s="628" t="s">
        <v>2243</v>
      </c>
      <c r="C174" s="629">
        <v>15.5</v>
      </c>
      <c r="D174" s="629" t="s">
        <v>904</v>
      </c>
      <c r="E174" s="641">
        <v>2.12</v>
      </c>
      <c r="F174" s="630" t="s">
        <v>2151</v>
      </c>
      <c r="G174" s="631">
        <f>C174*E174</f>
        <v>32.86</v>
      </c>
      <c r="H174" s="473"/>
      <c r="I174" s="473"/>
    </row>
    <row r="175">
      <c r="A175" s="623"/>
      <c r="B175" s="633" t="s">
        <v>990</v>
      </c>
      <c r="C175" s="629"/>
      <c r="D175" s="629"/>
      <c r="E175" s="629"/>
      <c r="F175" s="630"/>
      <c r="G175" s="631">
        <f>SUM(G174)</f>
        <v>32.86</v>
      </c>
      <c r="H175" s="473"/>
      <c r="I175" s="473"/>
    </row>
    <row r="176">
      <c r="A176" s="623"/>
      <c r="B176" s="633" t="s">
        <v>908</v>
      </c>
      <c r="C176" s="629"/>
      <c r="D176" s="629"/>
      <c r="E176" s="629"/>
      <c r="F176" s="630"/>
      <c r="G176" s="631">
        <f>G175*1%</f>
        <v>0.3286</v>
      </c>
      <c r="H176" s="473"/>
      <c r="I176" s="473"/>
    </row>
    <row r="177">
      <c r="A177" s="623"/>
      <c r="B177" s="633" t="s">
        <v>37</v>
      </c>
      <c r="C177" s="629"/>
      <c r="D177" s="629"/>
      <c r="E177" s="629"/>
      <c r="F177" s="630"/>
      <c r="G177" s="631">
        <f>SUM(G175:G176)</f>
        <v>33.1886</v>
      </c>
      <c r="H177" s="473"/>
      <c r="I177" s="473"/>
    </row>
    <row r="178">
      <c r="A178" s="623"/>
      <c r="B178" s="633" t="s">
        <v>912</v>
      </c>
      <c r="C178" s="629"/>
      <c r="D178" s="629"/>
      <c r="E178" s="629"/>
      <c r="F178" s="630"/>
      <c r="G178" s="631">
        <f>G177*15%</f>
        <v>4.97829</v>
      </c>
      <c r="H178" s="473"/>
      <c r="I178" s="473"/>
    </row>
    <row r="179">
      <c r="A179" s="623"/>
      <c r="B179" s="634" t="s">
        <v>2159</v>
      </c>
      <c r="C179" s="635"/>
      <c r="D179" s="636"/>
      <c r="E179" s="636"/>
      <c r="F179" s="637"/>
      <c r="G179" s="638">
        <f>round(SUM(G177:G178),2)</f>
        <v>38.17</v>
      </c>
      <c r="H179" s="639"/>
      <c r="I179" s="639"/>
    </row>
    <row r="180">
      <c r="A180" s="218" t="str">
        <f>CONCATENATE("Say ₹ ",G173," + ",G179," x Cost Index")</f>
        <v>Say ₹ 11923.96 + 38.17 x Cost Index</v>
      </c>
      <c r="B180" s="2"/>
      <c r="C180" s="2"/>
      <c r="D180" s="2"/>
      <c r="E180" s="2"/>
      <c r="F180" s="2"/>
      <c r="G180" s="3"/>
      <c r="H180" s="622">
        <f>G169*1.01*1.15</f>
        <v>11923.959</v>
      </c>
      <c r="I180" s="622">
        <f>G174*1.01*1.15</f>
        <v>38.16689</v>
      </c>
    </row>
    <row r="181">
      <c r="A181" s="621" t="s">
        <v>2437</v>
      </c>
      <c r="B181" s="2"/>
      <c r="C181" s="2"/>
      <c r="D181" s="2"/>
      <c r="E181" s="2"/>
      <c r="F181" s="2"/>
      <c r="G181" s="193"/>
      <c r="H181" s="622"/>
      <c r="I181" s="622"/>
    </row>
    <row r="182">
      <c r="A182" s="623" t="s">
        <v>882</v>
      </c>
      <c r="B182" s="672" t="s">
        <v>2443</v>
      </c>
      <c r="C182" s="2"/>
      <c r="D182" s="2"/>
      <c r="E182" s="2"/>
      <c r="F182" s="2"/>
      <c r="G182" s="193"/>
      <c r="H182" s="668"/>
      <c r="I182" s="668"/>
    </row>
    <row r="183">
      <c r="A183" s="644" t="s">
        <v>864</v>
      </c>
      <c r="B183" s="628" t="s">
        <v>2448</v>
      </c>
      <c r="C183" s="629">
        <v>1.0</v>
      </c>
      <c r="D183" s="629" t="s">
        <v>1117</v>
      </c>
      <c r="E183" s="629">
        <v>15662.0</v>
      </c>
      <c r="F183" s="630" t="s">
        <v>2151</v>
      </c>
      <c r="G183" s="631">
        <f>C183*E183</f>
        <v>15662</v>
      </c>
      <c r="H183" s="473"/>
      <c r="I183" s="473"/>
    </row>
    <row r="184">
      <c r="A184" s="632"/>
      <c r="B184" s="633" t="s">
        <v>908</v>
      </c>
      <c r="C184" s="629"/>
      <c r="D184" s="629"/>
      <c r="E184" s="629"/>
      <c r="F184" s="630"/>
      <c r="G184" s="631">
        <f>G183*1%</f>
        <v>156.62</v>
      </c>
      <c r="H184" s="473"/>
      <c r="I184" s="473"/>
    </row>
    <row r="185">
      <c r="A185" s="632"/>
      <c r="B185" s="633" t="s">
        <v>37</v>
      </c>
      <c r="C185" s="629"/>
      <c r="D185" s="629"/>
      <c r="E185" s="629"/>
      <c r="F185" s="630"/>
      <c r="G185" s="631">
        <f>SUM(G183:G184)</f>
        <v>15818.62</v>
      </c>
      <c r="H185" s="473"/>
      <c r="I185" s="473"/>
    </row>
    <row r="186">
      <c r="A186" s="632"/>
      <c r="B186" s="633" t="s">
        <v>912</v>
      </c>
      <c r="C186" s="629"/>
      <c r="D186" s="629"/>
      <c r="E186" s="629"/>
      <c r="F186" s="630"/>
      <c r="G186" s="631">
        <f>G185*15%</f>
        <v>2372.793</v>
      </c>
      <c r="H186" s="473"/>
      <c r="I186" s="473"/>
    </row>
    <row r="187">
      <c r="A187" s="632"/>
      <c r="B187" s="634" t="s">
        <v>2159</v>
      </c>
      <c r="C187" s="629"/>
      <c r="D187" s="629"/>
      <c r="E187" s="629"/>
      <c r="F187" s="630"/>
      <c r="G187" s="638">
        <f>round(SUM(G185:G186),2)</f>
        <v>18191.41</v>
      </c>
      <c r="H187" s="639"/>
      <c r="I187" s="639"/>
    </row>
    <row r="188">
      <c r="A188" s="627" t="s">
        <v>879</v>
      </c>
      <c r="B188" s="640" t="s">
        <v>888</v>
      </c>
      <c r="C188" s="629">
        <v>0.2</v>
      </c>
      <c r="D188" s="641" t="s">
        <v>868</v>
      </c>
      <c r="E188" s="629">
        <v>784.0</v>
      </c>
      <c r="F188" s="643" t="s">
        <v>890</v>
      </c>
      <c r="G188" s="631">
        <f t="shared" ref="G188:G189" si="8">C188*E188</f>
        <v>156.8</v>
      </c>
      <c r="H188" s="473"/>
      <c r="I188" s="473"/>
    </row>
    <row r="189">
      <c r="A189" s="627" t="s">
        <v>881</v>
      </c>
      <c r="B189" s="640" t="s">
        <v>97</v>
      </c>
      <c r="C189" s="629">
        <v>0.2</v>
      </c>
      <c r="D189" s="641" t="s">
        <v>868</v>
      </c>
      <c r="E189" s="629">
        <v>645.0</v>
      </c>
      <c r="F189" s="643" t="s">
        <v>890</v>
      </c>
      <c r="G189" s="631">
        <f t="shared" si="8"/>
        <v>129</v>
      </c>
      <c r="H189" s="473"/>
      <c r="I189" s="473"/>
    </row>
    <row r="190">
      <c r="A190" s="632"/>
      <c r="B190" s="633" t="s">
        <v>990</v>
      </c>
      <c r="C190" s="629"/>
      <c r="D190" s="629"/>
      <c r="E190" s="629"/>
      <c r="F190" s="630"/>
      <c r="G190" s="631">
        <f>SUM(G188:G189)</f>
        <v>285.8</v>
      </c>
      <c r="H190" s="473"/>
      <c r="I190" s="473"/>
    </row>
    <row r="191">
      <c r="A191" s="632"/>
      <c r="B191" s="633" t="s">
        <v>908</v>
      </c>
      <c r="C191" s="629"/>
      <c r="D191" s="629"/>
      <c r="E191" s="629"/>
      <c r="F191" s="630"/>
      <c r="G191" s="631">
        <f>G190*0.01</f>
        <v>2.858</v>
      </c>
      <c r="H191" s="473"/>
      <c r="I191" s="473"/>
    </row>
    <row r="192">
      <c r="A192" s="632"/>
      <c r="B192" s="633" t="s">
        <v>37</v>
      </c>
      <c r="C192" s="629"/>
      <c r="D192" s="629"/>
      <c r="E192" s="629"/>
      <c r="F192" s="630"/>
      <c r="G192" s="631">
        <f>SUM(G190:G191)</f>
        <v>288.658</v>
      </c>
      <c r="H192" s="473"/>
      <c r="I192" s="473"/>
    </row>
    <row r="193">
      <c r="A193" s="632"/>
      <c r="B193" s="633" t="s">
        <v>912</v>
      </c>
      <c r="C193" s="629"/>
      <c r="D193" s="629"/>
      <c r="E193" s="629"/>
      <c r="F193" s="630"/>
      <c r="G193" s="631">
        <f>G192*15%</f>
        <v>43.2987</v>
      </c>
      <c r="H193" s="473"/>
      <c r="I193" s="473"/>
    </row>
    <row r="194">
      <c r="A194" s="632"/>
      <c r="B194" s="634" t="s">
        <v>2159</v>
      </c>
      <c r="C194" s="635"/>
      <c r="D194" s="629"/>
      <c r="E194" s="629"/>
      <c r="F194" s="630"/>
      <c r="G194" s="638">
        <f>round(SUM(G192:G193),2)</f>
        <v>331.96</v>
      </c>
      <c r="H194" s="639"/>
      <c r="I194" s="639"/>
    </row>
    <row r="195">
      <c r="A195" s="218" t="str">
        <f>CONCATENATE("Say ₹ ",G187," + ",G194," x Cost Index")</f>
        <v>Say ₹ 18191.41 + 331.96 x Cost Index</v>
      </c>
      <c r="B195" s="2"/>
      <c r="C195" s="2"/>
      <c r="D195" s="2"/>
      <c r="E195" s="2"/>
      <c r="F195" s="2"/>
      <c r="G195" s="3"/>
      <c r="H195" s="622">
        <f>G183*1.01*1.15</f>
        <v>18191.413</v>
      </c>
      <c r="I195" s="622">
        <f>(G188+G189)*1.01*1.15</f>
        <v>331.9567</v>
      </c>
    </row>
    <row r="196">
      <c r="A196" s="623" t="s">
        <v>896</v>
      </c>
      <c r="B196" s="672" t="s">
        <v>2533</v>
      </c>
      <c r="C196" s="2"/>
      <c r="D196" s="2"/>
      <c r="E196" s="2"/>
      <c r="F196" s="2"/>
      <c r="G196" s="193"/>
      <c r="H196" s="668"/>
      <c r="I196" s="668"/>
    </row>
    <row r="197">
      <c r="A197" s="644" t="s">
        <v>864</v>
      </c>
      <c r="B197" s="628" t="s">
        <v>2538</v>
      </c>
      <c r="C197" s="629">
        <v>1.0</v>
      </c>
      <c r="D197" s="629" t="s">
        <v>1117</v>
      </c>
      <c r="E197" s="629">
        <v>42500.0</v>
      </c>
      <c r="F197" s="630" t="s">
        <v>2151</v>
      </c>
      <c r="G197" s="631">
        <f>C197*E197</f>
        <v>42500</v>
      </c>
      <c r="H197" s="473"/>
      <c r="I197" s="473"/>
    </row>
    <row r="198">
      <c r="A198" s="632"/>
      <c r="B198" s="633" t="s">
        <v>908</v>
      </c>
      <c r="C198" s="629"/>
      <c r="D198" s="629"/>
      <c r="E198" s="629"/>
      <c r="F198" s="630"/>
      <c r="G198" s="631">
        <f>G197*1%</f>
        <v>425</v>
      </c>
      <c r="H198" s="473"/>
      <c r="I198" s="473"/>
    </row>
    <row r="199">
      <c r="A199" s="632"/>
      <c r="B199" s="633" t="s">
        <v>37</v>
      </c>
      <c r="C199" s="629"/>
      <c r="D199" s="629"/>
      <c r="E199" s="629"/>
      <c r="F199" s="630"/>
      <c r="G199" s="631">
        <f>SUM(G197:G198)</f>
        <v>42925</v>
      </c>
      <c r="H199" s="473"/>
      <c r="I199" s="473"/>
    </row>
    <row r="200">
      <c r="A200" s="632"/>
      <c r="B200" s="633" t="s">
        <v>912</v>
      </c>
      <c r="C200" s="629"/>
      <c r="D200" s="629"/>
      <c r="E200" s="629"/>
      <c r="F200" s="630"/>
      <c r="G200" s="631">
        <f>G199*15%</f>
        <v>6438.75</v>
      </c>
      <c r="H200" s="473"/>
      <c r="I200" s="473"/>
    </row>
    <row r="201">
      <c r="A201" s="632"/>
      <c r="B201" s="634" t="s">
        <v>2159</v>
      </c>
      <c r="C201" s="629"/>
      <c r="D201" s="629"/>
      <c r="E201" s="629"/>
      <c r="F201" s="630"/>
      <c r="G201" s="638">
        <f>round(SUM(G199:G200),2)</f>
        <v>49363.75</v>
      </c>
      <c r="H201" s="639"/>
      <c r="I201" s="639"/>
    </row>
    <row r="202">
      <c r="A202" s="627" t="s">
        <v>879</v>
      </c>
      <c r="B202" s="640" t="s">
        <v>888</v>
      </c>
      <c r="C202" s="629">
        <v>0.2</v>
      </c>
      <c r="D202" s="641" t="s">
        <v>868</v>
      </c>
      <c r="E202" s="629">
        <v>784.0</v>
      </c>
      <c r="F202" s="643" t="s">
        <v>890</v>
      </c>
      <c r="G202" s="631">
        <f t="shared" ref="G202:G203" si="9">C202*E202</f>
        <v>156.8</v>
      </c>
      <c r="H202" s="473"/>
      <c r="I202" s="473"/>
    </row>
    <row r="203">
      <c r="A203" s="627" t="s">
        <v>881</v>
      </c>
      <c r="B203" s="640" t="s">
        <v>97</v>
      </c>
      <c r="C203" s="629">
        <v>0.2</v>
      </c>
      <c r="D203" s="641" t="s">
        <v>868</v>
      </c>
      <c r="E203" s="629">
        <v>645.0</v>
      </c>
      <c r="F203" s="643" t="s">
        <v>890</v>
      </c>
      <c r="G203" s="631">
        <f t="shared" si="9"/>
        <v>129</v>
      </c>
      <c r="H203" s="473"/>
      <c r="I203" s="473"/>
    </row>
    <row r="204">
      <c r="A204" s="632"/>
      <c r="B204" s="633" t="s">
        <v>990</v>
      </c>
      <c r="C204" s="629"/>
      <c r="D204" s="629"/>
      <c r="E204" s="629"/>
      <c r="F204" s="630"/>
      <c r="G204" s="631">
        <f>SUM(G202:G203)</f>
        <v>285.8</v>
      </c>
      <c r="H204" s="473"/>
      <c r="I204" s="473"/>
    </row>
    <row r="205">
      <c r="A205" s="632"/>
      <c r="B205" s="633" t="s">
        <v>908</v>
      </c>
      <c r="C205" s="629"/>
      <c r="D205" s="629"/>
      <c r="E205" s="629"/>
      <c r="F205" s="630"/>
      <c r="G205" s="631">
        <f>G204*0.01</f>
        <v>2.858</v>
      </c>
      <c r="H205" s="473"/>
      <c r="I205" s="473"/>
    </row>
    <row r="206">
      <c r="A206" s="632"/>
      <c r="B206" s="633" t="s">
        <v>37</v>
      </c>
      <c r="C206" s="629"/>
      <c r="D206" s="629"/>
      <c r="E206" s="629"/>
      <c r="F206" s="630"/>
      <c r="G206" s="631">
        <f>SUM(G204:G205)</f>
        <v>288.658</v>
      </c>
      <c r="H206" s="473"/>
      <c r="I206" s="473"/>
    </row>
    <row r="207">
      <c r="A207" s="632"/>
      <c r="B207" s="633" t="s">
        <v>912</v>
      </c>
      <c r="C207" s="629"/>
      <c r="D207" s="629"/>
      <c r="E207" s="629"/>
      <c r="F207" s="630"/>
      <c r="G207" s="631">
        <f>G206*15%</f>
        <v>43.2987</v>
      </c>
      <c r="H207" s="473"/>
      <c r="I207" s="473"/>
    </row>
    <row r="208">
      <c r="A208" s="632"/>
      <c r="B208" s="634" t="s">
        <v>2159</v>
      </c>
      <c r="C208" s="635"/>
      <c r="D208" s="629"/>
      <c r="E208" s="629"/>
      <c r="F208" s="630"/>
      <c r="G208" s="638">
        <f>round(SUM(G206:G207),2)</f>
        <v>331.96</v>
      </c>
      <c r="H208" s="639"/>
      <c r="I208" s="639"/>
    </row>
    <row r="209">
      <c r="A209" s="218" t="str">
        <f>CONCATENATE("Say ₹ ",G201," + ",G208," x Cost Index")</f>
        <v>Say ₹ 49363.75 + 331.96 x Cost Index</v>
      </c>
      <c r="B209" s="2"/>
      <c r="C209" s="2"/>
      <c r="D209" s="2"/>
      <c r="E209" s="2"/>
      <c r="F209" s="2"/>
      <c r="G209" s="3"/>
      <c r="H209" s="622">
        <f>G197*1.01*1.15</f>
        <v>49363.75</v>
      </c>
      <c r="I209" s="622">
        <f>(G202+G203)*1.01*1.15</f>
        <v>331.9567</v>
      </c>
    </row>
    <row r="210">
      <c r="A210" s="621" t="s">
        <v>2620</v>
      </c>
      <c r="B210" s="2"/>
      <c r="C210" s="2"/>
      <c r="D210" s="2"/>
      <c r="E210" s="2"/>
      <c r="F210" s="2"/>
      <c r="G210" s="193"/>
      <c r="H210" s="639"/>
      <c r="I210" s="639"/>
    </row>
    <row r="211">
      <c r="A211" s="623" t="s">
        <v>882</v>
      </c>
      <c r="B211" s="625" t="s">
        <v>2625</v>
      </c>
      <c r="C211" s="2"/>
      <c r="D211" s="2"/>
      <c r="E211" s="2"/>
      <c r="F211" s="2"/>
      <c r="G211" s="193"/>
      <c r="H211" s="626"/>
      <c r="I211" s="626"/>
    </row>
    <row r="212">
      <c r="A212" s="644" t="s">
        <v>864</v>
      </c>
      <c r="B212" s="628" t="s">
        <v>2630</v>
      </c>
      <c r="C212" s="629">
        <v>1.0</v>
      </c>
      <c r="D212" s="629" t="s">
        <v>1117</v>
      </c>
      <c r="E212" s="629">
        <v>12699.0</v>
      </c>
      <c r="F212" s="630" t="s">
        <v>2151</v>
      </c>
      <c r="G212" s="631">
        <f>C212*E212</f>
        <v>12699</v>
      </c>
      <c r="H212" s="473"/>
      <c r="I212" s="473"/>
    </row>
    <row r="213">
      <c r="A213" s="632"/>
      <c r="B213" s="633" t="s">
        <v>908</v>
      </c>
      <c r="C213" s="629"/>
      <c r="D213" s="629"/>
      <c r="E213" s="629"/>
      <c r="F213" s="630"/>
      <c r="G213" s="631">
        <f>G212*1%</f>
        <v>126.99</v>
      </c>
      <c r="H213" s="473"/>
      <c r="I213" s="473"/>
    </row>
    <row r="214">
      <c r="A214" s="632"/>
      <c r="B214" s="633" t="s">
        <v>37</v>
      </c>
      <c r="C214" s="629"/>
      <c r="D214" s="629"/>
      <c r="E214" s="629"/>
      <c r="F214" s="630"/>
      <c r="G214" s="631">
        <f>SUM(G212:G213)</f>
        <v>12825.99</v>
      </c>
      <c r="H214" s="473"/>
      <c r="I214" s="473"/>
    </row>
    <row r="215">
      <c r="A215" s="632"/>
      <c r="B215" s="633" t="s">
        <v>912</v>
      </c>
      <c r="C215" s="629"/>
      <c r="D215" s="629"/>
      <c r="E215" s="629"/>
      <c r="F215" s="630"/>
      <c r="G215" s="631">
        <f>G214*15%</f>
        <v>1923.8985</v>
      </c>
      <c r="H215" s="473"/>
      <c r="I215" s="473"/>
    </row>
    <row r="216">
      <c r="A216" s="632"/>
      <c r="B216" s="634" t="s">
        <v>2159</v>
      </c>
      <c r="C216" s="629"/>
      <c r="D216" s="629"/>
      <c r="E216" s="629"/>
      <c r="F216" s="630"/>
      <c r="G216" s="638">
        <f>round(SUM(G214:G215),2)</f>
        <v>14749.89</v>
      </c>
      <c r="H216" s="639"/>
      <c r="I216" s="639"/>
    </row>
    <row r="217">
      <c r="A217" s="627" t="s">
        <v>879</v>
      </c>
      <c r="B217" s="640" t="s">
        <v>888</v>
      </c>
      <c r="C217" s="629">
        <v>0.2</v>
      </c>
      <c r="D217" s="641" t="s">
        <v>868</v>
      </c>
      <c r="E217" s="629">
        <v>784.0</v>
      </c>
      <c r="F217" s="643" t="s">
        <v>890</v>
      </c>
      <c r="G217" s="631">
        <f t="shared" ref="G217:G218" si="10">C217*E217</f>
        <v>156.8</v>
      </c>
      <c r="H217" s="473"/>
      <c r="I217" s="473"/>
    </row>
    <row r="218">
      <c r="A218" s="627" t="s">
        <v>881</v>
      </c>
      <c r="B218" s="640" t="s">
        <v>97</v>
      </c>
      <c r="C218" s="629">
        <v>0.2</v>
      </c>
      <c r="D218" s="641" t="s">
        <v>868</v>
      </c>
      <c r="E218" s="629">
        <v>645.0</v>
      </c>
      <c r="F218" s="643" t="s">
        <v>890</v>
      </c>
      <c r="G218" s="631">
        <f t="shared" si="10"/>
        <v>129</v>
      </c>
      <c r="H218" s="473"/>
      <c r="I218" s="473"/>
    </row>
    <row r="219">
      <c r="A219" s="632"/>
      <c r="B219" s="633" t="s">
        <v>990</v>
      </c>
      <c r="C219" s="629"/>
      <c r="D219" s="629"/>
      <c r="E219" s="629"/>
      <c r="F219" s="630"/>
      <c r="G219" s="631">
        <f>SUM(G217:G218)</f>
        <v>285.8</v>
      </c>
      <c r="H219" s="473"/>
      <c r="I219" s="473"/>
    </row>
    <row r="220">
      <c r="A220" s="632"/>
      <c r="B220" s="633" t="s">
        <v>908</v>
      </c>
      <c r="C220" s="629"/>
      <c r="D220" s="629"/>
      <c r="E220" s="629"/>
      <c r="F220" s="630"/>
      <c r="G220" s="631">
        <f>G219*0.01</f>
        <v>2.858</v>
      </c>
      <c r="H220" s="473"/>
      <c r="I220" s="473"/>
    </row>
    <row r="221">
      <c r="A221" s="632"/>
      <c r="B221" s="633" t="s">
        <v>37</v>
      </c>
      <c r="C221" s="629"/>
      <c r="D221" s="629"/>
      <c r="E221" s="629"/>
      <c r="F221" s="630"/>
      <c r="G221" s="631">
        <f>SUM(G219:G220)</f>
        <v>288.658</v>
      </c>
      <c r="H221" s="473"/>
      <c r="I221" s="473"/>
    </row>
    <row r="222">
      <c r="A222" s="632"/>
      <c r="B222" s="633" t="s">
        <v>912</v>
      </c>
      <c r="C222" s="629"/>
      <c r="D222" s="629"/>
      <c r="E222" s="629"/>
      <c r="F222" s="630"/>
      <c r="G222" s="631">
        <f>G221*15%</f>
        <v>43.2987</v>
      </c>
      <c r="H222" s="473"/>
      <c r="I222" s="473"/>
    </row>
    <row r="223">
      <c r="A223" s="632"/>
      <c r="B223" s="634" t="s">
        <v>2159</v>
      </c>
      <c r="C223" s="635"/>
      <c r="D223" s="629"/>
      <c r="E223" s="629"/>
      <c r="F223" s="630"/>
      <c r="G223" s="638">
        <f>round(SUM(G221:G222),2)</f>
        <v>331.96</v>
      </c>
      <c r="H223" s="639"/>
      <c r="I223" s="639"/>
    </row>
    <row r="224">
      <c r="A224" s="218" t="str">
        <f>CONCATENATE("Say ₹ ",G216," + ",G223," x Cost Index")</f>
        <v>Say ₹ 14749.89 + 331.96 x Cost Index</v>
      </c>
      <c r="B224" s="2"/>
      <c r="C224" s="2"/>
      <c r="D224" s="2"/>
      <c r="E224" s="2"/>
      <c r="F224" s="2"/>
      <c r="G224" s="3"/>
      <c r="H224" s="622">
        <f>G212*1.01*1.15</f>
        <v>14749.8885</v>
      </c>
      <c r="I224" s="622">
        <f>(G217+G218)*1.01*1.15</f>
        <v>331.9567</v>
      </c>
    </row>
    <row r="225">
      <c r="A225" s="623" t="s">
        <v>896</v>
      </c>
      <c r="B225" s="625" t="s">
        <v>2707</v>
      </c>
      <c r="C225" s="2"/>
      <c r="D225" s="2"/>
      <c r="E225" s="2"/>
      <c r="F225" s="2"/>
      <c r="G225" s="193"/>
      <c r="H225" s="626"/>
      <c r="I225" s="626"/>
    </row>
    <row r="226">
      <c r="A226" s="644" t="s">
        <v>864</v>
      </c>
      <c r="B226" s="628" t="s">
        <v>2712</v>
      </c>
      <c r="C226" s="629">
        <v>1.0</v>
      </c>
      <c r="D226" s="629" t="s">
        <v>1117</v>
      </c>
      <c r="E226" s="629">
        <v>15180.0</v>
      </c>
      <c r="F226" s="630" t="s">
        <v>2151</v>
      </c>
      <c r="G226" s="631">
        <f>C226*E226</f>
        <v>15180</v>
      </c>
      <c r="H226" s="473"/>
      <c r="I226" s="473"/>
    </row>
    <row r="227">
      <c r="A227" s="632"/>
      <c r="B227" s="633" t="s">
        <v>908</v>
      </c>
      <c r="C227" s="629"/>
      <c r="D227" s="629"/>
      <c r="E227" s="629"/>
      <c r="F227" s="630"/>
      <c r="G227" s="631">
        <f>G226*1%</f>
        <v>151.8</v>
      </c>
      <c r="H227" s="473"/>
      <c r="I227" s="473"/>
    </row>
    <row r="228">
      <c r="A228" s="632"/>
      <c r="B228" s="633" t="s">
        <v>37</v>
      </c>
      <c r="C228" s="629"/>
      <c r="D228" s="629"/>
      <c r="E228" s="629"/>
      <c r="F228" s="630"/>
      <c r="G228" s="631">
        <f>SUM(G226:G227)</f>
        <v>15331.8</v>
      </c>
      <c r="H228" s="473"/>
      <c r="I228" s="473"/>
    </row>
    <row r="229">
      <c r="A229" s="632"/>
      <c r="B229" s="633" t="s">
        <v>912</v>
      </c>
      <c r="C229" s="629"/>
      <c r="D229" s="629"/>
      <c r="E229" s="629"/>
      <c r="F229" s="630"/>
      <c r="G229" s="631">
        <f>G228*15%</f>
        <v>2299.77</v>
      </c>
      <c r="H229" s="473"/>
      <c r="I229" s="473"/>
    </row>
    <row r="230">
      <c r="A230" s="632"/>
      <c r="B230" s="634" t="s">
        <v>2159</v>
      </c>
      <c r="C230" s="629"/>
      <c r="D230" s="629"/>
      <c r="E230" s="629"/>
      <c r="F230" s="630"/>
      <c r="G230" s="638">
        <f>round(SUM(G228:G229),2)</f>
        <v>17631.57</v>
      </c>
      <c r="H230" s="639"/>
      <c r="I230" s="639"/>
    </row>
    <row r="231">
      <c r="A231" s="627" t="s">
        <v>879</v>
      </c>
      <c r="B231" s="640" t="s">
        <v>888</v>
      </c>
      <c r="C231" s="629">
        <v>0.2</v>
      </c>
      <c r="D231" s="641" t="s">
        <v>868</v>
      </c>
      <c r="E231" s="629">
        <v>784.0</v>
      </c>
      <c r="F231" s="643" t="s">
        <v>890</v>
      </c>
      <c r="G231" s="631">
        <f t="shared" ref="G231:G232" si="11">C231*E231</f>
        <v>156.8</v>
      </c>
      <c r="H231" s="473"/>
      <c r="I231" s="473"/>
    </row>
    <row r="232">
      <c r="A232" s="627" t="s">
        <v>881</v>
      </c>
      <c r="B232" s="640" t="s">
        <v>97</v>
      </c>
      <c r="C232" s="629">
        <v>0.2</v>
      </c>
      <c r="D232" s="641" t="s">
        <v>868</v>
      </c>
      <c r="E232" s="629">
        <v>645.0</v>
      </c>
      <c r="F232" s="643" t="s">
        <v>890</v>
      </c>
      <c r="G232" s="631">
        <f t="shared" si="11"/>
        <v>129</v>
      </c>
      <c r="H232" s="473"/>
      <c r="I232" s="473"/>
    </row>
    <row r="233">
      <c r="A233" s="632"/>
      <c r="B233" s="633" t="s">
        <v>990</v>
      </c>
      <c r="C233" s="629"/>
      <c r="D233" s="629"/>
      <c r="E233" s="629"/>
      <c r="F233" s="630"/>
      <c r="G233" s="631">
        <f>SUM(G231:G232)</f>
        <v>285.8</v>
      </c>
      <c r="H233" s="473"/>
      <c r="I233" s="473"/>
    </row>
    <row r="234">
      <c r="A234" s="632"/>
      <c r="B234" s="633" t="s">
        <v>908</v>
      </c>
      <c r="C234" s="629"/>
      <c r="D234" s="629"/>
      <c r="E234" s="629"/>
      <c r="F234" s="630"/>
      <c r="G234" s="631">
        <f>G233*0.01</f>
        <v>2.858</v>
      </c>
      <c r="H234" s="473"/>
      <c r="I234" s="473"/>
    </row>
    <row r="235">
      <c r="A235" s="632"/>
      <c r="B235" s="633" t="s">
        <v>37</v>
      </c>
      <c r="C235" s="629"/>
      <c r="D235" s="629"/>
      <c r="E235" s="629"/>
      <c r="F235" s="630"/>
      <c r="G235" s="631">
        <f>SUM(G233:G234)</f>
        <v>288.658</v>
      </c>
      <c r="H235" s="473"/>
      <c r="I235" s="473"/>
    </row>
    <row r="236">
      <c r="A236" s="632"/>
      <c r="B236" s="633" t="s">
        <v>912</v>
      </c>
      <c r="C236" s="629"/>
      <c r="D236" s="629"/>
      <c r="E236" s="629"/>
      <c r="F236" s="630"/>
      <c r="G236" s="631">
        <f>G235*15%</f>
        <v>43.2987</v>
      </c>
      <c r="H236" s="473"/>
      <c r="I236" s="473"/>
    </row>
    <row r="237">
      <c r="A237" s="632"/>
      <c r="B237" s="634" t="s">
        <v>2159</v>
      </c>
      <c r="C237" s="635"/>
      <c r="D237" s="629"/>
      <c r="E237" s="629"/>
      <c r="F237" s="630"/>
      <c r="G237" s="638">
        <f>round(SUM(G235:G236),2)</f>
        <v>331.96</v>
      </c>
      <c r="H237" s="639"/>
      <c r="I237" s="639"/>
    </row>
    <row r="238">
      <c r="A238" s="218" t="str">
        <f>CONCATENATE("Say ₹ ",G230," + ",G237," x Cost Index")</f>
        <v>Say ₹ 17631.57 + 331.96 x Cost Index</v>
      </c>
      <c r="B238" s="2"/>
      <c r="C238" s="2"/>
      <c r="D238" s="2"/>
      <c r="E238" s="2"/>
      <c r="F238" s="2"/>
      <c r="G238" s="3"/>
      <c r="H238" s="622">
        <f>G226*1.01*1.15</f>
        <v>17631.57</v>
      </c>
      <c r="I238" s="622">
        <f>(G231+G232)*1.01*1.15</f>
        <v>331.9567</v>
      </c>
    </row>
    <row r="239">
      <c r="A239" s="623" t="s">
        <v>2193</v>
      </c>
      <c r="B239" s="625" t="s">
        <v>2783</v>
      </c>
      <c r="C239" s="2"/>
      <c r="D239" s="2"/>
      <c r="E239" s="2"/>
      <c r="F239" s="2"/>
      <c r="G239" s="193"/>
      <c r="H239" s="626"/>
      <c r="I239" s="626"/>
    </row>
    <row r="240">
      <c r="A240" s="644" t="s">
        <v>864</v>
      </c>
      <c r="B240" s="628" t="s">
        <v>2787</v>
      </c>
      <c r="C240" s="629">
        <v>1.0</v>
      </c>
      <c r="D240" s="629" t="s">
        <v>1117</v>
      </c>
      <c r="E240" s="629">
        <v>22270.0</v>
      </c>
      <c r="F240" s="630" t="s">
        <v>2151</v>
      </c>
      <c r="G240" s="631">
        <f>C240*E240</f>
        <v>22270</v>
      </c>
      <c r="H240" s="473"/>
      <c r="I240" s="473"/>
    </row>
    <row r="241">
      <c r="A241" s="632"/>
      <c r="B241" s="633" t="s">
        <v>908</v>
      </c>
      <c r="C241" s="629"/>
      <c r="D241" s="629"/>
      <c r="E241" s="629"/>
      <c r="F241" s="630"/>
      <c r="G241" s="631">
        <f>G240*1%</f>
        <v>222.7</v>
      </c>
      <c r="H241" s="473"/>
      <c r="I241" s="473"/>
    </row>
    <row r="242">
      <c r="A242" s="632"/>
      <c r="B242" s="633" t="s">
        <v>37</v>
      </c>
      <c r="C242" s="629"/>
      <c r="D242" s="629"/>
      <c r="E242" s="629"/>
      <c r="F242" s="630"/>
      <c r="G242" s="631">
        <f>SUM(G240:G241)</f>
        <v>22492.7</v>
      </c>
      <c r="H242" s="473"/>
      <c r="I242" s="473"/>
    </row>
    <row r="243">
      <c r="A243" s="632"/>
      <c r="B243" s="633" t="s">
        <v>912</v>
      </c>
      <c r="C243" s="629"/>
      <c r="D243" s="629"/>
      <c r="E243" s="629"/>
      <c r="F243" s="630"/>
      <c r="G243" s="631">
        <f>G242*15%</f>
        <v>3373.905</v>
      </c>
      <c r="H243" s="473"/>
      <c r="I243" s="473"/>
    </row>
    <row r="244">
      <c r="A244" s="632"/>
      <c r="B244" s="634" t="s">
        <v>2159</v>
      </c>
      <c r="C244" s="629"/>
      <c r="D244" s="629"/>
      <c r="E244" s="629"/>
      <c r="F244" s="630"/>
      <c r="G244" s="638">
        <f>round(SUM(G242:G243),2)</f>
        <v>25866.61</v>
      </c>
      <c r="H244" s="639"/>
      <c r="I244" s="639"/>
    </row>
    <row r="245">
      <c r="A245" s="627" t="s">
        <v>879</v>
      </c>
      <c r="B245" s="640" t="s">
        <v>888</v>
      </c>
      <c r="C245" s="629">
        <v>0.2</v>
      </c>
      <c r="D245" s="641" t="s">
        <v>868</v>
      </c>
      <c r="E245" s="629">
        <v>784.0</v>
      </c>
      <c r="F245" s="643" t="s">
        <v>890</v>
      </c>
      <c r="G245" s="631">
        <f t="shared" ref="G245:G246" si="12">C245*E245</f>
        <v>156.8</v>
      </c>
      <c r="H245" s="473"/>
      <c r="I245" s="473"/>
    </row>
    <row r="246">
      <c r="A246" s="627" t="s">
        <v>881</v>
      </c>
      <c r="B246" s="640" t="s">
        <v>97</v>
      </c>
      <c r="C246" s="629">
        <v>0.2</v>
      </c>
      <c r="D246" s="641" t="s">
        <v>868</v>
      </c>
      <c r="E246" s="629">
        <v>645.0</v>
      </c>
      <c r="F246" s="643" t="s">
        <v>890</v>
      </c>
      <c r="G246" s="631">
        <f t="shared" si="12"/>
        <v>129</v>
      </c>
      <c r="H246" s="473"/>
      <c r="I246" s="473"/>
    </row>
    <row r="247">
      <c r="A247" s="632"/>
      <c r="B247" s="633" t="s">
        <v>990</v>
      </c>
      <c r="C247" s="629"/>
      <c r="D247" s="629"/>
      <c r="E247" s="629"/>
      <c r="F247" s="630"/>
      <c r="G247" s="631">
        <f>SUM(G245:G246)</f>
        <v>285.8</v>
      </c>
      <c r="H247" s="473"/>
      <c r="I247" s="473"/>
    </row>
    <row r="248">
      <c r="A248" s="632"/>
      <c r="B248" s="633" t="s">
        <v>908</v>
      </c>
      <c r="C248" s="629"/>
      <c r="D248" s="629"/>
      <c r="E248" s="629"/>
      <c r="F248" s="630"/>
      <c r="G248" s="631">
        <f>G247*0.01</f>
        <v>2.858</v>
      </c>
      <c r="H248" s="473"/>
      <c r="I248" s="473"/>
    </row>
    <row r="249">
      <c r="A249" s="632"/>
      <c r="B249" s="633" t="s">
        <v>37</v>
      </c>
      <c r="C249" s="629"/>
      <c r="D249" s="629"/>
      <c r="E249" s="629"/>
      <c r="F249" s="630"/>
      <c r="G249" s="631">
        <f>SUM(G247:G248)</f>
        <v>288.658</v>
      </c>
      <c r="H249" s="473"/>
      <c r="I249" s="473"/>
    </row>
    <row r="250">
      <c r="A250" s="632"/>
      <c r="B250" s="633" t="s">
        <v>912</v>
      </c>
      <c r="C250" s="629"/>
      <c r="D250" s="629"/>
      <c r="E250" s="629"/>
      <c r="F250" s="630"/>
      <c r="G250" s="631">
        <f>G249*15%</f>
        <v>43.2987</v>
      </c>
      <c r="H250" s="473"/>
      <c r="I250" s="473"/>
    </row>
    <row r="251">
      <c r="A251" s="632"/>
      <c r="B251" s="634" t="s">
        <v>2159</v>
      </c>
      <c r="C251" s="635"/>
      <c r="D251" s="629"/>
      <c r="E251" s="629"/>
      <c r="F251" s="630"/>
      <c r="G251" s="638">
        <f>round(SUM(G249:G250),2)</f>
        <v>331.96</v>
      </c>
      <c r="H251" s="639"/>
      <c r="I251" s="639"/>
    </row>
    <row r="252">
      <c r="A252" s="218" t="str">
        <f>CONCATENATE("Say ₹ ",G244," + ",G251," x Cost Index")</f>
        <v>Say ₹ 25866.61 + 331.96 x Cost Index</v>
      </c>
      <c r="B252" s="2"/>
      <c r="C252" s="2"/>
      <c r="D252" s="2"/>
      <c r="E252" s="2"/>
      <c r="F252" s="2"/>
      <c r="G252" s="3"/>
      <c r="H252" s="622">
        <f>G240*1.01*1.15</f>
        <v>25866.605</v>
      </c>
      <c r="I252" s="622">
        <f>(G245+G246)*1.01*1.15</f>
        <v>331.9567</v>
      </c>
    </row>
    <row r="253">
      <c r="A253" s="621" t="s">
        <v>2863</v>
      </c>
      <c r="B253" s="2"/>
      <c r="C253" s="2"/>
      <c r="D253" s="2"/>
      <c r="E253" s="2"/>
      <c r="F253" s="2"/>
      <c r="G253" s="193"/>
      <c r="H253" s="639"/>
      <c r="I253" s="639"/>
    </row>
    <row r="254">
      <c r="A254" s="623" t="s">
        <v>882</v>
      </c>
      <c r="B254" s="625" t="s">
        <v>2868</v>
      </c>
      <c r="C254" s="2"/>
      <c r="D254" s="2"/>
      <c r="E254" s="2"/>
      <c r="F254" s="2"/>
      <c r="G254" s="193"/>
      <c r="H254" s="668"/>
      <c r="I254" s="668"/>
    </row>
    <row r="255">
      <c r="A255" s="644" t="s">
        <v>864</v>
      </c>
      <c r="B255" s="628" t="s">
        <v>2873</v>
      </c>
      <c r="C255" s="629">
        <v>1.0</v>
      </c>
      <c r="D255" s="629" t="s">
        <v>1117</v>
      </c>
      <c r="E255" s="629">
        <v>16282.0</v>
      </c>
      <c r="F255" s="630" t="s">
        <v>2151</v>
      </c>
      <c r="G255" s="631">
        <f>C255*E255</f>
        <v>16282</v>
      </c>
      <c r="H255" s="473"/>
      <c r="I255" s="473"/>
    </row>
    <row r="256">
      <c r="A256" s="632"/>
      <c r="B256" s="633" t="s">
        <v>908</v>
      </c>
      <c r="C256" s="629"/>
      <c r="D256" s="629"/>
      <c r="E256" s="629"/>
      <c r="F256" s="630"/>
      <c r="G256" s="631">
        <f>G255*1%</f>
        <v>162.82</v>
      </c>
      <c r="H256" s="473"/>
      <c r="I256" s="473"/>
    </row>
    <row r="257">
      <c r="A257" s="632"/>
      <c r="B257" s="633" t="s">
        <v>37</v>
      </c>
      <c r="C257" s="629"/>
      <c r="D257" s="629"/>
      <c r="E257" s="629"/>
      <c r="F257" s="630"/>
      <c r="G257" s="631">
        <f>SUM(G255:G256)</f>
        <v>16444.82</v>
      </c>
      <c r="H257" s="473"/>
      <c r="I257" s="473"/>
    </row>
    <row r="258">
      <c r="A258" s="632"/>
      <c r="B258" s="633" t="s">
        <v>912</v>
      </c>
      <c r="C258" s="629"/>
      <c r="D258" s="629"/>
      <c r="E258" s="629"/>
      <c r="F258" s="630"/>
      <c r="G258" s="631">
        <f>G257*15%</f>
        <v>2466.723</v>
      </c>
      <c r="H258" s="473"/>
      <c r="I258" s="473"/>
    </row>
    <row r="259">
      <c r="A259" s="632"/>
      <c r="B259" s="634" t="s">
        <v>2159</v>
      </c>
      <c r="C259" s="629"/>
      <c r="D259" s="629"/>
      <c r="E259" s="629"/>
      <c r="F259" s="630"/>
      <c r="G259" s="638">
        <f>round(SUM(G257:G258),2)</f>
        <v>18911.54</v>
      </c>
      <c r="H259" s="639"/>
      <c r="I259" s="639"/>
    </row>
    <row r="260">
      <c r="A260" s="627" t="s">
        <v>879</v>
      </c>
      <c r="B260" s="640" t="s">
        <v>888</v>
      </c>
      <c r="C260" s="629">
        <v>0.2</v>
      </c>
      <c r="D260" s="641" t="s">
        <v>868</v>
      </c>
      <c r="E260" s="629">
        <v>784.0</v>
      </c>
      <c r="F260" s="643" t="s">
        <v>890</v>
      </c>
      <c r="G260" s="631">
        <f t="shared" ref="G260:G261" si="13">C260*E260</f>
        <v>156.8</v>
      </c>
      <c r="H260" s="473"/>
      <c r="I260" s="473"/>
    </row>
    <row r="261">
      <c r="A261" s="627" t="s">
        <v>881</v>
      </c>
      <c r="B261" s="640" t="s">
        <v>97</v>
      </c>
      <c r="C261" s="629">
        <v>0.2</v>
      </c>
      <c r="D261" s="641" t="s">
        <v>868</v>
      </c>
      <c r="E261" s="629">
        <v>645.0</v>
      </c>
      <c r="F261" s="643" t="s">
        <v>890</v>
      </c>
      <c r="G261" s="631">
        <f t="shared" si="13"/>
        <v>129</v>
      </c>
      <c r="H261" s="473"/>
      <c r="I261" s="473"/>
    </row>
    <row r="262">
      <c r="A262" s="632"/>
      <c r="B262" s="633" t="s">
        <v>990</v>
      </c>
      <c r="C262" s="629"/>
      <c r="D262" s="629"/>
      <c r="E262" s="629"/>
      <c r="F262" s="630"/>
      <c r="G262" s="631">
        <f>SUM(G260:G261)</f>
        <v>285.8</v>
      </c>
      <c r="H262" s="473"/>
      <c r="I262" s="473"/>
    </row>
    <row r="263">
      <c r="A263" s="632"/>
      <c r="B263" s="633" t="s">
        <v>908</v>
      </c>
      <c r="C263" s="629"/>
      <c r="D263" s="629"/>
      <c r="E263" s="629"/>
      <c r="F263" s="630"/>
      <c r="G263" s="631">
        <f>G262*0.01</f>
        <v>2.858</v>
      </c>
      <c r="H263" s="473"/>
      <c r="I263" s="473"/>
    </row>
    <row r="264">
      <c r="A264" s="632"/>
      <c r="B264" s="633" t="s">
        <v>37</v>
      </c>
      <c r="C264" s="629"/>
      <c r="D264" s="629"/>
      <c r="E264" s="629"/>
      <c r="F264" s="630"/>
      <c r="G264" s="631">
        <f>SUM(G262:G263)</f>
        <v>288.658</v>
      </c>
      <c r="H264" s="473"/>
      <c r="I264" s="473"/>
    </row>
    <row r="265">
      <c r="A265" s="632"/>
      <c r="B265" s="633" t="s">
        <v>912</v>
      </c>
      <c r="C265" s="629"/>
      <c r="D265" s="629"/>
      <c r="E265" s="629"/>
      <c r="F265" s="630"/>
      <c r="G265" s="631">
        <f>G264*15%</f>
        <v>43.2987</v>
      </c>
      <c r="H265" s="473"/>
      <c r="I265" s="473"/>
    </row>
    <row r="266">
      <c r="A266" s="632"/>
      <c r="B266" s="634" t="s">
        <v>2159</v>
      </c>
      <c r="C266" s="635"/>
      <c r="D266" s="629"/>
      <c r="E266" s="629"/>
      <c r="F266" s="630"/>
      <c r="G266" s="638">
        <f>round(SUM(G264:G265),2)</f>
        <v>331.96</v>
      </c>
      <c r="H266" s="639"/>
      <c r="I266" s="639"/>
    </row>
    <row r="267">
      <c r="A267" s="218" t="str">
        <f>CONCATENATE("Say ₹ ",G259," + ",G266," x Cost Index")</f>
        <v>Say ₹ 18911.54 + 331.96 x Cost Index</v>
      </c>
      <c r="B267" s="2"/>
      <c r="C267" s="2"/>
      <c r="D267" s="2"/>
      <c r="E267" s="2"/>
      <c r="F267" s="2"/>
      <c r="G267" s="3"/>
      <c r="H267" s="622">
        <f>G255*1.01*1.15</f>
        <v>18911.543</v>
      </c>
      <c r="I267" s="622">
        <f>(G260+G261)*1.01*1.15</f>
        <v>331.9567</v>
      </c>
    </row>
    <row r="268">
      <c r="A268" s="621" t="s">
        <v>2952</v>
      </c>
      <c r="B268" s="2"/>
      <c r="C268" s="2"/>
      <c r="D268" s="2"/>
      <c r="E268" s="2"/>
      <c r="F268" s="2"/>
      <c r="G268" s="193"/>
      <c r="H268" s="639"/>
      <c r="I268" s="639"/>
    </row>
    <row r="269">
      <c r="A269" s="623" t="s">
        <v>882</v>
      </c>
      <c r="B269" s="625" t="s">
        <v>2958</v>
      </c>
      <c r="C269" s="2"/>
      <c r="D269" s="2"/>
      <c r="E269" s="2"/>
      <c r="F269" s="2"/>
      <c r="G269" s="193"/>
      <c r="H269" s="668"/>
      <c r="I269" s="668"/>
    </row>
    <row r="270">
      <c r="A270" s="644" t="s">
        <v>864</v>
      </c>
      <c r="B270" s="628" t="s">
        <v>2962</v>
      </c>
      <c r="C270" s="629">
        <v>1.0</v>
      </c>
      <c r="D270" s="629" t="s">
        <v>1117</v>
      </c>
      <c r="E270" s="629">
        <v>40522.0</v>
      </c>
      <c r="F270" s="630" t="s">
        <v>2151</v>
      </c>
      <c r="G270" s="631">
        <f>C270*E270</f>
        <v>40522</v>
      </c>
      <c r="H270" s="473"/>
      <c r="I270" s="473"/>
    </row>
    <row r="271">
      <c r="A271" s="632"/>
      <c r="B271" s="633" t="s">
        <v>908</v>
      </c>
      <c r="C271" s="629"/>
      <c r="D271" s="629"/>
      <c r="E271" s="629"/>
      <c r="F271" s="630"/>
      <c r="G271" s="631">
        <f>G270*1%</f>
        <v>405.22</v>
      </c>
      <c r="H271" s="473"/>
      <c r="I271" s="473"/>
    </row>
    <row r="272">
      <c r="A272" s="632"/>
      <c r="B272" s="633" t="s">
        <v>37</v>
      </c>
      <c r="C272" s="629"/>
      <c r="D272" s="629"/>
      <c r="E272" s="629"/>
      <c r="F272" s="630"/>
      <c r="G272" s="631">
        <f>SUM(G270:G271)</f>
        <v>40927.22</v>
      </c>
      <c r="H272" s="473"/>
      <c r="I272" s="473"/>
    </row>
    <row r="273">
      <c r="A273" s="632"/>
      <c r="B273" s="633" t="s">
        <v>912</v>
      </c>
      <c r="C273" s="629"/>
      <c r="D273" s="629"/>
      <c r="E273" s="629"/>
      <c r="F273" s="630"/>
      <c r="G273" s="631">
        <f>G272*15%</f>
        <v>6139.083</v>
      </c>
      <c r="H273" s="473"/>
      <c r="I273" s="473"/>
    </row>
    <row r="274">
      <c r="A274" s="632"/>
      <c r="B274" s="634" t="s">
        <v>2159</v>
      </c>
      <c r="C274" s="629"/>
      <c r="D274" s="629"/>
      <c r="E274" s="629"/>
      <c r="F274" s="630"/>
      <c r="G274" s="638">
        <f>round(SUM(G272:G273),2)</f>
        <v>47066.3</v>
      </c>
      <c r="H274" s="639"/>
      <c r="I274" s="639"/>
    </row>
    <row r="275">
      <c r="A275" s="627" t="s">
        <v>879</v>
      </c>
      <c r="B275" s="640" t="s">
        <v>888</v>
      </c>
      <c r="C275" s="629">
        <v>0.2</v>
      </c>
      <c r="D275" s="641" t="s">
        <v>868</v>
      </c>
      <c r="E275" s="629">
        <v>784.0</v>
      </c>
      <c r="F275" s="643" t="s">
        <v>890</v>
      </c>
      <c r="G275" s="631">
        <f t="shared" ref="G275:G276" si="14">C275*E275</f>
        <v>156.8</v>
      </c>
      <c r="H275" s="473"/>
      <c r="I275" s="473"/>
    </row>
    <row r="276">
      <c r="A276" s="627" t="s">
        <v>881</v>
      </c>
      <c r="B276" s="640" t="s">
        <v>97</v>
      </c>
      <c r="C276" s="629">
        <v>0.2</v>
      </c>
      <c r="D276" s="641" t="s">
        <v>868</v>
      </c>
      <c r="E276" s="629">
        <v>645.0</v>
      </c>
      <c r="F276" s="643" t="s">
        <v>890</v>
      </c>
      <c r="G276" s="631">
        <f t="shared" si="14"/>
        <v>129</v>
      </c>
      <c r="H276" s="473"/>
      <c r="I276" s="473"/>
    </row>
    <row r="277">
      <c r="A277" s="632"/>
      <c r="B277" s="633" t="s">
        <v>990</v>
      </c>
      <c r="C277" s="629"/>
      <c r="D277" s="629"/>
      <c r="E277" s="629"/>
      <c r="F277" s="630"/>
      <c r="G277" s="631">
        <f>SUM(G275:G276)</f>
        <v>285.8</v>
      </c>
      <c r="H277" s="473"/>
      <c r="I277" s="473"/>
    </row>
    <row r="278">
      <c r="A278" s="632"/>
      <c r="B278" s="633" t="s">
        <v>908</v>
      </c>
      <c r="C278" s="629"/>
      <c r="D278" s="629"/>
      <c r="E278" s="629"/>
      <c r="F278" s="630"/>
      <c r="G278" s="631">
        <f>G277*0.01</f>
        <v>2.858</v>
      </c>
      <c r="H278" s="473"/>
      <c r="I278" s="473"/>
    </row>
    <row r="279">
      <c r="A279" s="632"/>
      <c r="B279" s="633" t="s">
        <v>37</v>
      </c>
      <c r="C279" s="629"/>
      <c r="D279" s="629"/>
      <c r="E279" s="629"/>
      <c r="F279" s="630"/>
      <c r="G279" s="631">
        <f>SUM(G277:G278)</f>
        <v>288.658</v>
      </c>
      <c r="H279" s="473"/>
      <c r="I279" s="473"/>
    </row>
    <row r="280">
      <c r="A280" s="632"/>
      <c r="B280" s="633" t="s">
        <v>912</v>
      </c>
      <c r="C280" s="629"/>
      <c r="D280" s="629"/>
      <c r="E280" s="629"/>
      <c r="F280" s="630"/>
      <c r="G280" s="631">
        <f>G279*15%</f>
        <v>43.2987</v>
      </c>
      <c r="H280" s="473"/>
      <c r="I280" s="473"/>
    </row>
    <row r="281">
      <c r="A281" s="632"/>
      <c r="B281" s="634" t="s">
        <v>2159</v>
      </c>
      <c r="C281" s="635"/>
      <c r="D281" s="629"/>
      <c r="E281" s="629"/>
      <c r="F281" s="630"/>
      <c r="G281" s="638">
        <f>round(SUM(G279:G280),2)</f>
        <v>331.96</v>
      </c>
      <c r="H281" s="639"/>
      <c r="I281" s="639"/>
    </row>
    <row r="282">
      <c r="A282" s="218" t="str">
        <f>CONCATENATE("Say ₹ ",G274," + ",G281," x Cost Index")</f>
        <v>Say ₹ 47066.3 + 331.96 x Cost Index</v>
      </c>
      <c r="B282" s="2"/>
      <c r="C282" s="2"/>
      <c r="D282" s="2"/>
      <c r="E282" s="2"/>
      <c r="F282" s="2"/>
      <c r="G282" s="3"/>
      <c r="H282" s="622">
        <f>G270*1.01*1.15</f>
        <v>47066.303</v>
      </c>
      <c r="I282" s="622">
        <f>(G275+G276)*1.01*1.15</f>
        <v>331.9567</v>
      </c>
    </row>
    <row r="283">
      <c r="A283" s="623" t="s">
        <v>896</v>
      </c>
      <c r="B283" s="672" t="s">
        <v>3032</v>
      </c>
      <c r="C283" s="2"/>
      <c r="D283" s="2"/>
      <c r="E283" s="2"/>
      <c r="F283" s="2"/>
      <c r="G283" s="193"/>
      <c r="H283" s="668"/>
      <c r="I283" s="668"/>
    </row>
    <row r="284">
      <c r="A284" s="644" t="s">
        <v>864</v>
      </c>
      <c r="B284" s="628" t="s">
        <v>3037</v>
      </c>
      <c r="C284" s="629">
        <v>1.0</v>
      </c>
      <c r="D284" s="629" t="s">
        <v>1117</v>
      </c>
      <c r="E284" s="629">
        <v>62500.0</v>
      </c>
      <c r="F284" s="630" t="s">
        <v>2151</v>
      </c>
      <c r="G284" s="631">
        <f>C284*E284</f>
        <v>62500</v>
      </c>
      <c r="H284" s="473"/>
      <c r="I284" s="473"/>
    </row>
    <row r="285">
      <c r="A285" s="632"/>
      <c r="B285" s="633" t="s">
        <v>908</v>
      </c>
      <c r="C285" s="629"/>
      <c r="D285" s="629"/>
      <c r="E285" s="629"/>
      <c r="F285" s="630"/>
      <c r="G285" s="631">
        <f>G284*1%</f>
        <v>625</v>
      </c>
      <c r="H285" s="473"/>
      <c r="I285" s="473"/>
    </row>
    <row r="286">
      <c r="A286" s="632"/>
      <c r="B286" s="633" t="s">
        <v>37</v>
      </c>
      <c r="C286" s="629"/>
      <c r="D286" s="629"/>
      <c r="E286" s="629"/>
      <c r="F286" s="630"/>
      <c r="G286" s="631">
        <f>SUM(G284:G285)</f>
        <v>63125</v>
      </c>
      <c r="H286" s="473"/>
      <c r="I286" s="473"/>
    </row>
    <row r="287">
      <c r="A287" s="632"/>
      <c r="B287" s="633" t="s">
        <v>912</v>
      </c>
      <c r="C287" s="629"/>
      <c r="D287" s="629"/>
      <c r="E287" s="629"/>
      <c r="F287" s="630"/>
      <c r="G287" s="631">
        <f>G286*15%</f>
        <v>9468.75</v>
      </c>
      <c r="H287" s="473"/>
      <c r="I287" s="473"/>
    </row>
    <row r="288">
      <c r="A288" s="632"/>
      <c r="B288" s="634" t="s">
        <v>2159</v>
      </c>
      <c r="C288" s="629"/>
      <c r="D288" s="629"/>
      <c r="E288" s="629"/>
      <c r="F288" s="630"/>
      <c r="G288" s="638">
        <f>round(SUM(G286:G287),2)</f>
        <v>72593.75</v>
      </c>
      <c r="H288" s="639"/>
      <c r="I288" s="639"/>
    </row>
    <row r="289">
      <c r="A289" s="627" t="s">
        <v>879</v>
      </c>
      <c r="B289" s="640" t="s">
        <v>888</v>
      </c>
      <c r="C289" s="629">
        <v>0.2</v>
      </c>
      <c r="D289" s="641" t="s">
        <v>868</v>
      </c>
      <c r="E289" s="629">
        <v>784.0</v>
      </c>
      <c r="F289" s="643" t="s">
        <v>890</v>
      </c>
      <c r="G289" s="631">
        <f t="shared" ref="G289:G290" si="15">C289*E289</f>
        <v>156.8</v>
      </c>
      <c r="H289" s="473"/>
      <c r="I289" s="473"/>
    </row>
    <row r="290">
      <c r="A290" s="627" t="s">
        <v>881</v>
      </c>
      <c r="B290" s="640" t="s">
        <v>97</v>
      </c>
      <c r="C290" s="629">
        <v>0.2</v>
      </c>
      <c r="D290" s="641" t="s">
        <v>868</v>
      </c>
      <c r="E290" s="629">
        <v>645.0</v>
      </c>
      <c r="F290" s="643" t="s">
        <v>890</v>
      </c>
      <c r="G290" s="631">
        <f t="shared" si="15"/>
        <v>129</v>
      </c>
      <c r="H290" s="473"/>
      <c r="I290" s="473"/>
    </row>
    <row r="291">
      <c r="A291" s="632"/>
      <c r="B291" s="633" t="s">
        <v>990</v>
      </c>
      <c r="C291" s="629"/>
      <c r="D291" s="629"/>
      <c r="E291" s="629"/>
      <c r="F291" s="630"/>
      <c r="G291" s="631">
        <f>SUM(G289:G290)</f>
        <v>285.8</v>
      </c>
      <c r="H291" s="473"/>
      <c r="I291" s="473"/>
    </row>
    <row r="292">
      <c r="A292" s="632"/>
      <c r="B292" s="633" t="s">
        <v>908</v>
      </c>
      <c r="C292" s="629"/>
      <c r="D292" s="629"/>
      <c r="E292" s="629"/>
      <c r="F292" s="630"/>
      <c r="G292" s="631">
        <f>G291*0.01</f>
        <v>2.858</v>
      </c>
      <c r="H292" s="473"/>
      <c r="I292" s="473"/>
    </row>
    <row r="293">
      <c r="A293" s="632"/>
      <c r="B293" s="633" t="s">
        <v>37</v>
      </c>
      <c r="C293" s="629"/>
      <c r="D293" s="629"/>
      <c r="E293" s="629"/>
      <c r="F293" s="630"/>
      <c r="G293" s="631">
        <f>SUM(G291:G292)</f>
        <v>288.658</v>
      </c>
      <c r="H293" s="473"/>
      <c r="I293" s="473"/>
    </row>
    <row r="294">
      <c r="A294" s="632"/>
      <c r="B294" s="633" t="s">
        <v>912</v>
      </c>
      <c r="C294" s="629"/>
      <c r="D294" s="629"/>
      <c r="E294" s="629"/>
      <c r="F294" s="630"/>
      <c r="G294" s="631">
        <f>G293*15%</f>
        <v>43.2987</v>
      </c>
      <c r="H294" s="473"/>
      <c r="I294" s="473"/>
    </row>
    <row r="295">
      <c r="A295" s="632"/>
      <c r="B295" s="634" t="s">
        <v>2159</v>
      </c>
      <c r="C295" s="635"/>
      <c r="D295" s="629"/>
      <c r="E295" s="629"/>
      <c r="F295" s="630"/>
      <c r="G295" s="638">
        <f>round(SUM(G293:G294),2)</f>
        <v>331.96</v>
      </c>
      <c r="H295" s="639"/>
      <c r="I295" s="639"/>
    </row>
    <row r="296">
      <c r="A296" s="218" t="str">
        <f>CONCATENATE("Say ₹ ",G288," + ",G295," x Cost Index")</f>
        <v>Say ₹ 72593.75 + 331.96 x Cost Index</v>
      </c>
      <c r="B296" s="2"/>
      <c r="C296" s="2"/>
      <c r="D296" s="2"/>
      <c r="E296" s="2"/>
      <c r="F296" s="2"/>
      <c r="G296" s="3"/>
      <c r="H296" s="622">
        <f>G284*1.01*1.15</f>
        <v>72593.75</v>
      </c>
      <c r="I296" s="622">
        <f>(G289+G290)*1.01*1.15</f>
        <v>331.9567</v>
      </c>
    </row>
    <row r="297">
      <c r="A297" s="623" t="s">
        <v>2193</v>
      </c>
      <c r="B297" s="672" t="s">
        <v>3172</v>
      </c>
      <c r="C297" s="2"/>
      <c r="D297" s="2"/>
      <c r="E297" s="2"/>
      <c r="F297" s="2"/>
      <c r="G297" s="193"/>
      <c r="H297" s="668"/>
      <c r="I297" s="668"/>
    </row>
    <row r="298">
      <c r="A298" s="644" t="s">
        <v>864</v>
      </c>
      <c r="B298" s="628" t="s">
        <v>3179</v>
      </c>
      <c r="C298" s="629">
        <v>1.0</v>
      </c>
      <c r="D298" s="629" t="s">
        <v>1117</v>
      </c>
      <c r="E298" s="629">
        <v>71266.0</v>
      </c>
      <c r="F298" s="630" t="s">
        <v>2151</v>
      </c>
      <c r="G298" s="631">
        <f>C298*E298</f>
        <v>71266</v>
      </c>
      <c r="H298" s="473"/>
      <c r="I298" s="473"/>
    </row>
    <row r="299">
      <c r="A299" s="632"/>
      <c r="B299" s="633" t="s">
        <v>908</v>
      </c>
      <c r="C299" s="629"/>
      <c r="D299" s="629"/>
      <c r="E299" s="629"/>
      <c r="F299" s="630"/>
      <c r="G299" s="631">
        <f>G298*1%</f>
        <v>712.66</v>
      </c>
      <c r="H299" s="473"/>
      <c r="I299" s="473"/>
    </row>
    <row r="300">
      <c r="A300" s="632"/>
      <c r="B300" s="633" t="s">
        <v>37</v>
      </c>
      <c r="C300" s="629"/>
      <c r="D300" s="629"/>
      <c r="E300" s="629"/>
      <c r="F300" s="630"/>
      <c r="G300" s="631">
        <f>SUM(G298:G299)</f>
        <v>71978.66</v>
      </c>
      <c r="H300" s="473"/>
      <c r="I300" s="473"/>
    </row>
    <row r="301">
      <c r="A301" s="632"/>
      <c r="B301" s="633" t="s">
        <v>912</v>
      </c>
      <c r="C301" s="629"/>
      <c r="D301" s="629"/>
      <c r="E301" s="629"/>
      <c r="F301" s="630"/>
      <c r="G301" s="631">
        <f>G300*15%</f>
        <v>10796.799</v>
      </c>
      <c r="H301" s="473"/>
      <c r="I301" s="473"/>
    </row>
    <row r="302">
      <c r="A302" s="632"/>
      <c r="B302" s="634" t="s">
        <v>2159</v>
      </c>
      <c r="C302" s="629"/>
      <c r="D302" s="629"/>
      <c r="E302" s="629"/>
      <c r="F302" s="630"/>
      <c r="G302" s="638">
        <f>round(SUM(G300:G301),2)</f>
        <v>82775.46</v>
      </c>
      <c r="H302" s="639"/>
      <c r="I302" s="639"/>
    </row>
    <row r="303">
      <c r="A303" s="627" t="s">
        <v>879</v>
      </c>
      <c r="B303" s="640" t="s">
        <v>888</v>
      </c>
      <c r="C303" s="629">
        <v>0.2</v>
      </c>
      <c r="D303" s="641" t="s">
        <v>868</v>
      </c>
      <c r="E303" s="629">
        <v>784.0</v>
      </c>
      <c r="F303" s="643" t="s">
        <v>890</v>
      </c>
      <c r="G303" s="631">
        <f t="shared" ref="G303:G304" si="16">C303*E303</f>
        <v>156.8</v>
      </c>
      <c r="H303" s="473"/>
      <c r="I303" s="473"/>
    </row>
    <row r="304">
      <c r="A304" s="627" t="s">
        <v>881</v>
      </c>
      <c r="B304" s="640" t="s">
        <v>97</v>
      </c>
      <c r="C304" s="629">
        <v>0.2</v>
      </c>
      <c r="D304" s="641" t="s">
        <v>868</v>
      </c>
      <c r="E304" s="629">
        <v>645.0</v>
      </c>
      <c r="F304" s="643" t="s">
        <v>890</v>
      </c>
      <c r="G304" s="631">
        <f t="shared" si="16"/>
        <v>129</v>
      </c>
      <c r="H304" s="473"/>
      <c r="I304" s="473"/>
    </row>
    <row r="305">
      <c r="A305" s="632"/>
      <c r="B305" s="633" t="s">
        <v>990</v>
      </c>
      <c r="C305" s="629"/>
      <c r="D305" s="629"/>
      <c r="E305" s="629"/>
      <c r="F305" s="630"/>
      <c r="G305" s="631">
        <f>SUM(G303:G304)</f>
        <v>285.8</v>
      </c>
      <c r="H305" s="473"/>
      <c r="I305" s="473"/>
    </row>
    <row r="306">
      <c r="A306" s="632"/>
      <c r="B306" s="633" t="s">
        <v>908</v>
      </c>
      <c r="C306" s="629"/>
      <c r="D306" s="629"/>
      <c r="E306" s="629"/>
      <c r="F306" s="630"/>
      <c r="G306" s="631">
        <f>G305*0.01</f>
        <v>2.858</v>
      </c>
      <c r="H306" s="473"/>
      <c r="I306" s="473"/>
    </row>
    <row r="307">
      <c r="A307" s="632"/>
      <c r="B307" s="633" t="s">
        <v>37</v>
      </c>
      <c r="C307" s="629"/>
      <c r="D307" s="629"/>
      <c r="E307" s="629"/>
      <c r="F307" s="630"/>
      <c r="G307" s="631">
        <f>SUM(G305:G306)</f>
        <v>288.658</v>
      </c>
      <c r="H307" s="473"/>
      <c r="I307" s="473"/>
    </row>
    <row r="308">
      <c r="A308" s="632"/>
      <c r="B308" s="633" t="s">
        <v>912</v>
      </c>
      <c r="C308" s="629"/>
      <c r="D308" s="629"/>
      <c r="E308" s="629"/>
      <c r="F308" s="630"/>
      <c r="G308" s="631">
        <f>G307*15%</f>
        <v>43.2987</v>
      </c>
      <c r="H308" s="473"/>
      <c r="I308" s="473"/>
    </row>
    <row r="309">
      <c r="A309" s="632"/>
      <c r="B309" s="634" t="s">
        <v>2159</v>
      </c>
      <c r="C309" s="635"/>
      <c r="D309" s="629"/>
      <c r="E309" s="629"/>
      <c r="F309" s="630"/>
      <c r="G309" s="638">
        <f>round(SUM(G307:G308),2)</f>
        <v>331.96</v>
      </c>
      <c r="H309" s="639"/>
      <c r="I309" s="639"/>
    </row>
    <row r="310">
      <c r="A310" s="218" t="str">
        <f>CONCATENATE("Say ₹ ",G302," + ",G309," x Cost Index")</f>
        <v>Say ₹ 82775.46 + 331.96 x Cost Index</v>
      </c>
      <c r="B310" s="2"/>
      <c r="C310" s="2"/>
      <c r="D310" s="2"/>
      <c r="E310" s="2"/>
      <c r="F310" s="2"/>
      <c r="G310" s="3"/>
      <c r="H310" s="622">
        <f>G298*1.01*1.15</f>
        <v>82775.459</v>
      </c>
      <c r="I310" s="622">
        <f>(G303+G304)*1.01*1.15</f>
        <v>331.9567</v>
      </c>
    </row>
    <row r="311">
      <c r="A311" s="621" t="s">
        <v>3272</v>
      </c>
      <c r="B311" s="2"/>
      <c r="C311" s="2"/>
      <c r="D311" s="2"/>
      <c r="E311" s="2"/>
      <c r="F311" s="2"/>
      <c r="G311" s="193"/>
      <c r="H311" s="639"/>
      <c r="I311" s="639"/>
    </row>
    <row r="312">
      <c r="A312" s="623" t="s">
        <v>882</v>
      </c>
      <c r="B312" s="625" t="s">
        <v>3279</v>
      </c>
      <c r="C312" s="2"/>
      <c r="D312" s="2"/>
      <c r="E312" s="2"/>
      <c r="F312" s="2"/>
      <c r="G312" s="193"/>
      <c r="H312" s="668"/>
      <c r="I312" s="668"/>
    </row>
    <row r="313">
      <c r="A313" s="644" t="s">
        <v>864</v>
      </c>
      <c r="B313" s="628" t="s">
        <v>3285</v>
      </c>
      <c r="C313" s="629">
        <v>1.0</v>
      </c>
      <c r="D313" s="629" t="s">
        <v>1117</v>
      </c>
      <c r="E313" s="629">
        <v>32500.0</v>
      </c>
      <c r="F313" s="630" t="s">
        <v>2151</v>
      </c>
      <c r="G313" s="631">
        <f>C313*E313</f>
        <v>32500</v>
      </c>
      <c r="H313" s="473"/>
      <c r="I313" s="473"/>
    </row>
    <row r="314">
      <c r="A314" s="632"/>
      <c r="B314" s="633" t="s">
        <v>908</v>
      </c>
      <c r="C314" s="629"/>
      <c r="D314" s="629"/>
      <c r="E314" s="629"/>
      <c r="F314" s="630"/>
      <c r="G314" s="631">
        <f>G313*1%</f>
        <v>325</v>
      </c>
      <c r="H314" s="473"/>
      <c r="I314" s="473"/>
    </row>
    <row r="315">
      <c r="A315" s="632"/>
      <c r="B315" s="633" t="s">
        <v>37</v>
      </c>
      <c r="C315" s="629"/>
      <c r="D315" s="629"/>
      <c r="E315" s="629"/>
      <c r="F315" s="630"/>
      <c r="G315" s="631">
        <f>SUM(G313:G314)</f>
        <v>32825</v>
      </c>
      <c r="H315" s="473"/>
      <c r="I315" s="473"/>
    </row>
    <row r="316">
      <c r="A316" s="632"/>
      <c r="B316" s="633" t="s">
        <v>912</v>
      </c>
      <c r="C316" s="629"/>
      <c r="D316" s="629"/>
      <c r="E316" s="629"/>
      <c r="F316" s="630"/>
      <c r="G316" s="631">
        <f>G315*15%</f>
        <v>4923.75</v>
      </c>
      <c r="H316" s="473"/>
      <c r="I316" s="473"/>
    </row>
    <row r="317">
      <c r="A317" s="632"/>
      <c r="B317" s="634" t="s">
        <v>2159</v>
      </c>
      <c r="C317" s="629"/>
      <c r="D317" s="629"/>
      <c r="E317" s="629"/>
      <c r="F317" s="630"/>
      <c r="G317" s="638">
        <f>round(SUM(G315:G316),2)</f>
        <v>37748.75</v>
      </c>
      <c r="H317" s="639"/>
      <c r="I317" s="639"/>
    </row>
    <row r="318">
      <c r="A318" s="627" t="s">
        <v>879</v>
      </c>
      <c r="B318" s="640" t="s">
        <v>888</v>
      </c>
      <c r="C318" s="629">
        <v>0.2</v>
      </c>
      <c r="D318" s="641" t="s">
        <v>868</v>
      </c>
      <c r="E318" s="629">
        <v>784.0</v>
      </c>
      <c r="F318" s="643" t="s">
        <v>890</v>
      </c>
      <c r="G318" s="631">
        <f t="shared" ref="G318:G319" si="17">C318*E318</f>
        <v>156.8</v>
      </c>
      <c r="H318" s="473"/>
      <c r="I318" s="473"/>
    </row>
    <row r="319">
      <c r="A319" s="627" t="s">
        <v>881</v>
      </c>
      <c r="B319" s="640" t="s">
        <v>97</v>
      </c>
      <c r="C319" s="629">
        <v>0.2</v>
      </c>
      <c r="D319" s="641" t="s">
        <v>868</v>
      </c>
      <c r="E319" s="629">
        <v>645.0</v>
      </c>
      <c r="F319" s="643" t="s">
        <v>890</v>
      </c>
      <c r="G319" s="631">
        <f t="shared" si="17"/>
        <v>129</v>
      </c>
      <c r="H319" s="473"/>
      <c r="I319" s="473"/>
    </row>
    <row r="320">
      <c r="A320" s="632"/>
      <c r="B320" s="633" t="s">
        <v>990</v>
      </c>
      <c r="C320" s="629"/>
      <c r="D320" s="629"/>
      <c r="E320" s="629"/>
      <c r="F320" s="630"/>
      <c r="G320" s="631">
        <f>SUM(G318:G319)</f>
        <v>285.8</v>
      </c>
      <c r="H320" s="473"/>
      <c r="I320" s="473"/>
    </row>
    <row r="321">
      <c r="A321" s="632"/>
      <c r="B321" s="633" t="s">
        <v>908</v>
      </c>
      <c r="C321" s="629"/>
      <c r="D321" s="629"/>
      <c r="E321" s="629"/>
      <c r="F321" s="630"/>
      <c r="G321" s="631">
        <f>G320*0.01</f>
        <v>2.858</v>
      </c>
      <c r="H321" s="473"/>
      <c r="I321" s="473"/>
    </row>
    <row r="322">
      <c r="A322" s="632"/>
      <c r="B322" s="633" t="s">
        <v>37</v>
      </c>
      <c r="C322" s="629"/>
      <c r="D322" s="629"/>
      <c r="E322" s="629"/>
      <c r="F322" s="630"/>
      <c r="G322" s="631">
        <f>SUM(G320:G321)</f>
        <v>288.658</v>
      </c>
      <c r="H322" s="473"/>
      <c r="I322" s="473"/>
    </row>
    <row r="323">
      <c r="A323" s="632"/>
      <c r="B323" s="633" t="s">
        <v>912</v>
      </c>
      <c r="C323" s="629"/>
      <c r="D323" s="629"/>
      <c r="E323" s="629"/>
      <c r="F323" s="630"/>
      <c r="G323" s="631">
        <f>G322*15%</f>
        <v>43.2987</v>
      </c>
      <c r="H323" s="473"/>
      <c r="I323" s="473"/>
    </row>
    <row r="324">
      <c r="A324" s="632"/>
      <c r="B324" s="634" t="s">
        <v>2159</v>
      </c>
      <c r="C324" s="635"/>
      <c r="D324" s="629"/>
      <c r="E324" s="629"/>
      <c r="F324" s="630"/>
      <c r="G324" s="638">
        <f>round(SUM(G322:G323),2)</f>
        <v>331.96</v>
      </c>
      <c r="H324" s="639"/>
      <c r="I324" s="639"/>
    </row>
    <row r="325">
      <c r="A325" s="218" t="str">
        <f>CONCATENATE("Say ₹ ",G317," + ",G324," x Cost Index")</f>
        <v>Say ₹ 37748.75 + 331.96 x Cost Index</v>
      </c>
      <c r="B325" s="2"/>
      <c r="C325" s="2"/>
      <c r="D325" s="2"/>
      <c r="E325" s="2"/>
      <c r="F325" s="2"/>
      <c r="G325" s="3"/>
      <c r="H325" s="622">
        <f>G313*1.01*1.15</f>
        <v>37748.75</v>
      </c>
      <c r="I325" s="622">
        <f>(G318+G319)*1.01*1.15</f>
        <v>331.9567</v>
      </c>
    </row>
    <row r="326">
      <c r="A326" s="621" t="s">
        <v>3364</v>
      </c>
      <c r="B326" s="2"/>
      <c r="C326" s="2"/>
      <c r="D326" s="2"/>
      <c r="E326" s="2"/>
      <c r="F326" s="2"/>
      <c r="G326" s="193"/>
      <c r="H326" s="639"/>
      <c r="I326" s="639"/>
    </row>
    <row r="327">
      <c r="A327" s="623" t="s">
        <v>882</v>
      </c>
      <c r="B327" s="672" t="s">
        <v>3371</v>
      </c>
      <c r="C327" s="2"/>
      <c r="D327" s="2"/>
      <c r="E327" s="2"/>
      <c r="F327" s="2"/>
      <c r="G327" s="193"/>
      <c r="H327" s="668"/>
      <c r="I327" s="668"/>
    </row>
    <row r="328">
      <c r="A328" s="644" t="s">
        <v>864</v>
      </c>
      <c r="B328" s="628" t="s">
        <v>3377</v>
      </c>
      <c r="C328" s="629">
        <v>1.0</v>
      </c>
      <c r="D328" s="629" t="s">
        <v>1117</v>
      </c>
      <c r="E328" s="629">
        <v>2800.0</v>
      </c>
      <c r="F328" s="630" t="s">
        <v>2151</v>
      </c>
      <c r="G328" s="631">
        <f>C328*E328</f>
        <v>2800</v>
      </c>
      <c r="H328" s="473"/>
      <c r="I328" s="473"/>
    </row>
    <row r="329">
      <c r="A329" s="623"/>
      <c r="B329" s="633" t="s">
        <v>908</v>
      </c>
      <c r="C329" s="629"/>
      <c r="D329" s="629"/>
      <c r="E329" s="629"/>
      <c r="F329" s="630"/>
      <c r="G329" s="631">
        <f>G328*1%</f>
        <v>28</v>
      </c>
      <c r="H329" s="473"/>
      <c r="I329" s="473"/>
    </row>
    <row r="330">
      <c r="A330" s="623"/>
      <c r="B330" s="633" t="s">
        <v>37</v>
      </c>
      <c r="C330" s="629"/>
      <c r="D330" s="629"/>
      <c r="E330" s="629"/>
      <c r="F330" s="630"/>
      <c r="G330" s="631">
        <f>SUM(G328:G329)</f>
        <v>2828</v>
      </c>
      <c r="H330" s="473"/>
      <c r="I330" s="473"/>
    </row>
    <row r="331">
      <c r="A331" s="623"/>
      <c r="B331" s="633" t="s">
        <v>912</v>
      </c>
      <c r="C331" s="629"/>
      <c r="D331" s="629"/>
      <c r="E331" s="629"/>
      <c r="F331" s="630"/>
      <c r="G331" s="631">
        <f>G330*15%</f>
        <v>424.2</v>
      </c>
      <c r="H331" s="473"/>
      <c r="I331" s="473"/>
    </row>
    <row r="332">
      <c r="A332" s="623"/>
      <c r="B332" s="634" t="s">
        <v>2159</v>
      </c>
      <c r="C332" s="635"/>
      <c r="D332" s="636"/>
      <c r="E332" s="636"/>
      <c r="F332" s="637"/>
      <c r="G332" s="638">
        <f>round(SUM(G330:G331),2)</f>
        <v>3252.2</v>
      </c>
      <c r="H332" s="639"/>
      <c r="I332" s="639"/>
    </row>
    <row r="333">
      <c r="A333" s="627" t="s">
        <v>2242</v>
      </c>
      <c r="B333" s="628" t="s">
        <v>2243</v>
      </c>
      <c r="C333" s="629">
        <v>15.5</v>
      </c>
      <c r="D333" s="629" t="s">
        <v>904</v>
      </c>
      <c r="E333" s="641">
        <v>2.12</v>
      </c>
      <c r="F333" s="630" t="s">
        <v>2151</v>
      </c>
      <c r="G333" s="631">
        <f>C333*E333</f>
        <v>32.86</v>
      </c>
      <c r="H333" s="473"/>
      <c r="I333" s="473"/>
    </row>
    <row r="334">
      <c r="A334" s="623"/>
      <c r="B334" s="633" t="s">
        <v>990</v>
      </c>
      <c r="C334" s="629"/>
      <c r="D334" s="629"/>
      <c r="E334" s="629"/>
      <c r="F334" s="630"/>
      <c r="G334" s="631">
        <f>SUM(G333)</f>
        <v>32.86</v>
      </c>
      <c r="H334" s="473"/>
      <c r="I334" s="473"/>
    </row>
    <row r="335">
      <c r="A335" s="623"/>
      <c r="B335" s="633" t="s">
        <v>908</v>
      </c>
      <c r="C335" s="629"/>
      <c r="D335" s="629"/>
      <c r="E335" s="629"/>
      <c r="F335" s="630"/>
      <c r="G335" s="631">
        <f>G334*1%</f>
        <v>0.3286</v>
      </c>
      <c r="H335" s="473"/>
      <c r="I335" s="473"/>
    </row>
    <row r="336">
      <c r="A336" s="623"/>
      <c r="B336" s="633" t="s">
        <v>37</v>
      </c>
      <c r="C336" s="629"/>
      <c r="D336" s="629"/>
      <c r="E336" s="629"/>
      <c r="F336" s="630"/>
      <c r="G336" s="631">
        <f>SUM(G334:G335)</f>
        <v>33.1886</v>
      </c>
      <c r="H336" s="473"/>
      <c r="I336" s="473"/>
    </row>
    <row r="337">
      <c r="A337" s="623"/>
      <c r="B337" s="633" t="s">
        <v>912</v>
      </c>
      <c r="C337" s="629"/>
      <c r="D337" s="629"/>
      <c r="E337" s="629"/>
      <c r="F337" s="630"/>
      <c r="G337" s="631">
        <f>G336*15%</f>
        <v>4.97829</v>
      </c>
      <c r="H337" s="473"/>
      <c r="I337" s="473"/>
    </row>
    <row r="338">
      <c r="A338" s="623"/>
      <c r="B338" s="634" t="s">
        <v>2159</v>
      </c>
      <c r="C338" s="635"/>
      <c r="D338" s="636"/>
      <c r="E338" s="636"/>
      <c r="F338" s="637"/>
      <c r="G338" s="638">
        <f>round(SUM(G336:G337),2)</f>
        <v>38.17</v>
      </c>
      <c r="H338" s="639"/>
      <c r="I338" s="639"/>
    </row>
    <row r="339">
      <c r="A339" s="218" t="str">
        <f>CONCATENATE("Say ₹ ",G332," + ",G338," x Cost Index")</f>
        <v>Say ₹ 3252.2 + 38.17 x Cost Index</v>
      </c>
      <c r="B339" s="2"/>
      <c r="C339" s="2"/>
      <c r="D339" s="2"/>
      <c r="E339" s="2"/>
      <c r="F339" s="2"/>
      <c r="G339" s="3"/>
      <c r="H339" s="622">
        <f>G328*1.01*1.15</f>
        <v>3252.2</v>
      </c>
      <c r="I339" s="622">
        <f>G333*1.01*1.15</f>
        <v>38.16689</v>
      </c>
    </row>
    <row r="340">
      <c r="A340" s="621" t="s">
        <v>3461</v>
      </c>
      <c r="B340" s="2"/>
      <c r="C340" s="2"/>
      <c r="D340" s="2"/>
      <c r="E340" s="2"/>
      <c r="F340" s="2"/>
      <c r="G340" s="193"/>
      <c r="H340" s="639"/>
      <c r="I340" s="639"/>
    </row>
    <row r="341">
      <c r="A341" s="623" t="s">
        <v>882</v>
      </c>
      <c r="B341" s="672" t="s">
        <v>3474</v>
      </c>
      <c r="C341" s="2"/>
      <c r="D341" s="2"/>
      <c r="E341" s="2"/>
      <c r="F341" s="2"/>
      <c r="G341" s="193"/>
      <c r="H341" s="668"/>
      <c r="I341" s="668"/>
    </row>
    <row r="342">
      <c r="A342" s="644" t="s">
        <v>864</v>
      </c>
      <c r="B342" s="628" t="s">
        <v>3479</v>
      </c>
      <c r="C342" s="629">
        <v>100.0</v>
      </c>
      <c r="D342" s="629" t="s">
        <v>3480</v>
      </c>
      <c r="E342" s="629">
        <v>20.0</v>
      </c>
      <c r="F342" s="630" t="s">
        <v>3480</v>
      </c>
      <c r="G342" s="631">
        <f>E342*C342</f>
        <v>2000</v>
      </c>
      <c r="H342" s="473"/>
      <c r="I342" s="473"/>
    </row>
    <row r="343">
      <c r="A343" s="623"/>
      <c r="B343" s="633" t="s">
        <v>908</v>
      </c>
      <c r="C343" s="629"/>
      <c r="D343" s="629"/>
      <c r="E343" s="629"/>
      <c r="F343" s="630"/>
      <c r="G343" s="631">
        <f>G342*1%</f>
        <v>20</v>
      </c>
      <c r="H343" s="473"/>
      <c r="I343" s="473"/>
    </row>
    <row r="344">
      <c r="A344" s="623"/>
      <c r="B344" s="633" t="s">
        <v>37</v>
      </c>
      <c r="C344" s="629"/>
      <c r="D344" s="629"/>
      <c r="E344" s="629"/>
      <c r="F344" s="630"/>
      <c r="G344" s="631">
        <f>SUM(G342:G343)</f>
        <v>2020</v>
      </c>
      <c r="H344" s="473"/>
      <c r="I344" s="473"/>
    </row>
    <row r="345">
      <c r="A345" s="623"/>
      <c r="B345" s="633" t="s">
        <v>912</v>
      </c>
      <c r="C345" s="629"/>
      <c r="D345" s="629"/>
      <c r="E345" s="629"/>
      <c r="F345" s="630"/>
      <c r="G345" s="631">
        <f>G344*15%</f>
        <v>303</v>
      </c>
      <c r="H345" s="473"/>
      <c r="I345" s="473"/>
    </row>
    <row r="346">
      <c r="A346" s="623"/>
      <c r="B346" s="634" t="s">
        <v>2159</v>
      </c>
      <c r="C346" s="635"/>
      <c r="D346" s="636"/>
      <c r="E346" s="636"/>
      <c r="F346" s="637"/>
      <c r="G346" s="638">
        <f>round(SUM(G344:G345),2)</f>
        <v>2323</v>
      </c>
      <c r="H346" s="639"/>
      <c r="I346" s="639"/>
    </row>
    <row r="347">
      <c r="A347" s="627" t="s">
        <v>881</v>
      </c>
      <c r="B347" s="640" t="s">
        <v>97</v>
      </c>
      <c r="C347" s="629">
        <v>0.6</v>
      </c>
      <c r="D347" s="641" t="s">
        <v>868</v>
      </c>
      <c r="E347" s="629">
        <v>645.0</v>
      </c>
      <c r="F347" s="643" t="s">
        <v>890</v>
      </c>
      <c r="G347" s="631">
        <f>C347*E347</f>
        <v>387</v>
      </c>
      <c r="H347" s="473"/>
      <c r="I347" s="473"/>
    </row>
    <row r="348">
      <c r="A348" s="623"/>
      <c r="B348" s="633" t="s">
        <v>990</v>
      </c>
      <c r="C348" s="629"/>
      <c r="D348" s="641"/>
      <c r="E348" s="629"/>
      <c r="F348" s="630"/>
      <c r="G348" s="631">
        <f>SUM(G347)</f>
        <v>387</v>
      </c>
      <c r="H348" s="473"/>
      <c r="I348" s="473"/>
    </row>
    <row r="349">
      <c r="A349" s="623"/>
      <c r="B349" s="633" t="s">
        <v>908</v>
      </c>
      <c r="C349" s="629"/>
      <c r="D349" s="629"/>
      <c r="E349" s="629"/>
      <c r="F349" s="630"/>
      <c r="G349" s="631">
        <f>G348*1%</f>
        <v>3.87</v>
      </c>
      <c r="H349" s="473"/>
      <c r="I349" s="473"/>
    </row>
    <row r="350">
      <c r="A350" s="623"/>
      <c r="B350" s="633" t="s">
        <v>37</v>
      </c>
      <c r="C350" s="629"/>
      <c r="D350" s="629"/>
      <c r="E350" s="629"/>
      <c r="F350" s="630"/>
      <c r="G350" s="631">
        <f>SUM(G348:G349)</f>
        <v>390.87</v>
      </c>
      <c r="H350" s="473"/>
      <c r="I350" s="473"/>
    </row>
    <row r="351">
      <c r="A351" s="623"/>
      <c r="B351" s="633" t="s">
        <v>912</v>
      </c>
      <c r="C351" s="629"/>
      <c r="D351" s="629"/>
      <c r="E351" s="629"/>
      <c r="F351" s="630"/>
      <c r="G351" s="631">
        <f>G350*15%</f>
        <v>58.6305</v>
      </c>
      <c r="H351" s="473"/>
      <c r="I351" s="473"/>
    </row>
    <row r="352">
      <c r="A352" s="623"/>
      <c r="B352" s="634" t="s">
        <v>2159</v>
      </c>
      <c r="C352" s="635"/>
      <c r="D352" s="636"/>
      <c r="E352" s="636"/>
      <c r="F352" s="637"/>
      <c r="G352" s="638">
        <f>round(SUM(G350:G351),2)</f>
        <v>449.5</v>
      </c>
      <c r="H352" s="639"/>
      <c r="I352" s="639"/>
    </row>
    <row r="353">
      <c r="A353" s="218" t="str">
        <f>CONCATENATE("Say ₹ ",G346," + ",G352," x Cost Index")</f>
        <v>Say ₹ 2323 + 449.5 x Cost Index</v>
      </c>
      <c r="B353" s="2"/>
      <c r="C353" s="2"/>
      <c r="D353" s="2"/>
      <c r="E353" s="2"/>
      <c r="F353" s="2"/>
      <c r="G353" s="3"/>
      <c r="H353" s="622">
        <f>G342*1.01*1.15</f>
        <v>2323</v>
      </c>
      <c r="I353" s="622">
        <f>G347*1.01*1.15</f>
        <v>449.5005</v>
      </c>
    </row>
    <row r="354">
      <c r="A354" s="623" t="s">
        <v>896</v>
      </c>
      <c r="B354" s="672" t="s">
        <v>3558</v>
      </c>
      <c r="C354" s="2"/>
      <c r="D354" s="2"/>
      <c r="E354" s="2"/>
      <c r="F354" s="2"/>
      <c r="G354" s="193"/>
      <c r="H354" s="668"/>
      <c r="I354" s="668"/>
    </row>
    <row r="355">
      <c r="A355" s="644" t="s">
        <v>864</v>
      </c>
      <c r="B355" s="628" t="s">
        <v>3563</v>
      </c>
      <c r="C355" s="629">
        <v>100.0</v>
      </c>
      <c r="D355" s="629" t="s">
        <v>3480</v>
      </c>
      <c r="E355" s="629">
        <v>350.0</v>
      </c>
      <c r="F355" s="630" t="s">
        <v>3480</v>
      </c>
      <c r="G355" s="631">
        <f>E355*C355</f>
        <v>35000</v>
      </c>
      <c r="H355" s="473"/>
      <c r="I355" s="473"/>
    </row>
    <row r="356">
      <c r="A356" s="623"/>
      <c r="B356" s="633" t="s">
        <v>908</v>
      </c>
      <c r="C356" s="629"/>
      <c r="D356" s="629"/>
      <c r="E356" s="629"/>
      <c r="F356" s="630"/>
      <c r="G356" s="631">
        <f>G355*1%</f>
        <v>350</v>
      </c>
      <c r="H356" s="473"/>
      <c r="I356" s="473"/>
    </row>
    <row r="357">
      <c r="A357" s="623"/>
      <c r="B357" s="633" t="s">
        <v>37</v>
      </c>
      <c r="C357" s="629"/>
      <c r="D357" s="629"/>
      <c r="E357" s="629"/>
      <c r="F357" s="630"/>
      <c r="G357" s="631">
        <f>SUM(G355:G356)</f>
        <v>35350</v>
      </c>
      <c r="H357" s="473"/>
      <c r="I357" s="473"/>
    </row>
    <row r="358">
      <c r="A358" s="623"/>
      <c r="B358" s="633" t="s">
        <v>912</v>
      </c>
      <c r="C358" s="629"/>
      <c r="D358" s="629"/>
      <c r="E358" s="629"/>
      <c r="F358" s="630"/>
      <c r="G358" s="631">
        <f>G357*15%</f>
        <v>5302.5</v>
      </c>
      <c r="H358" s="473"/>
      <c r="I358" s="473"/>
    </row>
    <row r="359">
      <c r="A359" s="623"/>
      <c r="B359" s="634" t="s">
        <v>2159</v>
      </c>
      <c r="C359" s="635"/>
      <c r="D359" s="636"/>
      <c r="E359" s="636"/>
      <c r="F359" s="637"/>
      <c r="G359" s="638">
        <f>round(SUM(G357:G358),2)</f>
        <v>40652.5</v>
      </c>
      <c r="H359" s="639"/>
      <c r="I359" s="639"/>
    </row>
    <row r="360">
      <c r="A360" s="627" t="s">
        <v>881</v>
      </c>
      <c r="B360" s="640" t="s">
        <v>97</v>
      </c>
      <c r="C360" s="629">
        <v>0.6</v>
      </c>
      <c r="D360" s="641" t="s">
        <v>868</v>
      </c>
      <c r="E360" s="629">
        <v>645.0</v>
      </c>
      <c r="F360" s="643" t="s">
        <v>890</v>
      </c>
      <c r="G360" s="631">
        <f>C360*E360</f>
        <v>387</v>
      </c>
      <c r="H360" s="473"/>
      <c r="I360" s="473"/>
    </row>
    <row r="361">
      <c r="A361" s="623"/>
      <c r="B361" s="633" t="s">
        <v>990</v>
      </c>
      <c r="C361" s="629"/>
      <c r="D361" s="629"/>
      <c r="E361" s="629"/>
      <c r="F361" s="630"/>
      <c r="G361" s="631">
        <f>SUM(G360)</f>
        <v>387</v>
      </c>
      <c r="H361" s="473"/>
      <c r="I361" s="473"/>
    </row>
    <row r="362">
      <c r="A362" s="623"/>
      <c r="B362" s="633" t="s">
        <v>908</v>
      </c>
      <c r="C362" s="629"/>
      <c r="D362" s="629"/>
      <c r="E362" s="629"/>
      <c r="F362" s="630"/>
      <c r="G362" s="631">
        <f>G361*1%</f>
        <v>3.87</v>
      </c>
      <c r="H362" s="473"/>
      <c r="I362" s="473"/>
    </row>
    <row r="363">
      <c r="A363" s="623"/>
      <c r="B363" s="633" t="s">
        <v>37</v>
      </c>
      <c r="C363" s="629"/>
      <c r="D363" s="629"/>
      <c r="E363" s="629"/>
      <c r="F363" s="630"/>
      <c r="G363" s="631">
        <f>SUM(G361:G362)</f>
        <v>390.87</v>
      </c>
      <c r="H363" s="473"/>
      <c r="I363" s="473"/>
    </row>
    <row r="364">
      <c r="A364" s="623"/>
      <c r="B364" s="633" t="s">
        <v>912</v>
      </c>
      <c r="C364" s="629"/>
      <c r="D364" s="629"/>
      <c r="E364" s="629"/>
      <c r="F364" s="630"/>
      <c r="G364" s="631">
        <f>G363*15%</f>
        <v>58.6305</v>
      </c>
      <c r="H364" s="473"/>
      <c r="I364" s="473"/>
    </row>
    <row r="365">
      <c r="A365" s="623"/>
      <c r="B365" s="634" t="s">
        <v>2159</v>
      </c>
      <c r="C365" s="635"/>
      <c r="D365" s="636"/>
      <c r="E365" s="636"/>
      <c r="F365" s="637"/>
      <c r="G365" s="638">
        <f>round(SUM(G363:G364),2)</f>
        <v>449.5</v>
      </c>
      <c r="H365" s="639"/>
      <c r="I365" s="639"/>
    </row>
    <row r="366">
      <c r="A366" s="218" t="str">
        <f>CONCATENATE("Say ₹ ",G359," + ",G365," x Cost Index")</f>
        <v>Say ₹ 40652.5 + 449.5 x Cost Index</v>
      </c>
      <c r="B366" s="2"/>
      <c r="C366" s="2"/>
      <c r="D366" s="2"/>
      <c r="E366" s="2"/>
      <c r="F366" s="2"/>
      <c r="G366" s="3"/>
      <c r="H366" s="622">
        <f>G355*1.01*1.15</f>
        <v>40652.5</v>
      </c>
      <c r="I366" s="622">
        <f>G360*1.01*1.15</f>
        <v>449.5005</v>
      </c>
    </row>
    <row r="367">
      <c r="A367" s="623" t="s">
        <v>2193</v>
      </c>
      <c r="B367" s="672" t="s">
        <v>3637</v>
      </c>
      <c r="C367" s="2"/>
      <c r="D367" s="2"/>
      <c r="E367" s="2"/>
      <c r="F367" s="2"/>
      <c r="G367" s="193"/>
      <c r="H367" s="668"/>
      <c r="I367" s="668"/>
    </row>
    <row r="368">
      <c r="A368" s="644" t="s">
        <v>864</v>
      </c>
      <c r="B368" s="628" t="s">
        <v>3641</v>
      </c>
      <c r="C368" s="629">
        <v>100.0</v>
      </c>
      <c r="D368" s="629" t="s">
        <v>3480</v>
      </c>
      <c r="E368" s="629">
        <v>310.0</v>
      </c>
      <c r="F368" s="630" t="s">
        <v>3480</v>
      </c>
      <c r="G368" s="631">
        <f>E368*C368</f>
        <v>31000</v>
      </c>
      <c r="H368" s="473"/>
      <c r="I368" s="473"/>
    </row>
    <row r="369">
      <c r="A369" s="623"/>
      <c r="B369" s="633" t="s">
        <v>908</v>
      </c>
      <c r="C369" s="629"/>
      <c r="D369" s="629"/>
      <c r="E369" s="629"/>
      <c r="F369" s="630"/>
      <c r="G369" s="631">
        <f>G368*1%</f>
        <v>310</v>
      </c>
      <c r="H369" s="473"/>
      <c r="I369" s="473"/>
    </row>
    <row r="370">
      <c r="A370" s="623"/>
      <c r="B370" s="633" t="s">
        <v>37</v>
      </c>
      <c r="C370" s="629"/>
      <c r="D370" s="629"/>
      <c r="E370" s="629"/>
      <c r="F370" s="630"/>
      <c r="G370" s="631">
        <f>SUM(G368:G369)</f>
        <v>31310</v>
      </c>
      <c r="H370" s="473"/>
      <c r="I370" s="473"/>
    </row>
    <row r="371">
      <c r="A371" s="623"/>
      <c r="B371" s="633" t="s">
        <v>912</v>
      </c>
      <c r="C371" s="629"/>
      <c r="D371" s="629"/>
      <c r="E371" s="629"/>
      <c r="F371" s="630"/>
      <c r="G371" s="631">
        <f>G370*15%</f>
        <v>4696.5</v>
      </c>
      <c r="H371" s="473"/>
      <c r="I371" s="473"/>
    </row>
    <row r="372">
      <c r="A372" s="623"/>
      <c r="B372" s="634" t="s">
        <v>2159</v>
      </c>
      <c r="C372" s="635"/>
      <c r="D372" s="636"/>
      <c r="E372" s="636"/>
      <c r="F372" s="637"/>
      <c r="G372" s="638">
        <f>round(SUM(G370:G371),2)</f>
        <v>36006.5</v>
      </c>
      <c r="H372" s="639"/>
      <c r="I372" s="639"/>
    </row>
    <row r="373">
      <c r="A373" s="627" t="s">
        <v>881</v>
      </c>
      <c r="B373" s="640" t="s">
        <v>97</v>
      </c>
      <c r="C373" s="629">
        <v>0.6</v>
      </c>
      <c r="D373" s="641" t="s">
        <v>868</v>
      </c>
      <c r="E373" s="629">
        <v>645.0</v>
      </c>
      <c r="F373" s="643" t="s">
        <v>890</v>
      </c>
      <c r="G373" s="631">
        <f>C373*E373</f>
        <v>387</v>
      </c>
      <c r="H373" s="473"/>
      <c r="I373" s="473"/>
    </row>
    <row r="374">
      <c r="A374" s="623"/>
      <c r="B374" s="633" t="s">
        <v>990</v>
      </c>
      <c r="C374" s="629"/>
      <c r="D374" s="629"/>
      <c r="E374" s="629"/>
      <c r="F374" s="630"/>
      <c r="G374" s="631">
        <f>SUM(G373)</f>
        <v>387</v>
      </c>
      <c r="H374" s="473"/>
      <c r="I374" s="473"/>
    </row>
    <row r="375">
      <c r="A375" s="623"/>
      <c r="B375" s="633" t="s">
        <v>908</v>
      </c>
      <c r="C375" s="629"/>
      <c r="D375" s="629"/>
      <c r="E375" s="629"/>
      <c r="F375" s="630"/>
      <c r="G375" s="631">
        <f>G374*1%</f>
        <v>3.87</v>
      </c>
      <c r="H375" s="473"/>
      <c r="I375" s="473"/>
    </row>
    <row r="376">
      <c r="A376" s="623"/>
      <c r="B376" s="633" t="s">
        <v>37</v>
      </c>
      <c r="C376" s="629"/>
      <c r="D376" s="629"/>
      <c r="E376" s="629"/>
      <c r="F376" s="630"/>
      <c r="G376" s="631">
        <f>SUM(G374:G375)</f>
        <v>390.87</v>
      </c>
      <c r="H376" s="473"/>
      <c r="I376" s="473"/>
    </row>
    <row r="377">
      <c r="A377" s="623"/>
      <c r="B377" s="633" t="s">
        <v>912</v>
      </c>
      <c r="C377" s="629"/>
      <c r="D377" s="629"/>
      <c r="E377" s="629"/>
      <c r="F377" s="630"/>
      <c r="G377" s="631">
        <f>G376*15%</f>
        <v>58.6305</v>
      </c>
      <c r="H377" s="473"/>
      <c r="I377" s="473"/>
    </row>
    <row r="378">
      <c r="A378" s="623"/>
      <c r="B378" s="634" t="s">
        <v>2159</v>
      </c>
      <c r="C378" s="635"/>
      <c r="D378" s="636"/>
      <c r="E378" s="636"/>
      <c r="F378" s="637"/>
      <c r="G378" s="638">
        <f>round(SUM(G376:G377),2)</f>
        <v>449.5</v>
      </c>
      <c r="H378" s="639"/>
      <c r="I378" s="639"/>
    </row>
    <row r="379">
      <c r="A379" s="218" t="str">
        <f>CONCATENATE("Say ₹ ",G372," + ",G378," x Cost Index")</f>
        <v>Say ₹ 36006.5 + 449.5 x Cost Index</v>
      </c>
      <c r="B379" s="2"/>
      <c r="C379" s="2"/>
      <c r="D379" s="2"/>
      <c r="E379" s="2"/>
      <c r="F379" s="2"/>
      <c r="G379" s="3"/>
      <c r="H379" s="622">
        <f>G368*1.01*1.15</f>
        <v>36006.5</v>
      </c>
      <c r="I379" s="622">
        <f>G373*1.01*1.15</f>
        <v>449.5005</v>
      </c>
    </row>
    <row r="380">
      <c r="A380" s="621" t="s">
        <v>3719</v>
      </c>
      <c r="B380" s="2"/>
      <c r="C380" s="2"/>
      <c r="D380" s="2"/>
      <c r="E380" s="2"/>
      <c r="F380" s="2"/>
      <c r="G380" s="193"/>
      <c r="H380" s="622"/>
      <c r="I380" s="622"/>
    </row>
    <row r="381">
      <c r="A381" s="623" t="s">
        <v>882</v>
      </c>
      <c r="B381" s="672" t="s">
        <v>3725</v>
      </c>
      <c r="C381" s="2"/>
      <c r="D381" s="2"/>
      <c r="E381" s="2"/>
      <c r="F381" s="2"/>
      <c r="G381" s="193"/>
      <c r="H381" s="668"/>
      <c r="I381" s="668"/>
    </row>
    <row r="382">
      <c r="A382" s="644" t="s">
        <v>864</v>
      </c>
      <c r="B382" s="628" t="s">
        <v>3732</v>
      </c>
      <c r="C382" s="629">
        <v>25.0</v>
      </c>
      <c r="D382" s="629" t="s">
        <v>759</v>
      </c>
      <c r="E382" s="629">
        <v>42.58</v>
      </c>
      <c r="F382" s="630" t="s">
        <v>811</v>
      </c>
      <c r="G382" s="631">
        <f>C382*E382</f>
        <v>1064.5</v>
      </c>
      <c r="H382" s="473"/>
      <c r="I382" s="473"/>
    </row>
    <row r="383">
      <c r="A383" s="623"/>
      <c r="B383" s="633" t="s">
        <v>908</v>
      </c>
      <c r="C383" s="629"/>
      <c r="D383" s="629"/>
      <c r="E383" s="629"/>
      <c r="F383" s="630"/>
      <c r="G383" s="631">
        <f>G382*1%</f>
        <v>10.645</v>
      </c>
      <c r="H383" s="473"/>
      <c r="I383" s="473"/>
    </row>
    <row r="384">
      <c r="A384" s="623"/>
      <c r="B384" s="633" t="s">
        <v>37</v>
      </c>
      <c r="C384" s="629"/>
      <c r="D384" s="629"/>
      <c r="E384" s="629"/>
      <c r="F384" s="630"/>
      <c r="G384" s="631">
        <f>SUM(G382:G383)</f>
        <v>1075.145</v>
      </c>
      <c r="H384" s="473"/>
      <c r="I384" s="473"/>
    </row>
    <row r="385">
      <c r="A385" s="623"/>
      <c r="B385" s="633" t="s">
        <v>912</v>
      </c>
      <c r="C385" s="629"/>
      <c r="D385" s="629"/>
      <c r="E385" s="629"/>
      <c r="F385" s="630"/>
      <c r="G385" s="631">
        <f>G384*15%</f>
        <v>161.27175</v>
      </c>
      <c r="H385" s="473"/>
      <c r="I385" s="473"/>
    </row>
    <row r="386">
      <c r="A386" s="623"/>
      <c r="B386" s="634" t="s">
        <v>2159</v>
      </c>
      <c r="C386" s="635"/>
      <c r="D386" s="636"/>
      <c r="E386" s="636"/>
      <c r="F386" s="637"/>
      <c r="G386" s="638">
        <f>round(SUM(G384:G385),2)</f>
        <v>1236.42</v>
      </c>
      <c r="H386" s="639"/>
      <c r="I386" s="639"/>
    </row>
    <row r="387">
      <c r="A387" s="627" t="s">
        <v>881</v>
      </c>
      <c r="B387" s="640" t="s">
        <v>97</v>
      </c>
      <c r="C387" s="641">
        <v>0.1</v>
      </c>
      <c r="D387" s="641" t="s">
        <v>868</v>
      </c>
      <c r="E387" s="629">
        <v>645.0</v>
      </c>
      <c r="F387" s="643" t="s">
        <v>890</v>
      </c>
      <c r="G387" s="631">
        <f>C387*E387</f>
        <v>64.5</v>
      </c>
      <c r="H387" s="473"/>
      <c r="I387" s="473"/>
    </row>
    <row r="388">
      <c r="A388" s="623"/>
      <c r="B388" s="633" t="s">
        <v>990</v>
      </c>
      <c r="C388" s="629"/>
      <c r="D388" s="629"/>
      <c r="E388" s="629"/>
      <c r="F388" s="630"/>
      <c r="G388" s="631">
        <f>SUM(G387)</f>
        <v>64.5</v>
      </c>
      <c r="H388" s="473"/>
      <c r="I388" s="473"/>
    </row>
    <row r="389">
      <c r="A389" s="623"/>
      <c r="B389" s="633" t="s">
        <v>908</v>
      </c>
      <c r="C389" s="629"/>
      <c r="D389" s="629"/>
      <c r="E389" s="629"/>
      <c r="F389" s="630"/>
      <c r="G389" s="631">
        <f>G388*1%</f>
        <v>0.645</v>
      </c>
      <c r="H389" s="473"/>
      <c r="I389" s="473"/>
    </row>
    <row r="390">
      <c r="A390" s="623"/>
      <c r="B390" s="633" t="s">
        <v>37</v>
      </c>
      <c r="C390" s="629"/>
      <c r="D390" s="629"/>
      <c r="E390" s="629"/>
      <c r="F390" s="630"/>
      <c r="G390" s="631">
        <f>SUM(G388:G389)</f>
        <v>65.145</v>
      </c>
      <c r="H390" s="473"/>
      <c r="I390" s="473"/>
    </row>
    <row r="391">
      <c r="A391" s="623"/>
      <c r="B391" s="633" t="s">
        <v>912</v>
      </c>
      <c r="C391" s="629"/>
      <c r="D391" s="629"/>
      <c r="E391" s="629"/>
      <c r="F391" s="630"/>
      <c r="G391" s="631">
        <f>G390*15%</f>
        <v>9.77175</v>
      </c>
      <c r="H391" s="473"/>
      <c r="I391" s="473"/>
    </row>
    <row r="392">
      <c r="A392" s="623"/>
      <c r="B392" s="634" t="s">
        <v>2159</v>
      </c>
      <c r="C392" s="635"/>
      <c r="D392" s="636"/>
      <c r="E392" s="636"/>
      <c r="F392" s="637"/>
      <c r="G392" s="638">
        <f>round(SUM(G390:G391),2)</f>
        <v>74.92</v>
      </c>
      <c r="H392" s="639"/>
      <c r="I392" s="639"/>
    </row>
    <row r="393">
      <c r="A393" s="218" t="str">
        <f>CONCATENATE("Say ₹ ",G386," + ",G392," x Cost Index")</f>
        <v>Say ₹ 1236.42 + 74.92 x Cost Index</v>
      </c>
      <c r="B393" s="2"/>
      <c r="C393" s="2"/>
      <c r="D393" s="2"/>
      <c r="E393" s="2"/>
      <c r="F393" s="2"/>
      <c r="G393" s="3"/>
      <c r="H393" s="622">
        <f>G382*1.01*1.15</f>
        <v>1236.41675</v>
      </c>
      <c r="I393" s="622">
        <f>G387*1.01*1.15</f>
        <v>74.91675</v>
      </c>
    </row>
    <row r="394">
      <c r="A394" s="623" t="s">
        <v>896</v>
      </c>
      <c r="B394" s="672" t="s">
        <v>3806</v>
      </c>
      <c r="C394" s="2"/>
      <c r="D394" s="2"/>
      <c r="E394" s="2"/>
      <c r="F394" s="2"/>
      <c r="G394" s="193"/>
      <c r="H394" s="668"/>
      <c r="I394" s="668"/>
    </row>
    <row r="395">
      <c r="A395" s="644" t="s">
        <v>864</v>
      </c>
      <c r="B395" s="628" t="s">
        <v>3812</v>
      </c>
      <c r="C395" s="629">
        <v>25.0</v>
      </c>
      <c r="D395" s="629" t="s">
        <v>759</v>
      </c>
      <c r="E395" s="629">
        <v>33.35</v>
      </c>
      <c r="F395" s="630" t="s">
        <v>811</v>
      </c>
      <c r="G395" s="631">
        <f>C395*E395</f>
        <v>833.75</v>
      </c>
      <c r="H395" s="473"/>
      <c r="I395" s="473"/>
    </row>
    <row r="396">
      <c r="A396" s="623"/>
      <c r="B396" s="633" t="s">
        <v>908</v>
      </c>
      <c r="C396" s="629"/>
      <c r="D396" s="629"/>
      <c r="E396" s="629"/>
      <c r="F396" s="630"/>
      <c r="G396" s="631">
        <f>G395*1%</f>
        <v>8.3375</v>
      </c>
      <c r="H396" s="473"/>
      <c r="I396" s="473"/>
    </row>
    <row r="397">
      <c r="A397" s="623"/>
      <c r="B397" s="633" t="s">
        <v>37</v>
      </c>
      <c r="C397" s="629"/>
      <c r="D397" s="629"/>
      <c r="E397" s="629"/>
      <c r="F397" s="630"/>
      <c r="G397" s="631">
        <f>SUM(G395:G396)</f>
        <v>842.0875</v>
      </c>
      <c r="H397" s="473"/>
      <c r="I397" s="473"/>
    </row>
    <row r="398">
      <c r="A398" s="623"/>
      <c r="B398" s="633" t="s">
        <v>912</v>
      </c>
      <c r="C398" s="629"/>
      <c r="D398" s="629"/>
      <c r="E398" s="629"/>
      <c r="F398" s="630"/>
      <c r="G398" s="631">
        <f>G397*15%</f>
        <v>126.313125</v>
      </c>
      <c r="H398" s="473"/>
      <c r="I398" s="473"/>
    </row>
    <row r="399">
      <c r="A399" s="623"/>
      <c r="B399" s="634" t="s">
        <v>2159</v>
      </c>
      <c r="C399" s="635"/>
      <c r="D399" s="636"/>
      <c r="E399" s="636"/>
      <c r="F399" s="637"/>
      <c r="G399" s="638">
        <f>round(SUM(G397:G398),2)</f>
        <v>968.4</v>
      </c>
      <c r="H399" s="639"/>
      <c r="I399" s="639"/>
    </row>
    <row r="400">
      <c r="A400" s="627" t="s">
        <v>881</v>
      </c>
      <c r="B400" s="640" t="s">
        <v>97</v>
      </c>
      <c r="C400" s="641">
        <v>0.1</v>
      </c>
      <c r="D400" s="641" t="s">
        <v>868</v>
      </c>
      <c r="E400" s="629">
        <v>645.0</v>
      </c>
      <c r="F400" s="643" t="s">
        <v>890</v>
      </c>
      <c r="G400" s="631">
        <f>C400*E400</f>
        <v>64.5</v>
      </c>
      <c r="H400" s="473"/>
      <c r="I400" s="473"/>
    </row>
    <row r="401">
      <c r="A401" s="623"/>
      <c r="B401" s="633" t="s">
        <v>990</v>
      </c>
      <c r="C401" s="629"/>
      <c r="D401" s="629"/>
      <c r="E401" s="629"/>
      <c r="F401" s="630"/>
      <c r="G401" s="631">
        <f>SUM(G400)</f>
        <v>64.5</v>
      </c>
      <c r="H401" s="473"/>
      <c r="I401" s="473"/>
    </row>
    <row r="402">
      <c r="A402" s="623"/>
      <c r="B402" s="633" t="s">
        <v>908</v>
      </c>
      <c r="C402" s="629"/>
      <c r="D402" s="629"/>
      <c r="E402" s="629"/>
      <c r="F402" s="630"/>
      <c r="G402" s="631">
        <f>G401*1%</f>
        <v>0.645</v>
      </c>
      <c r="H402" s="473"/>
      <c r="I402" s="473"/>
    </row>
    <row r="403">
      <c r="A403" s="623"/>
      <c r="B403" s="633" t="s">
        <v>37</v>
      </c>
      <c r="C403" s="629"/>
      <c r="D403" s="629"/>
      <c r="E403" s="629"/>
      <c r="F403" s="630"/>
      <c r="G403" s="631">
        <f>SUM(G401:G402)</f>
        <v>65.145</v>
      </c>
      <c r="H403" s="473"/>
      <c r="I403" s="473"/>
    </row>
    <row r="404">
      <c r="A404" s="623"/>
      <c r="B404" s="633" t="s">
        <v>912</v>
      </c>
      <c r="C404" s="629"/>
      <c r="D404" s="629"/>
      <c r="E404" s="629"/>
      <c r="F404" s="630"/>
      <c r="G404" s="631">
        <f>G403*15%</f>
        <v>9.77175</v>
      </c>
      <c r="H404" s="473"/>
      <c r="I404" s="473"/>
    </row>
    <row r="405">
      <c r="A405" s="623"/>
      <c r="B405" s="634" t="s">
        <v>2159</v>
      </c>
      <c r="C405" s="635"/>
      <c r="D405" s="636"/>
      <c r="E405" s="636"/>
      <c r="F405" s="637"/>
      <c r="G405" s="638">
        <f>round(SUM(G403:G404),2)</f>
        <v>74.92</v>
      </c>
      <c r="H405" s="639"/>
      <c r="I405" s="639"/>
    </row>
    <row r="406">
      <c r="A406" s="218" t="str">
        <f>CONCATENATE("Say ₹ ",G399," + ",G405," x Cost Index")</f>
        <v>Say ₹ 968.4 + 74.92 x Cost Index</v>
      </c>
      <c r="B406" s="2"/>
      <c r="C406" s="2"/>
      <c r="D406" s="2"/>
      <c r="E406" s="2"/>
      <c r="F406" s="2"/>
      <c r="G406" s="3"/>
      <c r="H406" s="622">
        <f>G395*1.01*1.15</f>
        <v>968.400625</v>
      </c>
      <c r="I406" s="622">
        <f>G400*1.01*1.15</f>
        <v>74.91675</v>
      </c>
    </row>
    <row r="407">
      <c r="A407" s="621" t="s">
        <v>3887</v>
      </c>
      <c r="B407" s="2"/>
      <c r="C407" s="2"/>
      <c r="D407" s="2"/>
      <c r="E407" s="2"/>
      <c r="F407" s="2"/>
      <c r="G407" s="193"/>
      <c r="H407" s="639"/>
      <c r="I407" s="639"/>
    </row>
    <row r="408">
      <c r="A408" s="623" t="s">
        <v>882</v>
      </c>
      <c r="B408" s="672" t="s">
        <v>3892</v>
      </c>
      <c r="C408" s="2"/>
      <c r="D408" s="2"/>
      <c r="E408" s="2"/>
      <c r="F408" s="2"/>
      <c r="G408" s="193"/>
      <c r="H408" s="668"/>
      <c r="I408" s="668"/>
    </row>
    <row r="409">
      <c r="A409" s="674" t="s">
        <v>1923</v>
      </c>
      <c r="B409" s="515" t="s">
        <v>3907</v>
      </c>
      <c r="C409" s="2"/>
      <c r="D409" s="2"/>
      <c r="E409" s="2"/>
      <c r="F409" s="2"/>
      <c r="G409" s="193"/>
      <c r="H409" s="675"/>
      <c r="I409" s="675"/>
    </row>
    <row r="410">
      <c r="A410" s="644" t="s">
        <v>352</v>
      </c>
      <c r="B410" s="628" t="s">
        <v>3916</v>
      </c>
      <c r="C410" s="629"/>
      <c r="D410" s="629"/>
      <c r="E410" s="641"/>
      <c r="F410" s="630"/>
      <c r="G410" s="631"/>
      <c r="H410" s="473"/>
      <c r="I410" s="473"/>
    </row>
    <row r="411">
      <c r="A411" s="644"/>
      <c r="B411" s="676" t="s">
        <v>764</v>
      </c>
      <c r="C411" s="629">
        <v>15.0</v>
      </c>
      <c r="D411" s="629" t="s">
        <v>1014</v>
      </c>
      <c r="E411" s="677">
        <f>'PVC wo Trench PRICE'!F167</f>
        <v>120.22</v>
      </c>
      <c r="F411" s="630" t="s">
        <v>939</v>
      </c>
      <c r="G411" s="631">
        <f t="shared" ref="G411:G412" si="18">round(C411*E411,2)</f>
        <v>1803.3</v>
      </c>
      <c r="H411" s="639"/>
      <c r="I411" s="639"/>
    </row>
    <row r="412">
      <c r="A412" s="644"/>
      <c r="B412" s="676" t="s">
        <v>777</v>
      </c>
      <c r="C412" s="629">
        <v>15.0</v>
      </c>
      <c r="D412" s="629" t="s">
        <v>1014</v>
      </c>
      <c r="E412" s="677">
        <f>'PVC wo Trench PRICE'!F176</f>
        <v>29.66</v>
      </c>
      <c r="F412" s="630" t="s">
        <v>939</v>
      </c>
      <c r="G412" s="631">
        <f t="shared" si="18"/>
        <v>444.9</v>
      </c>
      <c r="H412" s="639"/>
      <c r="I412" s="639"/>
    </row>
    <row r="413">
      <c r="A413" s="644" t="s">
        <v>346</v>
      </c>
      <c r="B413" s="628" t="s">
        <v>3951</v>
      </c>
      <c r="C413" s="629"/>
      <c r="D413" s="629"/>
      <c r="E413" s="641"/>
      <c r="F413" s="630"/>
      <c r="G413" s="631"/>
      <c r="H413" s="639"/>
      <c r="I413" s="639"/>
    </row>
    <row r="414">
      <c r="A414" s="644"/>
      <c r="B414" s="676" t="s">
        <v>764</v>
      </c>
      <c r="C414" s="629">
        <v>20.0</v>
      </c>
      <c r="D414" s="629" t="s">
        <v>1014</v>
      </c>
      <c r="E414" s="677">
        <f>'PVC wo Trench PRICE'!F123</f>
        <v>112.2</v>
      </c>
      <c r="F414" s="630" t="s">
        <v>939</v>
      </c>
      <c r="G414" s="631">
        <f t="shared" ref="G414:G415" si="19">round(C414*E414,2)</f>
        <v>2244</v>
      </c>
      <c r="H414" s="639"/>
      <c r="I414" s="639"/>
    </row>
    <row r="415">
      <c r="A415" s="644"/>
      <c r="B415" s="676" t="s">
        <v>777</v>
      </c>
      <c r="C415" s="629">
        <v>20.0</v>
      </c>
      <c r="D415" s="629" t="s">
        <v>1014</v>
      </c>
      <c r="E415" s="677">
        <f>'PVC wo Trench PRICE'!F132</f>
        <v>29.66</v>
      </c>
      <c r="F415" s="630" t="s">
        <v>939</v>
      </c>
      <c r="G415" s="631">
        <f t="shared" si="19"/>
        <v>593.2</v>
      </c>
      <c r="H415" s="639"/>
      <c r="I415" s="639"/>
    </row>
    <row r="416">
      <c r="A416" s="644" t="s">
        <v>339</v>
      </c>
      <c r="B416" s="628" t="s">
        <v>3970</v>
      </c>
      <c r="C416" s="629"/>
      <c r="D416" s="629"/>
      <c r="E416" s="641"/>
      <c r="F416" s="630"/>
      <c r="G416" s="631"/>
      <c r="H416" s="639"/>
      <c r="I416" s="639"/>
    </row>
    <row r="417">
      <c r="A417" s="644"/>
      <c r="B417" s="676" t="s">
        <v>764</v>
      </c>
      <c r="C417" s="629">
        <v>10.0</v>
      </c>
      <c r="D417" s="629" t="s">
        <v>1014</v>
      </c>
      <c r="E417" s="677">
        <f>'PVC wo Trench PRICE'!F57</f>
        <v>86.82</v>
      </c>
      <c r="F417" s="630" t="s">
        <v>939</v>
      </c>
      <c r="G417" s="631">
        <f t="shared" ref="G417:G418" si="20">round(C417*E417,2)</f>
        <v>868.2</v>
      </c>
      <c r="H417" s="639"/>
      <c r="I417" s="639"/>
    </row>
    <row r="418">
      <c r="A418" s="644"/>
      <c r="B418" s="676" t="s">
        <v>777</v>
      </c>
      <c r="C418" s="629">
        <v>10.0</v>
      </c>
      <c r="D418" s="629" t="s">
        <v>1014</v>
      </c>
      <c r="E418" s="677">
        <f>'PVC wo Trench PRICE'!F66</f>
        <v>29.66</v>
      </c>
      <c r="F418" s="630" t="s">
        <v>939</v>
      </c>
      <c r="G418" s="631">
        <f t="shared" si="20"/>
        <v>296.6</v>
      </c>
      <c r="H418" s="639"/>
      <c r="I418" s="639"/>
    </row>
    <row r="419">
      <c r="A419" s="644" t="s">
        <v>335</v>
      </c>
      <c r="B419" s="628" t="s">
        <v>3989</v>
      </c>
      <c r="C419" s="629"/>
      <c r="D419" s="629"/>
      <c r="E419" s="641"/>
      <c r="F419" s="630"/>
      <c r="G419" s="631"/>
      <c r="H419" s="639"/>
      <c r="I419" s="639"/>
    </row>
    <row r="420">
      <c r="A420" s="644"/>
      <c r="B420" s="676" t="s">
        <v>764</v>
      </c>
      <c r="C420" s="629">
        <v>15.0</v>
      </c>
      <c r="D420" s="629" t="s">
        <v>1014</v>
      </c>
      <c r="E420" s="677">
        <f>'PVC wo Trench PRICE'!F35</f>
        <v>64.11</v>
      </c>
      <c r="F420" s="630" t="s">
        <v>939</v>
      </c>
      <c r="G420" s="631">
        <f t="shared" ref="G420:G421" si="21">round(C420*E420,2)</f>
        <v>961.65</v>
      </c>
      <c r="H420" s="639"/>
      <c r="I420" s="639"/>
    </row>
    <row r="421">
      <c r="A421" s="644"/>
      <c r="B421" s="676" t="s">
        <v>777</v>
      </c>
      <c r="C421" s="629">
        <v>15.0</v>
      </c>
      <c r="D421" s="629" t="s">
        <v>1014</v>
      </c>
      <c r="E421" s="677">
        <f>'PVC wo Trench PRICE'!F44</f>
        <v>29.66</v>
      </c>
      <c r="F421" s="630" t="s">
        <v>939</v>
      </c>
      <c r="G421" s="631">
        <f t="shared" si="21"/>
        <v>444.9</v>
      </c>
      <c r="H421" s="639"/>
      <c r="I421" s="639"/>
    </row>
    <row r="422">
      <c r="A422" s="644" t="s">
        <v>4008</v>
      </c>
      <c r="B422" s="628" t="s">
        <v>4009</v>
      </c>
      <c r="C422" s="629"/>
      <c r="D422" s="629"/>
      <c r="E422" s="641"/>
      <c r="F422" s="630"/>
      <c r="G422" s="631"/>
      <c r="H422" s="639"/>
      <c r="I422" s="639"/>
    </row>
    <row r="423">
      <c r="A423" s="644"/>
      <c r="B423" s="676" t="s">
        <v>764</v>
      </c>
      <c r="C423" s="629">
        <v>1.0</v>
      </c>
      <c r="D423" s="629" t="s">
        <v>1117</v>
      </c>
      <c r="E423" s="641">
        <f>'Motor Starter Monoblock'!F20</f>
        <v>859.71</v>
      </c>
      <c r="F423" s="630" t="s">
        <v>2151</v>
      </c>
      <c r="G423" s="631">
        <f t="shared" ref="G423:G424" si="22">round(C423*E423,2)</f>
        <v>859.71</v>
      </c>
      <c r="H423" s="639"/>
      <c r="I423" s="639"/>
    </row>
    <row r="424">
      <c r="A424" s="644"/>
      <c r="B424" s="676" t="s">
        <v>777</v>
      </c>
      <c r="C424" s="629">
        <v>1.0</v>
      </c>
      <c r="D424" s="629" t="s">
        <v>1117</v>
      </c>
      <c r="E424" s="641">
        <f>'Motor Starter Monoblock'!F34</f>
        <v>33.7</v>
      </c>
      <c r="F424" s="630" t="s">
        <v>2151</v>
      </c>
      <c r="G424" s="631">
        <f t="shared" si="22"/>
        <v>33.7</v>
      </c>
      <c r="H424" s="639"/>
      <c r="I424" s="639"/>
    </row>
    <row r="425">
      <c r="A425" s="644"/>
      <c r="B425" s="676" t="s">
        <v>4030</v>
      </c>
      <c r="C425" s="629"/>
      <c r="D425" s="629"/>
      <c r="E425" s="641"/>
      <c r="F425" s="630"/>
      <c r="G425" s="678">
        <f t="shared" ref="G425:G426" si="23">SUM(G411,G414,G417,G420,G423)</f>
        <v>6736.86</v>
      </c>
      <c r="H425" s="639"/>
      <c r="I425" s="639"/>
    </row>
    <row r="426">
      <c r="A426" s="644"/>
      <c r="B426" s="676" t="s">
        <v>4033</v>
      </c>
      <c r="C426" s="629"/>
      <c r="D426" s="629"/>
      <c r="E426" s="641"/>
      <c r="F426" s="630"/>
      <c r="G426" s="678">
        <f t="shared" si="23"/>
        <v>1813.3</v>
      </c>
      <c r="H426" s="639"/>
      <c r="I426" s="639"/>
    </row>
    <row r="427">
      <c r="A427" s="674" t="s">
        <v>1925</v>
      </c>
      <c r="B427" s="515" t="s">
        <v>4035</v>
      </c>
      <c r="C427" s="2"/>
      <c r="D427" s="2"/>
      <c r="E427" s="2"/>
      <c r="F427" s="2"/>
      <c r="G427" s="193"/>
      <c r="H427" s="675"/>
      <c r="I427" s="675"/>
    </row>
    <row r="428">
      <c r="A428" s="644" t="s">
        <v>502</v>
      </c>
      <c r="B428" s="628" t="s">
        <v>317</v>
      </c>
      <c r="C428" s="629">
        <v>15.0</v>
      </c>
      <c r="D428" s="629" t="s">
        <v>1014</v>
      </c>
      <c r="E428" s="629">
        <v>40.0</v>
      </c>
      <c r="F428" s="630" t="s">
        <v>939</v>
      </c>
      <c r="G428" s="631">
        <f>C428*E428</f>
        <v>600</v>
      </c>
      <c r="H428" s="473"/>
      <c r="I428" s="473"/>
    </row>
    <row r="429">
      <c r="A429" s="623"/>
      <c r="B429" s="640" t="s">
        <v>4043</v>
      </c>
      <c r="C429" s="629"/>
      <c r="D429" s="629"/>
      <c r="E429" s="629"/>
      <c r="F429" s="630"/>
      <c r="G429" s="631">
        <f>G428*0.1</f>
        <v>60</v>
      </c>
      <c r="H429" s="473"/>
      <c r="I429" s="473"/>
    </row>
    <row r="430">
      <c r="A430" s="644" t="s">
        <v>177</v>
      </c>
      <c r="B430" s="628" t="s">
        <v>178</v>
      </c>
      <c r="C430" s="629">
        <v>2.0</v>
      </c>
      <c r="D430" s="629" t="s">
        <v>1117</v>
      </c>
      <c r="E430" s="641">
        <v>380.0</v>
      </c>
      <c r="F430" s="630" t="s">
        <v>2151</v>
      </c>
      <c r="G430" s="631">
        <f t="shared" ref="G430:G436" si="24">C430*E430</f>
        <v>760</v>
      </c>
      <c r="H430" s="473"/>
      <c r="I430" s="473"/>
    </row>
    <row r="431">
      <c r="A431" s="644" t="s">
        <v>173</v>
      </c>
      <c r="B431" s="628" t="s">
        <v>174</v>
      </c>
      <c r="C431" s="629">
        <v>6.0</v>
      </c>
      <c r="D431" s="629" t="s">
        <v>1117</v>
      </c>
      <c r="E431" s="641">
        <v>280.0</v>
      </c>
      <c r="F431" s="630" t="s">
        <v>2151</v>
      </c>
      <c r="G431" s="631">
        <f t="shared" si="24"/>
        <v>1680</v>
      </c>
      <c r="H431" s="473"/>
      <c r="I431" s="473"/>
    </row>
    <row r="432">
      <c r="A432" s="644" t="s">
        <v>2231</v>
      </c>
      <c r="B432" s="628" t="s">
        <v>4059</v>
      </c>
      <c r="C432" s="629">
        <v>3.0</v>
      </c>
      <c r="D432" s="629" t="s">
        <v>1117</v>
      </c>
      <c r="E432" s="641">
        <f t="array" ref="E432">IFERROR(INDEX(LMRRates,MATCH(A432,LMRCodes,0), ), )</f>
        <v>720</v>
      </c>
      <c r="F432" s="630" t="s">
        <v>2151</v>
      </c>
      <c r="G432" s="631">
        <f t="shared" si="24"/>
        <v>2160</v>
      </c>
      <c r="H432" s="473"/>
      <c r="I432" s="473"/>
    </row>
    <row r="433">
      <c r="A433" s="644" t="s">
        <v>864</v>
      </c>
      <c r="B433" s="628" t="s">
        <v>4069</v>
      </c>
      <c r="C433" s="629">
        <v>4.0</v>
      </c>
      <c r="D433" s="629" t="s">
        <v>759</v>
      </c>
      <c r="E433" s="629">
        <v>73.0</v>
      </c>
      <c r="F433" s="630" t="s">
        <v>811</v>
      </c>
      <c r="G433" s="631">
        <f t="shared" si="24"/>
        <v>292</v>
      </c>
      <c r="H433" s="473"/>
      <c r="I433" s="473"/>
    </row>
    <row r="434">
      <c r="A434" s="644" t="s">
        <v>864</v>
      </c>
      <c r="B434" s="628" t="s">
        <v>4074</v>
      </c>
      <c r="C434" s="629">
        <v>50.0</v>
      </c>
      <c r="D434" s="629" t="s">
        <v>1014</v>
      </c>
      <c r="E434" s="629">
        <v>40.0</v>
      </c>
      <c r="F434" s="630" t="s">
        <v>939</v>
      </c>
      <c r="G434" s="631">
        <f t="shared" si="24"/>
        <v>2000</v>
      </c>
      <c r="H434" s="473"/>
      <c r="I434" s="473"/>
    </row>
    <row r="435">
      <c r="A435" s="644" t="s">
        <v>864</v>
      </c>
      <c r="B435" s="628" t="s">
        <v>4077</v>
      </c>
      <c r="C435" s="629">
        <v>2.0</v>
      </c>
      <c r="D435" s="629" t="s">
        <v>1117</v>
      </c>
      <c r="E435" s="629">
        <v>280.0</v>
      </c>
      <c r="F435" s="630" t="s">
        <v>2151</v>
      </c>
      <c r="G435" s="631">
        <f t="shared" si="24"/>
        <v>560</v>
      </c>
      <c r="H435" s="473"/>
      <c r="I435" s="473"/>
    </row>
    <row r="436">
      <c r="A436" s="644" t="s">
        <v>864</v>
      </c>
      <c r="B436" s="628" t="s">
        <v>4080</v>
      </c>
      <c r="C436" s="629">
        <v>36.0</v>
      </c>
      <c r="D436" s="629" t="s">
        <v>759</v>
      </c>
      <c r="E436" s="629">
        <v>67.7</v>
      </c>
      <c r="F436" s="630" t="s">
        <v>811</v>
      </c>
      <c r="G436" s="631">
        <f t="shared" si="24"/>
        <v>2437.2</v>
      </c>
      <c r="H436" s="473"/>
      <c r="I436" s="473"/>
    </row>
    <row r="437">
      <c r="A437" s="623"/>
      <c r="B437" s="640" t="s">
        <v>990</v>
      </c>
      <c r="C437" s="629"/>
      <c r="D437" s="629"/>
      <c r="E437" s="629"/>
      <c r="F437" s="630"/>
      <c r="G437" s="631">
        <f>round(SUM(G428:G436),2)</f>
        <v>10549.2</v>
      </c>
      <c r="H437" s="639"/>
      <c r="I437" s="639"/>
    </row>
    <row r="438">
      <c r="A438" s="623"/>
      <c r="B438" s="640" t="s">
        <v>908</v>
      </c>
      <c r="C438" s="629"/>
      <c r="D438" s="629"/>
      <c r="E438" s="629"/>
      <c r="F438" s="630"/>
      <c r="G438" s="631">
        <f>G437*0.01</f>
        <v>105.492</v>
      </c>
      <c r="H438" s="639"/>
      <c r="I438" s="639"/>
    </row>
    <row r="439">
      <c r="A439" s="623"/>
      <c r="B439" s="640" t="s">
        <v>37</v>
      </c>
      <c r="C439" s="629"/>
      <c r="D439" s="629"/>
      <c r="E439" s="629"/>
      <c r="F439" s="630"/>
      <c r="G439" s="631">
        <f>SUM(G437:G438)</f>
        <v>10654.692</v>
      </c>
      <c r="H439" s="639"/>
      <c r="I439" s="639"/>
    </row>
    <row r="440">
      <c r="A440" s="623"/>
      <c r="B440" s="640" t="s">
        <v>912</v>
      </c>
      <c r="C440" s="629"/>
      <c r="D440" s="629"/>
      <c r="E440" s="629"/>
      <c r="F440" s="630"/>
      <c r="G440" s="631">
        <f>G439*15%</f>
        <v>1598.2038</v>
      </c>
      <c r="H440" s="639"/>
      <c r="I440" s="639"/>
    </row>
    <row r="441">
      <c r="A441" s="623"/>
      <c r="B441" s="679" t="s">
        <v>2159</v>
      </c>
      <c r="C441" s="635"/>
      <c r="D441" s="629"/>
      <c r="E441" s="629"/>
      <c r="F441" s="630"/>
      <c r="G441" s="678">
        <f>round(SUM(G439:G440),2)</f>
        <v>12252.9</v>
      </c>
      <c r="H441" s="639"/>
      <c r="I441" s="639"/>
    </row>
    <row r="442">
      <c r="A442" s="674" t="s">
        <v>1927</v>
      </c>
      <c r="B442" s="515" t="s">
        <v>777</v>
      </c>
      <c r="C442" s="2"/>
      <c r="D442" s="2"/>
      <c r="E442" s="2"/>
      <c r="F442" s="2"/>
      <c r="G442" s="193"/>
      <c r="H442" s="675"/>
      <c r="I442" s="675"/>
    </row>
    <row r="443">
      <c r="A443" s="644" t="s">
        <v>4121</v>
      </c>
      <c r="B443" s="628" t="s">
        <v>4122</v>
      </c>
      <c r="C443" s="629">
        <v>2.0</v>
      </c>
      <c r="D443" s="641" t="s">
        <v>868</v>
      </c>
      <c r="E443" s="680">
        <v>853.0</v>
      </c>
      <c r="F443" s="643" t="s">
        <v>890</v>
      </c>
      <c r="G443" s="631">
        <f t="shared" ref="G443:G446" si="25">C443*E443</f>
        <v>1706</v>
      </c>
      <c r="H443" s="473"/>
      <c r="I443" s="473"/>
    </row>
    <row r="444">
      <c r="A444" s="644" t="s">
        <v>879</v>
      </c>
      <c r="B444" s="628" t="s">
        <v>888</v>
      </c>
      <c r="C444" s="629">
        <v>1.0</v>
      </c>
      <c r="D444" s="641" t="s">
        <v>868</v>
      </c>
      <c r="E444" s="680">
        <v>784.0</v>
      </c>
      <c r="F444" s="643" t="s">
        <v>890</v>
      </c>
      <c r="G444" s="631">
        <f t="shared" si="25"/>
        <v>784</v>
      </c>
      <c r="H444" s="473"/>
      <c r="I444" s="473"/>
    </row>
    <row r="445">
      <c r="A445" s="644" t="s">
        <v>892</v>
      </c>
      <c r="B445" s="628" t="s">
        <v>893</v>
      </c>
      <c r="C445" s="629">
        <v>1.0</v>
      </c>
      <c r="D445" s="641" t="s">
        <v>868</v>
      </c>
      <c r="E445" s="681">
        <v>714.0</v>
      </c>
      <c r="F445" s="643" t="s">
        <v>890</v>
      </c>
      <c r="G445" s="631">
        <f t="shared" si="25"/>
        <v>714</v>
      </c>
      <c r="H445" s="473"/>
      <c r="I445" s="473"/>
    </row>
    <row r="446">
      <c r="A446" s="644" t="s">
        <v>4139</v>
      </c>
      <c r="B446" s="640" t="s">
        <v>97</v>
      </c>
      <c r="C446" s="629">
        <v>2.0</v>
      </c>
      <c r="D446" s="641" t="s">
        <v>868</v>
      </c>
      <c r="E446" s="680">
        <v>645.0</v>
      </c>
      <c r="F446" s="643" t="s">
        <v>890</v>
      </c>
      <c r="G446" s="631">
        <f t="shared" si="25"/>
        <v>1290</v>
      </c>
      <c r="H446" s="473"/>
      <c r="I446" s="473"/>
    </row>
    <row r="447">
      <c r="A447" s="623"/>
      <c r="B447" s="640" t="s">
        <v>990</v>
      </c>
      <c r="C447" s="629"/>
      <c r="D447" s="629"/>
      <c r="E447" s="629"/>
      <c r="F447" s="630"/>
      <c r="G447" s="631">
        <f>SUM(G443:G446)</f>
        <v>4494</v>
      </c>
      <c r="H447" s="473"/>
      <c r="I447" s="473"/>
    </row>
    <row r="448">
      <c r="A448" s="623"/>
      <c r="B448" s="640" t="s">
        <v>908</v>
      </c>
      <c r="C448" s="629"/>
      <c r="D448" s="629"/>
      <c r="E448" s="629"/>
      <c r="F448" s="630"/>
      <c r="G448" s="631">
        <f>G447*0.01</f>
        <v>44.94</v>
      </c>
      <c r="H448" s="473"/>
      <c r="I448" s="473"/>
    </row>
    <row r="449">
      <c r="A449" s="623"/>
      <c r="B449" s="640" t="s">
        <v>37</v>
      </c>
      <c r="C449" s="629"/>
      <c r="D449" s="629"/>
      <c r="E449" s="629"/>
      <c r="F449" s="630"/>
      <c r="G449" s="631">
        <f>SUM(G447:G448)</f>
        <v>4538.94</v>
      </c>
      <c r="H449" s="473"/>
      <c r="I449" s="473"/>
    </row>
    <row r="450">
      <c r="A450" s="623"/>
      <c r="B450" s="640" t="s">
        <v>912</v>
      </c>
      <c r="C450" s="629"/>
      <c r="D450" s="629"/>
      <c r="E450" s="629"/>
      <c r="F450" s="630"/>
      <c r="G450" s="631">
        <f>G449*15%</f>
        <v>680.841</v>
      </c>
      <c r="H450" s="473"/>
      <c r="I450" s="473"/>
    </row>
    <row r="451">
      <c r="A451" s="623"/>
      <c r="B451" s="679" t="s">
        <v>2159</v>
      </c>
      <c r="C451" s="635"/>
      <c r="D451" s="629"/>
      <c r="E451" s="629"/>
      <c r="F451" s="630"/>
      <c r="G451" s="678">
        <f>round(SUM(G449:G450),2)</f>
        <v>5219.78</v>
      </c>
      <c r="H451" s="639"/>
      <c r="I451" s="639"/>
    </row>
    <row r="452">
      <c r="A452" s="682" t="str">
        <f>CONCATENATE("Say ₹ ",(G425+G441)," + ",(G451+G426)," x Cost Index")</f>
        <v>Say ₹ 18989.76 + 7033.08 x Cost Index</v>
      </c>
      <c r="B452" s="2"/>
      <c r="C452" s="2"/>
      <c r="D452" s="2"/>
      <c r="E452" s="2"/>
      <c r="F452" s="2"/>
      <c r="G452" s="3"/>
      <c r="H452" s="622">
        <f>SUM(G411,G414,G417,G420,G423,G441)</f>
        <v>18989.76</v>
      </c>
      <c r="I452" s="622">
        <f>SUM(G412,G415,G418,G421,G424,G451)</f>
        <v>7033.08</v>
      </c>
    </row>
    <row r="453">
      <c r="A453" s="621" t="s">
        <v>4201</v>
      </c>
      <c r="B453" s="2"/>
      <c r="C453" s="2"/>
      <c r="D453" s="2"/>
      <c r="E453" s="2"/>
      <c r="F453" s="2"/>
      <c r="G453" s="193"/>
      <c r="H453" s="639"/>
      <c r="I453" s="639"/>
    </row>
    <row r="454">
      <c r="A454" s="623" t="s">
        <v>882</v>
      </c>
      <c r="B454" s="625" t="s">
        <v>4208</v>
      </c>
      <c r="C454" s="2"/>
      <c r="D454" s="2"/>
      <c r="E454" s="2"/>
      <c r="F454" s="2"/>
      <c r="G454" s="193"/>
      <c r="H454" s="626"/>
      <c r="I454" s="626"/>
    </row>
    <row r="455">
      <c r="A455" s="623"/>
      <c r="B455" s="640" t="s">
        <v>4213</v>
      </c>
      <c r="C455" s="629">
        <v>1.0</v>
      </c>
      <c r="D455" s="629" t="s">
        <v>1117</v>
      </c>
      <c r="E455" s="629">
        <v>3500.0</v>
      </c>
      <c r="F455" s="630" t="s">
        <v>2151</v>
      </c>
      <c r="G455" s="631">
        <f t="shared" ref="G455:G456" si="26">C455*E455</f>
        <v>3500</v>
      </c>
      <c r="H455" s="473"/>
      <c r="I455" s="473"/>
    </row>
    <row r="456">
      <c r="A456" s="623"/>
      <c r="B456" s="640" t="s">
        <v>4220</v>
      </c>
      <c r="C456" s="629">
        <v>1.0</v>
      </c>
      <c r="D456" s="629" t="s">
        <v>1117</v>
      </c>
      <c r="E456" s="629">
        <v>2000.0</v>
      </c>
      <c r="F456" s="630" t="s">
        <v>2151</v>
      </c>
      <c r="G456" s="631">
        <f t="shared" si="26"/>
        <v>2000</v>
      </c>
      <c r="H456" s="473"/>
      <c r="I456" s="473"/>
    </row>
    <row r="457">
      <c r="A457" s="623"/>
      <c r="B457" s="683" t="s">
        <v>37</v>
      </c>
      <c r="C457" s="629"/>
      <c r="D457" s="629"/>
      <c r="E457" s="629"/>
      <c r="F457" s="630"/>
      <c r="G457" s="678">
        <f>SUM(G455:G456)</f>
        <v>5500</v>
      </c>
      <c r="H457" s="639"/>
      <c r="I457" s="639"/>
    </row>
    <row r="458">
      <c r="A458" s="644" t="s">
        <v>4121</v>
      </c>
      <c r="B458" s="628" t="s">
        <v>4122</v>
      </c>
      <c r="C458" s="629">
        <v>0.5</v>
      </c>
      <c r="D458" s="641" t="s">
        <v>868</v>
      </c>
      <c r="E458" s="680">
        <v>853.0</v>
      </c>
      <c r="F458" s="643" t="s">
        <v>890</v>
      </c>
      <c r="G458" s="631">
        <f t="shared" ref="G458:G459" si="27">C458*E458</f>
        <v>426.5</v>
      </c>
      <c r="H458" s="473"/>
      <c r="I458" s="473"/>
    </row>
    <row r="459">
      <c r="A459" s="644" t="s">
        <v>4139</v>
      </c>
      <c r="B459" s="640" t="s">
        <v>97</v>
      </c>
      <c r="C459" s="629">
        <v>0.5</v>
      </c>
      <c r="D459" s="641" t="s">
        <v>868</v>
      </c>
      <c r="E459" s="680">
        <v>645.0</v>
      </c>
      <c r="F459" s="643" t="s">
        <v>890</v>
      </c>
      <c r="G459" s="631">
        <f t="shared" si="27"/>
        <v>322.5</v>
      </c>
      <c r="H459" s="473"/>
      <c r="I459" s="473"/>
    </row>
    <row r="460">
      <c r="A460" s="623"/>
      <c r="B460" s="640" t="s">
        <v>990</v>
      </c>
      <c r="C460" s="629"/>
      <c r="D460" s="629"/>
      <c r="E460" s="629"/>
      <c r="F460" s="630"/>
      <c r="G460" s="631">
        <f>SUM(G458:G459)</f>
        <v>749</v>
      </c>
      <c r="H460" s="473"/>
      <c r="I460" s="473"/>
    </row>
    <row r="461">
      <c r="A461" s="623"/>
      <c r="B461" s="640" t="s">
        <v>908</v>
      </c>
      <c r="C461" s="629"/>
      <c r="D461" s="629"/>
      <c r="E461" s="629"/>
      <c r="F461" s="630"/>
      <c r="G461" s="631">
        <f>G460*0.01</f>
        <v>7.49</v>
      </c>
      <c r="H461" s="473"/>
      <c r="I461" s="473"/>
    </row>
    <row r="462">
      <c r="A462" s="623"/>
      <c r="B462" s="640" t="s">
        <v>37</v>
      </c>
      <c r="C462" s="629"/>
      <c r="D462" s="629"/>
      <c r="E462" s="629"/>
      <c r="F462" s="630"/>
      <c r="G462" s="631">
        <f>SUM(G460:G461)</f>
        <v>756.49</v>
      </c>
      <c r="H462" s="473"/>
      <c r="I462" s="473"/>
    </row>
    <row r="463">
      <c r="A463" s="623"/>
      <c r="B463" s="640" t="s">
        <v>912</v>
      </c>
      <c r="C463" s="629"/>
      <c r="D463" s="629"/>
      <c r="E463" s="629"/>
      <c r="F463" s="630"/>
      <c r="G463" s="631">
        <f>G462*15%</f>
        <v>113.4735</v>
      </c>
      <c r="H463" s="473"/>
      <c r="I463" s="473"/>
    </row>
    <row r="464">
      <c r="A464" s="623"/>
      <c r="B464" s="679" t="s">
        <v>2159</v>
      </c>
      <c r="C464" s="635"/>
      <c r="D464" s="629"/>
      <c r="E464" s="629"/>
      <c r="F464" s="630"/>
      <c r="G464" s="678">
        <f>round(SUM(G462:G463),2)</f>
        <v>869.96</v>
      </c>
      <c r="H464" s="639"/>
      <c r="I464" s="639"/>
    </row>
    <row r="465">
      <c r="A465" s="682" t="str">
        <f>CONCATENATE("Say ₹ (",G457," + ",G464," x Cost Index) / Visit")</f>
        <v>Say ₹ (5500 + 869.96 x Cost Index) / Visit</v>
      </c>
      <c r="B465" s="2"/>
      <c r="C465" s="2"/>
      <c r="D465" s="2"/>
      <c r="E465" s="2"/>
      <c r="F465" s="2"/>
      <c r="G465" s="3"/>
      <c r="H465" s="622">
        <f>G457</f>
        <v>5500</v>
      </c>
      <c r="I465" s="622">
        <f>(G458+G459)*1.01*1.15</f>
        <v>869.9635</v>
      </c>
    </row>
  </sheetData>
  <mergeCells count="79">
    <mergeCell ref="A296:G296"/>
    <mergeCell ref="B297:G297"/>
    <mergeCell ref="A310:G310"/>
    <mergeCell ref="A311:G311"/>
    <mergeCell ref="B312:G312"/>
    <mergeCell ref="A325:G325"/>
    <mergeCell ref="A326:G326"/>
    <mergeCell ref="B327:G327"/>
    <mergeCell ref="A339:G339"/>
    <mergeCell ref="A340:G340"/>
    <mergeCell ref="B341:G341"/>
    <mergeCell ref="A353:G353"/>
    <mergeCell ref="B354:G354"/>
    <mergeCell ref="A366:G366"/>
    <mergeCell ref="B367:G367"/>
    <mergeCell ref="A379:G379"/>
    <mergeCell ref="A380:G380"/>
    <mergeCell ref="B381:G381"/>
    <mergeCell ref="A393:G393"/>
    <mergeCell ref="B394:G394"/>
    <mergeCell ref="A406:G406"/>
    <mergeCell ref="B454:G454"/>
    <mergeCell ref="A465:G465"/>
    <mergeCell ref="A407:G407"/>
    <mergeCell ref="B408:G408"/>
    <mergeCell ref="B409:G409"/>
    <mergeCell ref="B427:G427"/>
    <mergeCell ref="B442:G442"/>
    <mergeCell ref="A452:G452"/>
    <mergeCell ref="A453:G453"/>
    <mergeCell ref="A1:G1"/>
    <mergeCell ref="A2:G2"/>
    <mergeCell ref="B3:G3"/>
    <mergeCell ref="A16:G16"/>
    <mergeCell ref="B17:G17"/>
    <mergeCell ref="A30:G30"/>
    <mergeCell ref="B31:G31"/>
    <mergeCell ref="A44:G44"/>
    <mergeCell ref="B45:G45"/>
    <mergeCell ref="A58:G58"/>
    <mergeCell ref="B59:G59"/>
    <mergeCell ref="A72:G72"/>
    <mergeCell ref="B73:G73"/>
    <mergeCell ref="A86:G86"/>
    <mergeCell ref="B87:G87"/>
    <mergeCell ref="A100:G100"/>
    <mergeCell ref="A101:G101"/>
    <mergeCell ref="B102:G102"/>
    <mergeCell ref="A114:G114"/>
    <mergeCell ref="B115:G115"/>
    <mergeCell ref="A127:G127"/>
    <mergeCell ref="B128:G128"/>
    <mergeCell ref="A140:G140"/>
    <mergeCell ref="A141:G141"/>
    <mergeCell ref="B142:G142"/>
    <mergeCell ref="A154:G154"/>
    <mergeCell ref="B155:G155"/>
    <mergeCell ref="A167:G167"/>
    <mergeCell ref="B168:G168"/>
    <mergeCell ref="A180:G180"/>
    <mergeCell ref="A181:G181"/>
    <mergeCell ref="B182:G182"/>
    <mergeCell ref="A195:G195"/>
    <mergeCell ref="B196:G196"/>
    <mergeCell ref="A209:G209"/>
    <mergeCell ref="A210:G210"/>
    <mergeCell ref="B211:G211"/>
    <mergeCell ref="A224:G224"/>
    <mergeCell ref="B225:G225"/>
    <mergeCell ref="A238:G238"/>
    <mergeCell ref="B239:G239"/>
    <mergeCell ref="A252:G252"/>
    <mergeCell ref="A253:G253"/>
    <mergeCell ref="B254:G254"/>
    <mergeCell ref="A267:G267"/>
    <mergeCell ref="A268:G268"/>
    <mergeCell ref="B269:G269"/>
    <mergeCell ref="A282:G282"/>
    <mergeCell ref="B283:G283"/>
  </mergeCells>
  <printOptions/>
  <pageMargins bottom="0.354166666666667" footer="0.0" header="0.0" left="0.708333333333333" right="0.315277777777778" top="0.551388888888889"/>
  <pageSetup paperSize="9" orientation="portrait"/>
  <rowBreaks count="5" manualBreakCount="5">
    <brk id="100" man="1"/>
    <brk id="325" man="1"/>
    <brk id="406" man="1"/>
    <brk id="167" man="1"/>
    <brk id="282" man="1"/>
  </rowBreaks>
  <drawing r:id="rId1"/>
</worksheet>
</file>

<file path=xl/worksheets/sheet4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sheetData>
    <row r="1">
      <c r="A1" s="645" t="s">
        <v>2170</v>
      </c>
      <c r="B1" s="645" t="s">
        <v>13</v>
      </c>
    </row>
    <row r="2">
      <c r="A2" s="645" t="s">
        <v>2171</v>
      </c>
      <c r="B2" s="645">
        <v>1.4766</v>
      </c>
    </row>
    <row r="3">
      <c r="A3" s="645" t="s">
        <v>2172</v>
      </c>
      <c r="B3" s="645">
        <v>1.4445</v>
      </c>
    </row>
    <row r="4">
      <c r="A4" s="645" t="s">
        <v>2173</v>
      </c>
      <c r="B4" s="645">
        <v>1.4445</v>
      </c>
    </row>
    <row r="5">
      <c r="A5" s="645" t="s">
        <v>2174</v>
      </c>
      <c r="B5" s="645">
        <v>1.4445</v>
      </c>
    </row>
    <row r="6">
      <c r="A6" s="645" t="s">
        <v>2175</v>
      </c>
      <c r="B6" s="645">
        <v>1.4445</v>
      </c>
    </row>
    <row r="7">
      <c r="A7" s="645" t="s">
        <v>2176</v>
      </c>
      <c r="B7" s="645">
        <v>1.4445</v>
      </c>
    </row>
    <row r="8">
      <c r="A8" s="645" t="s">
        <v>2177</v>
      </c>
      <c r="B8" s="645">
        <v>1.4445</v>
      </c>
    </row>
    <row r="9">
      <c r="A9" s="645" t="s">
        <v>2178</v>
      </c>
      <c r="B9" s="645">
        <v>1.4445</v>
      </c>
    </row>
    <row r="10">
      <c r="A10" s="645" t="s">
        <v>2179</v>
      </c>
      <c r="B10" s="645">
        <v>1.4445</v>
      </c>
    </row>
    <row r="11">
      <c r="A11" s="645" t="s">
        <v>2180</v>
      </c>
      <c r="B11" s="645">
        <v>1.3268</v>
      </c>
    </row>
    <row r="12">
      <c r="A12" s="645" t="s">
        <v>2181</v>
      </c>
      <c r="B12" s="645">
        <v>1.3268</v>
      </c>
    </row>
    <row r="13">
      <c r="A13" s="645" t="s">
        <v>2182</v>
      </c>
      <c r="B13" s="645">
        <v>1.3482</v>
      </c>
    </row>
    <row r="14">
      <c r="A14" s="645" t="s">
        <v>2183</v>
      </c>
      <c r="B14" s="645">
        <v>1.3482</v>
      </c>
    </row>
    <row r="15">
      <c r="A15" s="645" t="s">
        <v>2184</v>
      </c>
      <c r="B15" s="645">
        <v>1.3589</v>
      </c>
    </row>
    <row r="16">
      <c r="A16" s="645" t="s">
        <v>16</v>
      </c>
      <c r="B16" s="646">
        <v>1.0</v>
      </c>
    </row>
  </sheetData>
  <drawing r:id="rId1"/>
  <tableParts count="1">
    <tablePart r:id="rId3"/>
  </tableParts>
</worksheet>
</file>

<file path=xl/worksheets/sheet4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13.86"/>
    <col customWidth="1" min="2" max="2" width="31.0"/>
    <col customWidth="1" min="3" max="3" width="6.14"/>
    <col customWidth="1" min="4" max="4" width="9.57"/>
    <col customWidth="1" min="5" max="5" width="15.29"/>
    <col customWidth="1" min="6" max="6" width="31.57"/>
    <col customWidth="1" min="7" max="7" width="4.43"/>
    <col customWidth="1" min="8" max="8" width="10.57"/>
    <col customWidth="1" min="9" max="9" width="15.29"/>
    <col customWidth="1" min="10" max="10" width="31.57"/>
    <col customWidth="1" min="11" max="11" width="4.43"/>
    <col customWidth="1" min="12" max="12" width="10.57"/>
  </cols>
  <sheetData>
    <row r="1">
      <c r="A1" s="647" t="s">
        <v>2185</v>
      </c>
    </row>
    <row r="2">
      <c r="A2" s="648" t="s">
        <v>2186</v>
      </c>
      <c r="B2" s="648" t="s">
        <v>2187</v>
      </c>
      <c r="C2" s="648" t="s">
        <v>2188</v>
      </c>
      <c r="D2" s="648" t="s">
        <v>2189</v>
      </c>
      <c r="E2" s="649" t="s">
        <v>2190</v>
      </c>
      <c r="F2" s="2"/>
      <c r="G2" s="2"/>
      <c r="H2" s="3"/>
      <c r="I2" s="649" t="s">
        <v>2191</v>
      </c>
      <c r="J2" s="2"/>
      <c r="K2" s="2"/>
      <c r="L2" s="3"/>
    </row>
    <row r="3">
      <c r="A3" s="650"/>
      <c r="B3" s="650"/>
      <c r="C3" s="650"/>
      <c r="D3" s="650"/>
      <c r="E3" s="651" t="s">
        <v>2192</v>
      </c>
      <c r="F3" s="651" t="s">
        <v>2187</v>
      </c>
      <c r="G3" s="651" t="s">
        <v>2188</v>
      </c>
      <c r="H3" s="651" t="s">
        <v>2195</v>
      </c>
      <c r="I3" s="651" t="s">
        <v>2192</v>
      </c>
      <c r="J3" s="651" t="s">
        <v>2187</v>
      </c>
      <c r="K3" s="651" t="s">
        <v>2188</v>
      </c>
      <c r="L3" s="651" t="s">
        <v>2195</v>
      </c>
    </row>
    <row r="4">
      <c r="A4" s="652" t="s">
        <v>364</v>
      </c>
      <c r="B4" s="653" t="s">
        <v>366</v>
      </c>
      <c r="C4" s="653">
        <v>180.0</v>
      </c>
      <c r="D4" s="653">
        <f t="shared" ref="D4:D8" si="1">IF(H4+((C4-G4)*(L4-H4)/(K4-G4))&lt;20,20,MROUND(H4+((C4-G4)*(L4-H4)/(K4-G4)),1))</f>
        <v>487</v>
      </c>
      <c r="E4" s="654" t="s">
        <v>320</v>
      </c>
      <c r="F4" s="654" t="s">
        <v>2197</v>
      </c>
      <c r="G4" s="654">
        <v>160.0</v>
      </c>
      <c r="H4" s="654">
        <f t="array" ref="H4">IFERROR(INDEX(LMRRates,MATCH(E4,LMRCodes,0), ), )</f>
        <v>387</v>
      </c>
      <c r="I4" s="654" t="s">
        <v>2199</v>
      </c>
      <c r="J4" s="654" t="s">
        <v>2200</v>
      </c>
      <c r="K4" s="654">
        <v>200.0</v>
      </c>
      <c r="L4" s="654">
        <f t="array" ref="L4">IFERROR(INDEX(LMRRates,MATCH(I4,LMRCodes,0), ), )</f>
        <v>586</v>
      </c>
    </row>
    <row r="5">
      <c r="A5" s="655" t="s">
        <v>852</v>
      </c>
      <c r="B5" s="656" t="s">
        <v>853</v>
      </c>
      <c r="C5" s="656">
        <v>180.0</v>
      </c>
      <c r="D5" s="656">
        <f t="shared" si="1"/>
        <v>787</v>
      </c>
      <c r="E5" s="657" t="s">
        <v>2204</v>
      </c>
      <c r="F5" s="657" t="s">
        <v>2205</v>
      </c>
      <c r="G5" s="657">
        <v>160.0</v>
      </c>
      <c r="H5" s="657">
        <f t="array" ref="H5">IFERROR(INDEX(LMRRates,MATCH(E5,LMRCodes,0), ), )</f>
        <v>617</v>
      </c>
      <c r="I5" s="657" t="s">
        <v>706</v>
      </c>
      <c r="J5" s="657" t="s">
        <v>707</v>
      </c>
      <c r="K5" s="657">
        <v>200.0</v>
      </c>
      <c r="L5" s="657">
        <f t="array" ref="L5">IFERROR(INDEX(LMRRates,MATCH(I5,LMRCodes,0), ), )</f>
        <v>957</v>
      </c>
    </row>
    <row r="6">
      <c r="A6" s="653" t="s">
        <v>268</v>
      </c>
      <c r="B6" s="653" t="s">
        <v>269</v>
      </c>
      <c r="C6" s="653">
        <v>20.0</v>
      </c>
      <c r="D6" s="653">
        <f t="shared" si="1"/>
        <v>20</v>
      </c>
      <c r="E6" s="654" t="s">
        <v>2207</v>
      </c>
      <c r="F6" s="654" t="s">
        <v>2208</v>
      </c>
      <c r="G6" s="654">
        <v>50.0</v>
      </c>
      <c r="H6" s="654">
        <f t="array" ref="H6">IFERROR(INDEX(LMRRates,MATCH(E6,LMRCodes,0), ), )</f>
        <v>54</v>
      </c>
      <c r="I6" s="654" t="s">
        <v>2209</v>
      </c>
      <c r="J6" s="654" t="s">
        <v>2210</v>
      </c>
      <c r="K6" s="654">
        <v>63.0</v>
      </c>
      <c r="L6" s="654">
        <f t="array" ref="L6">IFERROR(INDEX(LMRRates,MATCH(I6,LMRCodes,0), ), )</f>
        <v>87</v>
      </c>
    </row>
    <row r="7">
      <c r="A7" s="656" t="s">
        <v>274</v>
      </c>
      <c r="B7" s="656" t="s">
        <v>275</v>
      </c>
      <c r="C7" s="656">
        <v>32.0</v>
      </c>
      <c r="D7" s="656">
        <f t="shared" si="1"/>
        <v>20</v>
      </c>
      <c r="E7" s="657" t="s">
        <v>2207</v>
      </c>
      <c r="F7" s="657" t="s">
        <v>2208</v>
      </c>
      <c r="G7" s="657">
        <v>50.0</v>
      </c>
      <c r="H7" s="657">
        <f t="array" ref="H7">IFERROR(INDEX(LMRRates,MATCH(E7,LMRCodes,0), ), )</f>
        <v>54</v>
      </c>
      <c r="I7" s="657" t="s">
        <v>2209</v>
      </c>
      <c r="J7" s="657" t="s">
        <v>2210</v>
      </c>
      <c r="K7" s="657">
        <v>63.0</v>
      </c>
      <c r="L7" s="657">
        <f t="array" ref="L7">IFERROR(INDEX(LMRRates,MATCH(I7,LMRCodes,0), ), )</f>
        <v>87</v>
      </c>
    </row>
    <row r="8">
      <c r="A8" s="653" t="s">
        <v>277</v>
      </c>
      <c r="B8" s="653" t="s">
        <v>278</v>
      </c>
      <c r="C8" s="653">
        <v>40.0</v>
      </c>
      <c r="D8" s="653">
        <f t="shared" si="1"/>
        <v>29</v>
      </c>
      <c r="E8" s="654" t="s">
        <v>2207</v>
      </c>
      <c r="F8" s="654" t="s">
        <v>2208</v>
      </c>
      <c r="G8" s="654">
        <v>50.0</v>
      </c>
      <c r="H8" s="654">
        <f t="array" ref="H8">IFERROR(INDEX(LMRRates,MATCH(E8,LMRCodes,0), ), )</f>
        <v>54</v>
      </c>
      <c r="I8" s="654" t="s">
        <v>2209</v>
      </c>
      <c r="J8" s="654" t="s">
        <v>2210</v>
      </c>
      <c r="K8" s="654">
        <v>63.0</v>
      </c>
      <c r="L8" s="654">
        <f t="array" ref="L8">IFERROR(INDEX(LMRRates,MATCH(I8,LMRCodes,0), ), )</f>
        <v>87</v>
      </c>
    </row>
  </sheetData>
  <mergeCells count="7">
    <mergeCell ref="A1:L1"/>
    <mergeCell ref="A2:A3"/>
    <mergeCell ref="B2:B3"/>
    <mergeCell ref="C2:C3"/>
    <mergeCell ref="D2:D3"/>
    <mergeCell ref="E2:H2"/>
    <mergeCell ref="I2:L2"/>
  </mergeCells>
  <drawing r:id="rId1"/>
</worksheet>
</file>

<file path=xl/worksheets/sheet4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9.86"/>
    <col customWidth="1" min="2" max="2" width="55.0"/>
    <col customWidth="1" min="3" max="3" width="10.86"/>
  </cols>
  <sheetData>
    <row r="1">
      <c r="A1" s="658" t="s">
        <v>2192</v>
      </c>
      <c r="B1" s="658" t="s">
        <v>2187</v>
      </c>
      <c r="C1" s="658" t="s">
        <v>10</v>
      </c>
    </row>
    <row r="2">
      <c r="A2" s="659" t="s">
        <v>18</v>
      </c>
      <c r="B2" s="660" t="s">
        <v>2214</v>
      </c>
      <c r="C2" s="659">
        <f t="array" ref="C2">IFERROR(INDEX(MRRates,MATCH(A2,MRCodes,0), ), )</f>
        <v>281</v>
      </c>
    </row>
    <row r="3">
      <c r="A3" s="659" t="s">
        <v>183</v>
      </c>
      <c r="B3" s="660" t="s">
        <v>188</v>
      </c>
      <c r="C3" s="659">
        <f t="array" ref="C3">IFERROR(INDEX(MRRates,MATCH(A3,MRCodes,0), ), )</f>
        <v>398</v>
      </c>
    </row>
    <row r="4">
      <c r="A4" s="659" t="s">
        <v>320</v>
      </c>
      <c r="B4" s="660" t="s">
        <v>2197</v>
      </c>
      <c r="C4" s="659">
        <f t="array" ref="C4">IFERROR(INDEX(MRRates,MATCH(A4,MRCodes,0), ), )</f>
        <v>387</v>
      </c>
    </row>
    <row r="5">
      <c r="A5" s="659" t="s">
        <v>522</v>
      </c>
      <c r="B5" s="660" t="s">
        <v>523</v>
      </c>
      <c r="C5" s="659">
        <f t="array" ref="C5">IFERROR(INDEX(MRRates,MATCH(A5,MRCodes,0), ), )</f>
        <v>654</v>
      </c>
    </row>
    <row r="6">
      <c r="A6" s="659" t="s">
        <v>611</v>
      </c>
      <c r="B6" s="660" t="s">
        <v>613</v>
      </c>
      <c r="C6" s="659">
        <f t="array" ref="C6">IFERROR(INDEX(MRRates,MATCH(A6,MRCodes,0), ), )</f>
        <v>813</v>
      </c>
    </row>
    <row r="7">
      <c r="A7" s="659" t="s">
        <v>706</v>
      </c>
      <c r="B7" s="660" t="s">
        <v>707</v>
      </c>
      <c r="C7" s="659">
        <f t="array" ref="C7">IFERROR(INDEX(MRRates,MATCH(A7,MRCodes,0), ), )</f>
        <v>957</v>
      </c>
    </row>
    <row r="8">
      <c r="A8" s="659" t="s">
        <v>767</v>
      </c>
      <c r="B8" s="660" t="s">
        <v>768</v>
      </c>
      <c r="C8" s="659">
        <f t="array" ref="C8">IFERROR(INDEX(MRRates,MATCH(A8,MRCodes,0), ), )</f>
        <v>180</v>
      </c>
    </row>
    <row r="9">
      <c r="A9" s="659" t="s">
        <v>829</v>
      </c>
      <c r="B9" s="660" t="s">
        <v>830</v>
      </c>
      <c r="C9" s="659">
        <f t="array" ref="C9">IFERROR(INDEX(MRRates,MATCH(A9,MRCodes,0), ), )</f>
        <v>480</v>
      </c>
    </row>
    <row r="10">
      <c r="A10" s="659" t="s">
        <v>2218</v>
      </c>
      <c r="B10" s="660" t="s">
        <v>2219</v>
      </c>
      <c r="C10" s="659">
        <f t="array" ref="C10">IFERROR(INDEX(MRRates,MATCH(A10,MRCodes,0), ), )</f>
        <v>6553</v>
      </c>
    </row>
    <row r="11">
      <c r="A11" s="661" t="s">
        <v>949</v>
      </c>
      <c r="B11" s="660" t="s">
        <v>2220</v>
      </c>
      <c r="C11" s="659">
        <f t="array" ref="C11">IFERROR(INDEX(MRRates,MATCH(A11,MRCodes,0), ), )</f>
        <v>64</v>
      </c>
    </row>
    <row r="12">
      <c r="A12" s="659" t="s">
        <v>1643</v>
      </c>
      <c r="B12" s="660" t="s">
        <v>1645</v>
      </c>
      <c r="C12" s="659">
        <f t="array" ref="C12">IFERROR(INDEX(MRRates,MATCH(A12,MRCodes,0), ), )</f>
        <v>52</v>
      </c>
    </row>
    <row r="13">
      <c r="A13" s="659" t="s">
        <v>1661</v>
      </c>
      <c r="B13" s="660" t="s">
        <v>1662</v>
      </c>
      <c r="C13" s="659">
        <f t="array" ref="C13">IFERROR(INDEX(MRRates,MATCH(A13,MRCodes,0), ), )</f>
        <v>160</v>
      </c>
    </row>
    <row r="14">
      <c r="A14" s="659" t="s">
        <v>1680</v>
      </c>
      <c r="B14" s="660" t="s">
        <v>1681</v>
      </c>
      <c r="C14" s="659">
        <f t="array" ref="C14">IFERROR(INDEX(MRRates,MATCH(A14,MRCodes,0), ), )</f>
        <v>185</v>
      </c>
    </row>
    <row r="15">
      <c r="A15" s="659" t="s">
        <v>1696</v>
      </c>
      <c r="B15" s="660" t="s">
        <v>1697</v>
      </c>
      <c r="C15" s="659">
        <f t="array" ref="C15">IFERROR(INDEX(MRRates,MATCH(A15,MRCodes,0), ), )</f>
        <v>211</v>
      </c>
    </row>
    <row r="16">
      <c r="A16" s="659" t="s">
        <v>1706</v>
      </c>
      <c r="B16" s="660" t="s">
        <v>1707</v>
      </c>
      <c r="C16" s="659">
        <f t="array" ref="C16">IFERROR(INDEX(MRRates,MATCH(A16,MRCodes,0), ), )</f>
        <v>340</v>
      </c>
    </row>
    <row r="17">
      <c r="A17" s="659" t="s">
        <v>1715</v>
      </c>
      <c r="B17" s="660" t="s">
        <v>1716</v>
      </c>
      <c r="C17" s="659">
        <f t="array" ref="C17">IFERROR(INDEX(MRRates,MATCH(A17,MRCodes,0), ), )</f>
        <v>893</v>
      </c>
    </row>
    <row r="18">
      <c r="A18" s="659" t="s">
        <v>1724</v>
      </c>
      <c r="B18" s="660" t="s">
        <v>1725</v>
      </c>
      <c r="C18" s="659">
        <f t="array" ref="C18">IFERROR(INDEX(MRRates,MATCH(A18,MRCodes,0), ), )</f>
        <v>1000</v>
      </c>
    </row>
    <row r="19">
      <c r="A19" s="659" t="s">
        <v>1762</v>
      </c>
      <c r="B19" s="660" t="s">
        <v>1880</v>
      </c>
      <c r="C19" s="659">
        <f t="array" ref="C19">IFERROR(INDEX(MRRates,MATCH(A19,MRCodes,0), ), )</f>
        <v>128</v>
      </c>
    </row>
    <row r="20">
      <c r="A20" s="659" t="s">
        <v>1869</v>
      </c>
      <c r="B20" s="660" t="s">
        <v>1870</v>
      </c>
      <c r="C20" s="659">
        <f t="array" ref="C20">IFERROR(INDEX(MRRates,MATCH(A20,MRCodes,0), ), )</f>
        <v>97</v>
      </c>
    </row>
    <row r="21">
      <c r="A21" s="659" t="s">
        <v>1872</v>
      </c>
      <c r="B21" s="660" t="s">
        <v>1873</v>
      </c>
      <c r="C21" s="659">
        <f t="array" ref="C21">IFERROR(INDEX(MRRates,MATCH(A21,MRCodes,0), ), )</f>
        <v>195</v>
      </c>
    </row>
    <row r="22">
      <c r="A22" s="659" t="s">
        <v>2118</v>
      </c>
      <c r="B22" s="660" t="s">
        <v>2228</v>
      </c>
      <c r="C22" s="659">
        <f t="array" ref="C22">IFERROR(INDEX(MRRates,MATCH(A22,MRCodes,0), ), )</f>
        <v>875</v>
      </c>
    </row>
    <row r="23">
      <c r="A23" s="659" t="s">
        <v>2121</v>
      </c>
      <c r="B23" s="660" t="s">
        <v>2229</v>
      </c>
      <c r="C23" s="659">
        <f t="array" ref="C23">IFERROR(INDEX(MRRates,MATCH(A23,MRCodes,0), ), )</f>
        <v>1228</v>
      </c>
    </row>
    <row r="24">
      <c r="A24" s="662" t="s">
        <v>2231</v>
      </c>
      <c r="B24" s="660" t="s">
        <v>2232</v>
      </c>
      <c r="C24" s="659">
        <f t="array" ref="C24">IFERROR(INDEX(MRRates,MATCH(A24,MRCodes,0), ), )</f>
        <v>720</v>
      </c>
    </row>
    <row r="25">
      <c r="A25" s="663" t="s">
        <v>2204</v>
      </c>
      <c r="B25" s="660" t="s">
        <v>2232</v>
      </c>
      <c r="C25" s="659">
        <f t="array" ref="C25">IFERROR(INDEX(MRRates,MATCH(A25,MRCodes,0), ), )</f>
        <v>617</v>
      </c>
    </row>
    <row r="26">
      <c r="A26" s="663" t="s">
        <v>2207</v>
      </c>
      <c r="B26" s="664" t="s">
        <v>2208</v>
      </c>
      <c r="C26" s="659">
        <f t="array" ref="C26">IFERROR(INDEX(MRRates,MATCH(A26,MRCodes,0), ), )</f>
        <v>54</v>
      </c>
    </row>
    <row r="27">
      <c r="A27" s="663" t="s">
        <v>2209</v>
      </c>
      <c r="B27" s="664" t="s">
        <v>2210</v>
      </c>
      <c r="C27" s="659">
        <f t="array" ref="C27">IFERROR(INDEX(MRRates,MATCH(A27,MRCodes,0), ), )</f>
        <v>87</v>
      </c>
    </row>
    <row r="28">
      <c r="A28" s="663" t="s">
        <v>2199</v>
      </c>
      <c r="B28" s="664" t="s">
        <v>2200</v>
      </c>
      <c r="C28" s="659">
        <f t="array" ref="C28">IFERROR(INDEX(MRRates,MATCH(A28,MRCodes,0), ), )</f>
        <v>586</v>
      </c>
    </row>
    <row r="29">
      <c r="A29" s="663" t="s">
        <v>826</v>
      </c>
      <c r="B29" s="664" t="s">
        <v>828</v>
      </c>
      <c r="C29" s="659">
        <f t="array" ref="C29">IFERROR(INDEX(MRRates,MATCH(A29,MRCodes,0), ), )</f>
        <v>6553</v>
      </c>
    </row>
    <row r="30">
      <c r="B30" s="665"/>
      <c r="C30" s="665"/>
    </row>
    <row r="31">
      <c r="B31" s="665"/>
      <c r="C31" s="665"/>
    </row>
    <row r="32">
      <c r="B32" s="665"/>
      <c r="C32" s="665"/>
    </row>
    <row r="33">
      <c r="B33" s="665"/>
      <c r="C33" s="665"/>
    </row>
    <row r="34">
      <c r="B34" s="665"/>
      <c r="C34" s="665"/>
    </row>
    <row r="35">
      <c r="B35" s="665"/>
      <c r="C35" s="665"/>
    </row>
    <row r="36">
      <c r="B36" s="665"/>
      <c r="C36" s="665"/>
    </row>
    <row r="37">
      <c r="B37" s="665"/>
      <c r="C37" s="665"/>
    </row>
    <row r="38">
      <c r="B38" s="665"/>
      <c r="C38" s="665"/>
    </row>
    <row r="39">
      <c r="B39" s="665"/>
      <c r="C39" s="665"/>
    </row>
    <row r="40">
      <c r="B40" s="665"/>
      <c r="C40" s="665"/>
    </row>
    <row r="41">
      <c r="B41" s="665"/>
      <c r="C41" s="665"/>
    </row>
    <row r="42">
      <c r="B42" s="665"/>
      <c r="C42" s="665"/>
    </row>
    <row r="43">
      <c r="B43" s="665"/>
      <c r="C43" s="665"/>
    </row>
    <row r="44">
      <c r="B44" s="665"/>
      <c r="C44" s="665"/>
    </row>
    <row r="45">
      <c r="B45" s="665"/>
      <c r="C45" s="665"/>
    </row>
    <row r="46">
      <c r="B46" s="665"/>
      <c r="C46" s="665"/>
    </row>
    <row r="47">
      <c r="B47" s="665"/>
      <c r="C47" s="665"/>
    </row>
    <row r="48">
      <c r="B48" s="665"/>
      <c r="C48" s="665"/>
    </row>
    <row r="49">
      <c r="B49" s="665"/>
      <c r="C49" s="665"/>
    </row>
    <row r="50">
      <c r="B50" s="665"/>
      <c r="C50" s="665"/>
    </row>
    <row r="51">
      <c r="B51" s="665"/>
      <c r="C51" s="665"/>
    </row>
    <row r="52">
      <c r="B52" s="665"/>
      <c r="C52" s="665"/>
    </row>
    <row r="53">
      <c r="B53" s="665"/>
      <c r="C53" s="665"/>
    </row>
    <row r="54">
      <c r="B54" s="665"/>
      <c r="C54" s="665"/>
    </row>
    <row r="55">
      <c r="B55" s="665"/>
      <c r="C55" s="665"/>
    </row>
    <row r="56">
      <c r="B56" s="665"/>
      <c r="C56" s="665"/>
    </row>
    <row r="57">
      <c r="B57" s="665"/>
      <c r="C57" s="665"/>
    </row>
    <row r="58">
      <c r="B58" s="665"/>
      <c r="C58" s="665"/>
    </row>
    <row r="59">
      <c r="B59" s="665"/>
      <c r="C59" s="665"/>
    </row>
    <row r="60">
      <c r="B60" s="665"/>
      <c r="C60" s="665"/>
    </row>
    <row r="61">
      <c r="B61" s="665"/>
      <c r="C61" s="665"/>
    </row>
    <row r="62">
      <c r="B62" s="665"/>
      <c r="C62" s="665"/>
    </row>
    <row r="63">
      <c r="B63" s="665"/>
      <c r="C63" s="665"/>
    </row>
    <row r="64">
      <c r="B64" s="665"/>
      <c r="C64" s="665"/>
    </row>
    <row r="65">
      <c r="B65" s="665"/>
      <c r="C65" s="665"/>
    </row>
    <row r="66">
      <c r="B66" s="665"/>
      <c r="C66" s="665"/>
    </row>
    <row r="67">
      <c r="B67" s="665"/>
      <c r="C67" s="665"/>
    </row>
    <row r="68">
      <c r="B68" s="665"/>
      <c r="C68" s="665"/>
    </row>
    <row r="69">
      <c r="B69" s="665"/>
      <c r="C69" s="665"/>
    </row>
    <row r="70">
      <c r="B70" s="665"/>
      <c r="C70" s="665"/>
    </row>
    <row r="71">
      <c r="B71" s="665"/>
      <c r="C71" s="665"/>
    </row>
    <row r="72">
      <c r="B72" s="665"/>
      <c r="C72" s="665"/>
    </row>
    <row r="73">
      <c r="B73" s="665"/>
      <c r="C73" s="665"/>
    </row>
    <row r="74">
      <c r="B74" s="665"/>
      <c r="C74" s="665"/>
    </row>
    <row r="75">
      <c r="B75" s="665"/>
      <c r="C75" s="665"/>
    </row>
    <row r="76">
      <c r="B76" s="665"/>
      <c r="C76" s="665"/>
    </row>
    <row r="77">
      <c r="B77" s="665"/>
      <c r="C77" s="665"/>
    </row>
    <row r="78">
      <c r="B78" s="665"/>
      <c r="C78" s="665"/>
    </row>
    <row r="79">
      <c r="B79" s="665"/>
      <c r="C79" s="665"/>
    </row>
    <row r="80">
      <c r="B80" s="665"/>
      <c r="C80" s="665"/>
    </row>
    <row r="81">
      <c r="B81" s="665"/>
      <c r="C81" s="665"/>
    </row>
    <row r="82">
      <c r="B82" s="665"/>
      <c r="C82" s="665"/>
    </row>
    <row r="83">
      <c r="B83" s="665"/>
      <c r="C83" s="665"/>
    </row>
    <row r="84">
      <c r="B84" s="665"/>
      <c r="C84" s="665"/>
    </row>
    <row r="85">
      <c r="B85" s="665"/>
      <c r="C85" s="665"/>
    </row>
    <row r="86">
      <c r="B86" s="665"/>
      <c r="C86" s="665"/>
    </row>
    <row r="87">
      <c r="B87" s="665"/>
      <c r="C87" s="665"/>
    </row>
    <row r="88">
      <c r="B88" s="665"/>
      <c r="C88" s="665"/>
    </row>
    <row r="89">
      <c r="B89" s="665"/>
      <c r="C89" s="665"/>
    </row>
    <row r="90">
      <c r="B90" s="665"/>
      <c r="C90" s="665"/>
    </row>
    <row r="91">
      <c r="B91" s="665"/>
      <c r="C91" s="665"/>
    </row>
    <row r="92">
      <c r="B92" s="665"/>
      <c r="C92" s="665"/>
    </row>
    <row r="93">
      <c r="B93" s="665"/>
      <c r="C93" s="665"/>
    </row>
    <row r="94">
      <c r="B94" s="665"/>
      <c r="C94" s="665"/>
    </row>
    <row r="95">
      <c r="B95" s="665"/>
      <c r="C95" s="665"/>
    </row>
    <row r="96">
      <c r="B96" s="665"/>
      <c r="C96" s="665"/>
    </row>
    <row r="97">
      <c r="B97" s="665"/>
      <c r="C97" s="665"/>
    </row>
    <row r="98">
      <c r="B98" s="665"/>
      <c r="C98" s="665"/>
    </row>
    <row r="99">
      <c r="B99" s="665"/>
      <c r="C99" s="665"/>
    </row>
    <row r="100">
      <c r="B100" s="665"/>
      <c r="C100" s="665"/>
    </row>
    <row r="101">
      <c r="B101" s="665"/>
      <c r="C101" s="665"/>
    </row>
    <row r="102">
      <c r="B102" s="665"/>
      <c r="C102" s="665"/>
    </row>
    <row r="103">
      <c r="B103" s="665"/>
      <c r="C103" s="665"/>
    </row>
    <row r="104">
      <c r="B104" s="665"/>
      <c r="C104" s="665"/>
    </row>
    <row r="105">
      <c r="B105" s="665"/>
      <c r="C105" s="665"/>
    </row>
    <row r="106">
      <c r="B106" s="665"/>
      <c r="C106" s="665"/>
    </row>
    <row r="107">
      <c r="B107" s="665"/>
      <c r="C107" s="665"/>
    </row>
    <row r="108">
      <c r="B108" s="665"/>
      <c r="C108" s="665"/>
    </row>
    <row r="109">
      <c r="B109" s="665"/>
      <c r="C109" s="665"/>
    </row>
    <row r="110">
      <c r="B110" s="665"/>
      <c r="C110" s="665"/>
    </row>
    <row r="111">
      <c r="B111" s="665"/>
      <c r="C111" s="665"/>
    </row>
    <row r="112">
      <c r="B112" s="665"/>
      <c r="C112" s="665"/>
    </row>
    <row r="113">
      <c r="B113" s="665"/>
      <c r="C113" s="665"/>
    </row>
    <row r="114">
      <c r="B114" s="665"/>
      <c r="C114" s="665"/>
    </row>
    <row r="115">
      <c r="B115" s="665"/>
      <c r="C115" s="665"/>
    </row>
    <row r="116">
      <c r="B116" s="665"/>
      <c r="C116" s="665"/>
    </row>
    <row r="117">
      <c r="B117" s="665"/>
      <c r="C117" s="665"/>
    </row>
    <row r="118">
      <c r="B118" s="665"/>
      <c r="C118" s="665"/>
    </row>
    <row r="119">
      <c r="B119" s="665"/>
      <c r="C119" s="665"/>
    </row>
    <row r="120">
      <c r="B120" s="665"/>
      <c r="C120" s="665"/>
    </row>
    <row r="121">
      <c r="B121" s="665"/>
      <c r="C121" s="665"/>
    </row>
    <row r="122">
      <c r="B122" s="665"/>
      <c r="C122" s="665"/>
    </row>
    <row r="123">
      <c r="B123" s="665"/>
      <c r="C123" s="665"/>
    </row>
    <row r="124">
      <c r="B124" s="665"/>
      <c r="C124" s="665"/>
    </row>
    <row r="125">
      <c r="B125" s="665"/>
      <c r="C125" s="665"/>
    </row>
    <row r="126">
      <c r="B126" s="665"/>
      <c r="C126" s="665"/>
    </row>
    <row r="127">
      <c r="B127" s="665"/>
      <c r="C127" s="665"/>
    </row>
    <row r="128">
      <c r="B128" s="665"/>
      <c r="C128" s="665"/>
    </row>
    <row r="129">
      <c r="B129" s="665"/>
      <c r="C129" s="665"/>
    </row>
    <row r="130">
      <c r="B130" s="665"/>
      <c r="C130" s="665"/>
    </row>
    <row r="131">
      <c r="B131" s="665"/>
      <c r="C131" s="665"/>
    </row>
    <row r="132">
      <c r="B132" s="665"/>
      <c r="C132" s="665"/>
    </row>
    <row r="133">
      <c r="B133" s="665"/>
      <c r="C133" s="665"/>
    </row>
    <row r="134">
      <c r="B134" s="665"/>
      <c r="C134" s="665"/>
    </row>
    <row r="135">
      <c r="B135" s="665"/>
      <c r="C135" s="665"/>
    </row>
    <row r="136">
      <c r="B136" s="665"/>
      <c r="C136" s="665"/>
    </row>
    <row r="137">
      <c r="B137" s="665"/>
      <c r="C137" s="665"/>
    </row>
    <row r="138">
      <c r="B138" s="665"/>
      <c r="C138" s="665"/>
    </row>
    <row r="139">
      <c r="B139" s="665"/>
      <c r="C139" s="665"/>
    </row>
    <row r="140">
      <c r="B140" s="665"/>
      <c r="C140" s="665"/>
    </row>
    <row r="141">
      <c r="B141" s="665"/>
      <c r="C141" s="665"/>
    </row>
    <row r="142">
      <c r="B142" s="665"/>
      <c r="C142" s="665"/>
    </row>
    <row r="143">
      <c r="B143" s="665"/>
      <c r="C143" s="665"/>
    </row>
    <row r="144">
      <c r="B144" s="665"/>
      <c r="C144" s="665"/>
    </row>
    <row r="145">
      <c r="B145" s="665"/>
      <c r="C145" s="665"/>
    </row>
    <row r="146">
      <c r="B146" s="665"/>
      <c r="C146" s="665"/>
    </row>
    <row r="147">
      <c r="B147" s="665"/>
      <c r="C147" s="665"/>
    </row>
    <row r="148">
      <c r="B148" s="665"/>
      <c r="C148" s="665"/>
    </row>
    <row r="149">
      <c r="B149" s="665"/>
      <c r="C149" s="665"/>
    </row>
    <row r="150">
      <c r="B150" s="665"/>
      <c r="C150" s="665"/>
    </row>
    <row r="151">
      <c r="B151" s="665"/>
      <c r="C151" s="665"/>
    </row>
    <row r="152">
      <c r="B152" s="665"/>
      <c r="C152" s="665"/>
    </row>
    <row r="153">
      <c r="B153" s="665"/>
      <c r="C153" s="665"/>
    </row>
    <row r="154">
      <c r="B154" s="665"/>
      <c r="C154" s="665"/>
    </row>
    <row r="155">
      <c r="B155" s="665"/>
      <c r="C155" s="665"/>
    </row>
    <row r="156">
      <c r="B156" s="665"/>
      <c r="C156" s="665"/>
    </row>
    <row r="157">
      <c r="B157" s="665"/>
      <c r="C157" s="665"/>
    </row>
    <row r="158">
      <c r="B158" s="665"/>
      <c r="C158" s="665"/>
    </row>
    <row r="159">
      <c r="B159" s="665"/>
      <c r="C159" s="665"/>
    </row>
    <row r="160">
      <c r="B160" s="665"/>
      <c r="C160" s="665"/>
    </row>
    <row r="161">
      <c r="B161" s="665"/>
      <c r="C161" s="665"/>
    </row>
    <row r="162">
      <c r="B162" s="665"/>
      <c r="C162" s="665"/>
    </row>
    <row r="163">
      <c r="B163" s="665"/>
      <c r="C163" s="665"/>
    </row>
    <row r="164">
      <c r="B164" s="665"/>
      <c r="C164" s="665"/>
    </row>
    <row r="165">
      <c r="B165" s="665"/>
      <c r="C165" s="665"/>
    </row>
    <row r="166">
      <c r="B166" s="665"/>
      <c r="C166" s="665"/>
    </row>
    <row r="167">
      <c r="B167" s="665"/>
      <c r="C167" s="665"/>
    </row>
    <row r="168">
      <c r="B168" s="665"/>
      <c r="C168" s="665"/>
    </row>
    <row r="169">
      <c r="B169" s="665"/>
      <c r="C169" s="665"/>
    </row>
    <row r="170">
      <c r="B170" s="665"/>
      <c r="C170" s="665"/>
    </row>
    <row r="171">
      <c r="B171" s="665"/>
      <c r="C171" s="665"/>
    </row>
    <row r="172">
      <c r="B172" s="665"/>
      <c r="C172" s="665"/>
    </row>
    <row r="173">
      <c r="B173" s="665"/>
      <c r="C173" s="665"/>
    </row>
    <row r="174">
      <c r="B174" s="665"/>
      <c r="C174" s="665"/>
    </row>
    <row r="175">
      <c r="B175" s="665"/>
      <c r="C175" s="665"/>
    </row>
    <row r="176">
      <c r="B176" s="665"/>
      <c r="C176" s="665"/>
    </row>
    <row r="177">
      <c r="B177" s="665"/>
      <c r="C177" s="665"/>
    </row>
    <row r="178">
      <c r="B178" s="665"/>
      <c r="C178" s="665"/>
    </row>
    <row r="179">
      <c r="B179" s="665"/>
      <c r="C179" s="665"/>
    </row>
    <row r="180">
      <c r="B180" s="665"/>
      <c r="C180" s="665"/>
    </row>
    <row r="181">
      <c r="B181" s="665"/>
      <c r="C181" s="665"/>
    </row>
    <row r="182">
      <c r="B182" s="665"/>
      <c r="C182" s="665"/>
    </row>
    <row r="183">
      <c r="B183" s="665"/>
      <c r="C183" s="665"/>
    </row>
    <row r="184">
      <c r="B184" s="665"/>
      <c r="C184" s="665"/>
    </row>
    <row r="185">
      <c r="B185" s="665"/>
      <c r="C185" s="665"/>
    </row>
    <row r="186">
      <c r="B186" s="665"/>
      <c r="C186" s="665"/>
    </row>
    <row r="187">
      <c r="B187" s="665"/>
      <c r="C187" s="665"/>
    </row>
    <row r="188">
      <c r="B188" s="665"/>
      <c r="C188" s="665"/>
    </row>
    <row r="189">
      <c r="B189" s="665"/>
      <c r="C189" s="665"/>
    </row>
    <row r="190">
      <c r="B190" s="665"/>
      <c r="C190" s="665"/>
    </row>
    <row r="191">
      <c r="B191" s="665"/>
      <c r="C191" s="665"/>
    </row>
    <row r="192">
      <c r="B192" s="665"/>
      <c r="C192" s="665"/>
    </row>
    <row r="193">
      <c r="B193" s="665"/>
      <c r="C193" s="665"/>
    </row>
    <row r="194">
      <c r="B194" s="665"/>
      <c r="C194" s="665"/>
    </row>
    <row r="195">
      <c r="B195" s="665"/>
      <c r="C195" s="665"/>
    </row>
    <row r="196">
      <c r="B196" s="665"/>
      <c r="C196" s="665"/>
    </row>
    <row r="197">
      <c r="B197" s="665"/>
      <c r="C197" s="665"/>
    </row>
    <row r="198">
      <c r="B198" s="665"/>
      <c r="C198" s="665"/>
    </row>
    <row r="199">
      <c r="B199" s="665"/>
      <c r="C199" s="665"/>
    </row>
    <row r="200">
      <c r="B200" s="665"/>
      <c r="C200" s="665"/>
    </row>
    <row r="201">
      <c r="B201" s="665"/>
      <c r="C201" s="665"/>
    </row>
    <row r="202">
      <c r="B202" s="665"/>
      <c r="C202" s="665"/>
    </row>
    <row r="203">
      <c r="B203" s="665"/>
      <c r="C203" s="665"/>
    </row>
    <row r="204">
      <c r="B204" s="665"/>
      <c r="C204" s="665"/>
    </row>
    <row r="205">
      <c r="B205" s="665"/>
      <c r="C205" s="665"/>
    </row>
    <row r="206">
      <c r="B206" s="665"/>
      <c r="C206" s="665"/>
    </row>
    <row r="207">
      <c r="B207" s="665"/>
      <c r="C207" s="665"/>
    </row>
    <row r="208">
      <c r="B208" s="665"/>
      <c r="C208" s="665"/>
    </row>
    <row r="209">
      <c r="B209" s="665"/>
      <c r="C209" s="665"/>
    </row>
    <row r="210">
      <c r="B210" s="665"/>
      <c r="C210" s="665"/>
    </row>
    <row r="211">
      <c r="B211" s="665"/>
      <c r="C211" s="665"/>
    </row>
    <row r="212">
      <c r="B212" s="665"/>
      <c r="C212" s="665"/>
    </row>
    <row r="213">
      <c r="B213" s="665"/>
      <c r="C213" s="665"/>
    </row>
    <row r="214">
      <c r="B214" s="665"/>
      <c r="C214" s="665"/>
    </row>
    <row r="215">
      <c r="B215" s="665"/>
      <c r="C215" s="665"/>
    </row>
    <row r="216">
      <c r="B216" s="665"/>
      <c r="C216" s="665"/>
    </row>
    <row r="217">
      <c r="B217" s="665"/>
      <c r="C217" s="665"/>
    </row>
    <row r="218">
      <c r="B218" s="665"/>
      <c r="C218" s="665"/>
    </row>
    <row r="219">
      <c r="B219" s="665"/>
      <c r="C219" s="665"/>
    </row>
    <row r="220">
      <c r="B220" s="665"/>
      <c r="C220" s="665"/>
    </row>
    <row r="221">
      <c r="B221" s="665"/>
      <c r="C221" s="665"/>
    </row>
    <row r="222">
      <c r="B222" s="665"/>
      <c r="C222" s="665"/>
    </row>
    <row r="223">
      <c r="B223" s="665"/>
      <c r="C223" s="665"/>
    </row>
    <row r="224">
      <c r="B224" s="665"/>
      <c r="C224" s="665"/>
    </row>
    <row r="225">
      <c r="B225" s="665"/>
      <c r="C225" s="665"/>
    </row>
    <row r="226">
      <c r="B226" s="665"/>
      <c r="C226" s="665"/>
    </row>
    <row r="227">
      <c r="B227" s="665"/>
      <c r="C227" s="665"/>
    </row>
    <row r="228">
      <c r="B228" s="665"/>
      <c r="C228" s="665"/>
    </row>
    <row r="229">
      <c r="B229" s="665"/>
      <c r="C229" s="665"/>
    </row>
    <row r="230">
      <c r="B230" s="665"/>
      <c r="C230" s="665"/>
    </row>
    <row r="231">
      <c r="B231" s="665"/>
      <c r="C231" s="665"/>
    </row>
    <row r="232">
      <c r="B232" s="665"/>
      <c r="C232" s="665"/>
    </row>
    <row r="233">
      <c r="B233" s="665"/>
      <c r="C233" s="665"/>
    </row>
    <row r="234">
      <c r="B234" s="665"/>
      <c r="C234" s="665"/>
    </row>
    <row r="235">
      <c r="B235" s="665"/>
      <c r="C235" s="665"/>
    </row>
    <row r="236">
      <c r="B236" s="665"/>
      <c r="C236" s="665"/>
    </row>
    <row r="237">
      <c r="B237" s="665"/>
      <c r="C237" s="665"/>
    </row>
    <row r="238">
      <c r="B238" s="665"/>
      <c r="C238" s="665"/>
    </row>
    <row r="239">
      <c r="B239" s="665"/>
      <c r="C239" s="665"/>
    </row>
    <row r="240">
      <c r="B240" s="665"/>
      <c r="C240" s="665"/>
    </row>
    <row r="241">
      <c r="B241" s="665"/>
      <c r="C241" s="665"/>
    </row>
    <row r="242">
      <c r="B242" s="665"/>
      <c r="C242" s="665"/>
    </row>
    <row r="243">
      <c r="B243" s="665"/>
      <c r="C243" s="665"/>
    </row>
    <row r="244">
      <c r="B244" s="665"/>
      <c r="C244" s="665"/>
    </row>
    <row r="245">
      <c r="B245" s="665"/>
      <c r="C245" s="665"/>
    </row>
    <row r="246">
      <c r="B246" s="665"/>
      <c r="C246" s="665"/>
    </row>
    <row r="247">
      <c r="B247" s="665"/>
      <c r="C247" s="665"/>
    </row>
    <row r="248">
      <c r="B248" s="665"/>
      <c r="C248" s="665"/>
    </row>
    <row r="249">
      <c r="B249" s="665"/>
      <c r="C249" s="665"/>
    </row>
    <row r="250">
      <c r="B250" s="665"/>
      <c r="C250" s="665"/>
    </row>
    <row r="251">
      <c r="B251" s="665"/>
      <c r="C251" s="665"/>
    </row>
    <row r="252">
      <c r="B252" s="665"/>
      <c r="C252" s="665"/>
    </row>
    <row r="253">
      <c r="B253" s="665"/>
      <c r="C253" s="665"/>
    </row>
    <row r="254">
      <c r="B254" s="665"/>
      <c r="C254" s="665"/>
    </row>
    <row r="255">
      <c r="B255" s="665"/>
      <c r="C255" s="665"/>
    </row>
    <row r="256">
      <c r="B256" s="665"/>
      <c r="C256" s="665"/>
    </row>
    <row r="257">
      <c r="B257" s="665"/>
      <c r="C257" s="665"/>
    </row>
    <row r="258">
      <c r="B258" s="665"/>
      <c r="C258" s="665"/>
    </row>
    <row r="259">
      <c r="B259" s="665"/>
      <c r="C259" s="665"/>
    </row>
    <row r="260">
      <c r="B260" s="665"/>
      <c r="C260" s="665"/>
    </row>
    <row r="261">
      <c r="B261" s="665"/>
      <c r="C261" s="665"/>
    </row>
    <row r="262">
      <c r="B262" s="665"/>
      <c r="C262" s="665"/>
    </row>
    <row r="263">
      <c r="B263" s="665"/>
      <c r="C263" s="665"/>
    </row>
    <row r="264">
      <c r="B264" s="665"/>
      <c r="C264" s="665"/>
    </row>
    <row r="265">
      <c r="B265" s="665"/>
      <c r="C265" s="665"/>
    </row>
    <row r="266">
      <c r="B266" s="665"/>
      <c r="C266" s="665"/>
    </row>
    <row r="267">
      <c r="B267" s="665"/>
      <c r="C267" s="665"/>
    </row>
    <row r="268">
      <c r="B268" s="665"/>
      <c r="C268" s="665"/>
    </row>
    <row r="269">
      <c r="B269" s="665"/>
      <c r="C269" s="665"/>
    </row>
    <row r="270">
      <c r="B270" s="665"/>
      <c r="C270" s="665"/>
    </row>
    <row r="271">
      <c r="B271" s="665"/>
      <c r="C271" s="665"/>
    </row>
    <row r="272">
      <c r="B272" s="665"/>
      <c r="C272" s="665"/>
    </row>
    <row r="273">
      <c r="B273" s="665"/>
      <c r="C273" s="665"/>
    </row>
    <row r="274">
      <c r="B274" s="665"/>
      <c r="C274" s="665"/>
    </row>
    <row r="275">
      <c r="B275" s="665"/>
      <c r="C275" s="665"/>
    </row>
    <row r="276">
      <c r="B276" s="665"/>
      <c r="C276" s="665"/>
    </row>
    <row r="277">
      <c r="B277" s="665"/>
      <c r="C277" s="665"/>
    </row>
    <row r="278">
      <c r="B278" s="665"/>
      <c r="C278" s="665"/>
    </row>
    <row r="279">
      <c r="B279" s="665"/>
      <c r="C279" s="665"/>
    </row>
    <row r="280">
      <c r="B280" s="665"/>
      <c r="C280" s="665"/>
    </row>
    <row r="281">
      <c r="B281" s="665"/>
      <c r="C281" s="665"/>
    </row>
    <row r="282">
      <c r="B282" s="665"/>
      <c r="C282" s="665"/>
    </row>
    <row r="283">
      <c r="B283" s="665"/>
      <c r="C283" s="665"/>
    </row>
    <row r="284">
      <c r="B284" s="665"/>
      <c r="C284" s="665"/>
    </row>
    <row r="285">
      <c r="B285" s="665"/>
      <c r="C285" s="665"/>
    </row>
    <row r="286">
      <c r="B286" s="665"/>
      <c r="C286" s="665"/>
    </row>
    <row r="287">
      <c r="B287" s="665"/>
      <c r="C287" s="665"/>
    </row>
    <row r="288">
      <c r="B288" s="665"/>
      <c r="C288" s="665"/>
    </row>
    <row r="289">
      <c r="B289" s="665"/>
      <c r="C289" s="665"/>
    </row>
    <row r="290">
      <c r="B290" s="665"/>
      <c r="C290" s="665"/>
    </row>
    <row r="291">
      <c r="B291" s="665"/>
      <c r="C291" s="665"/>
    </row>
    <row r="292">
      <c r="B292" s="665"/>
      <c r="C292" s="665"/>
    </row>
    <row r="293">
      <c r="B293" s="665"/>
      <c r="C293" s="665"/>
    </row>
    <row r="294">
      <c r="B294" s="665"/>
      <c r="C294" s="665"/>
    </row>
    <row r="295">
      <c r="B295" s="665"/>
      <c r="C295" s="665"/>
    </row>
    <row r="296">
      <c r="B296" s="665"/>
      <c r="C296" s="665"/>
    </row>
    <row r="297">
      <c r="B297" s="665"/>
      <c r="C297" s="665"/>
    </row>
    <row r="298">
      <c r="B298" s="665"/>
      <c r="C298" s="665"/>
    </row>
    <row r="299">
      <c r="B299" s="665"/>
      <c r="C299" s="665"/>
    </row>
    <row r="300">
      <c r="B300" s="665"/>
      <c r="C300" s="665"/>
    </row>
    <row r="301">
      <c r="B301" s="665"/>
      <c r="C301" s="665"/>
    </row>
    <row r="302">
      <c r="B302" s="665"/>
      <c r="C302" s="665"/>
    </row>
    <row r="303">
      <c r="B303" s="665"/>
      <c r="C303" s="665"/>
    </row>
    <row r="304">
      <c r="B304" s="665"/>
      <c r="C304" s="665"/>
    </row>
    <row r="305">
      <c r="B305" s="665"/>
      <c r="C305" s="665"/>
    </row>
    <row r="306">
      <c r="B306" s="665"/>
      <c r="C306" s="665"/>
    </row>
    <row r="307">
      <c r="B307" s="665"/>
      <c r="C307" s="665"/>
    </row>
    <row r="308">
      <c r="B308" s="665"/>
      <c r="C308" s="665"/>
    </row>
    <row r="309">
      <c r="B309" s="665"/>
      <c r="C309" s="665"/>
    </row>
    <row r="310">
      <c r="B310" s="665"/>
      <c r="C310" s="665"/>
    </row>
    <row r="311">
      <c r="B311" s="665"/>
      <c r="C311" s="665"/>
    </row>
    <row r="312">
      <c r="B312" s="665"/>
      <c r="C312" s="665"/>
    </row>
    <row r="313">
      <c r="B313" s="665"/>
      <c r="C313" s="665"/>
    </row>
    <row r="314">
      <c r="B314" s="665"/>
      <c r="C314" s="665"/>
    </row>
    <row r="315">
      <c r="B315" s="665"/>
      <c r="C315" s="665"/>
    </row>
    <row r="316">
      <c r="B316" s="665"/>
      <c r="C316" s="665"/>
    </row>
    <row r="317">
      <c r="B317" s="665"/>
      <c r="C317" s="665"/>
    </row>
    <row r="318">
      <c r="B318" s="665"/>
      <c r="C318" s="665"/>
    </row>
    <row r="319">
      <c r="B319" s="665"/>
      <c r="C319" s="665"/>
    </row>
    <row r="320">
      <c r="B320" s="665"/>
      <c r="C320" s="665"/>
    </row>
    <row r="321">
      <c r="B321" s="665"/>
      <c r="C321" s="665"/>
    </row>
    <row r="322">
      <c r="B322" s="665"/>
      <c r="C322" s="665"/>
    </row>
    <row r="323">
      <c r="B323" s="665"/>
      <c r="C323" s="665"/>
    </row>
    <row r="324">
      <c r="B324" s="665"/>
      <c r="C324" s="665"/>
    </row>
    <row r="325">
      <c r="B325" s="665"/>
      <c r="C325" s="665"/>
    </row>
    <row r="326">
      <c r="B326" s="665"/>
      <c r="C326" s="665"/>
    </row>
    <row r="327">
      <c r="B327" s="665"/>
      <c r="C327" s="665"/>
    </row>
    <row r="328">
      <c r="B328" s="665"/>
      <c r="C328" s="665"/>
    </row>
    <row r="329">
      <c r="B329" s="665"/>
      <c r="C329" s="665"/>
    </row>
    <row r="330">
      <c r="B330" s="665"/>
      <c r="C330" s="665"/>
    </row>
    <row r="331">
      <c r="B331" s="665"/>
      <c r="C331" s="665"/>
    </row>
    <row r="332">
      <c r="B332" s="665"/>
      <c r="C332" s="665"/>
    </row>
    <row r="333">
      <c r="B333" s="665"/>
      <c r="C333" s="665"/>
    </row>
    <row r="334">
      <c r="B334" s="665"/>
      <c r="C334" s="665"/>
    </row>
    <row r="335">
      <c r="B335" s="665"/>
      <c r="C335" s="665"/>
    </row>
    <row r="336">
      <c r="B336" s="665"/>
      <c r="C336" s="665"/>
    </row>
    <row r="337">
      <c r="B337" s="665"/>
      <c r="C337" s="665"/>
    </row>
    <row r="338">
      <c r="B338" s="665"/>
      <c r="C338" s="665"/>
    </row>
    <row r="339">
      <c r="B339" s="665"/>
      <c r="C339" s="665"/>
    </row>
    <row r="340">
      <c r="B340" s="665"/>
      <c r="C340" s="665"/>
    </row>
    <row r="341">
      <c r="B341" s="665"/>
      <c r="C341" s="665"/>
    </row>
    <row r="342">
      <c r="B342" s="665"/>
      <c r="C342" s="665"/>
    </row>
    <row r="343">
      <c r="B343" s="665"/>
      <c r="C343" s="665"/>
    </row>
    <row r="344">
      <c r="B344" s="665"/>
      <c r="C344" s="665"/>
    </row>
    <row r="345">
      <c r="B345" s="665"/>
      <c r="C345" s="665"/>
    </row>
    <row r="346">
      <c r="B346" s="665"/>
      <c r="C346" s="665"/>
    </row>
    <row r="347">
      <c r="B347" s="665"/>
      <c r="C347" s="665"/>
    </row>
    <row r="348">
      <c r="B348" s="665"/>
      <c r="C348" s="665"/>
    </row>
    <row r="349">
      <c r="B349" s="665"/>
      <c r="C349" s="665"/>
    </row>
    <row r="350">
      <c r="B350" s="665"/>
      <c r="C350" s="665"/>
    </row>
    <row r="351">
      <c r="B351" s="665"/>
      <c r="C351" s="665"/>
    </row>
    <row r="352">
      <c r="B352" s="665"/>
      <c r="C352" s="665"/>
    </row>
    <row r="353">
      <c r="B353" s="665"/>
      <c r="C353" s="665"/>
    </row>
    <row r="354">
      <c r="B354" s="665"/>
      <c r="C354" s="665"/>
    </row>
    <row r="355">
      <c r="B355" s="665"/>
      <c r="C355" s="665"/>
    </row>
    <row r="356">
      <c r="B356" s="665"/>
      <c r="C356" s="665"/>
    </row>
    <row r="357">
      <c r="B357" s="665"/>
      <c r="C357" s="665"/>
    </row>
    <row r="358">
      <c r="B358" s="665"/>
      <c r="C358" s="665"/>
    </row>
    <row r="359">
      <c r="B359" s="665"/>
      <c r="C359" s="665"/>
    </row>
    <row r="360">
      <c r="B360" s="665"/>
      <c r="C360" s="665"/>
    </row>
    <row r="361">
      <c r="B361" s="665"/>
      <c r="C361" s="665"/>
    </row>
    <row r="362">
      <c r="B362" s="665"/>
      <c r="C362" s="665"/>
    </row>
    <row r="363">
      <c r="B363" s="665"/>
      <c r="C363" s="665"/>
    </row>
    <row r="364">
      <c r="B364" s="665"/>
      <c r="C364" s="665"/>
    </row>
    <row r="365">
      <c r="B365" s="665"/>
      <c r="C365" s="665"/>
    </row>
    <row r="366">
      <c r="B366" s="665"/>
      <c r="C366" s="665"/>
    </row>
    <row r="367">
      <c r="B367" s="665"/>
      <c r="C367" s="665"/>
    </row>
    <row r="368">
      <c r="B368" s="665"/>
      <c r="C368" s="665"/>
    </row>
    <row r="369">
      <c r="B369" s="665"/>
      <c r="C369" s="665"/>
    </row>
    <row r="370">
      <c r="B370" s="665"/>
      <c r="C370" s="665"/>
    </row>
    <row r="371">
      <c r="B371" s="665"/>
      <c r="C371" s="665"/>
    </row>
    <row r="372">
      <c r="B372" s="665"/>
      <c r="C372" s="665"/>
    </row>
    <row r="373">
      <c r="B373" s="665"/>
      <c r="C373" s="665"/>
    </row>
    <row r="374">
      <c r="B374" s="665"/>
      <c r="C374" s="665"/>
    </row>
    <row r="375">
      <c r="B375" s="665"/>
      <c r="C375" s="665"/>
    </row>
    <row r="376">
      <c r="B376" s="665"/>
      <c r="C376" s="665"/>
    </row>
    <row r="377">
      <c r="B377" s="665"/>
      <c r="C377" s="665"/>
    </row>
    <row r="378">
      <c r="B378" s="665"/>
      <c r="C378" s="665"/>
    </row>
    <row r="379">
      <c r="B379" s="665"/>
      <c r="C379" s="665"/>
    </row>
    <row r="380">
      <c r="B380" s="665"/>
      <c r="C380" s="665"/>
    </row>
    <row r="381">
      <c r="B381" s="665"/>
      <c r="C381" s="665"/>
    </row>
    <row r="382">
      <c r="B382" s="665"/>
      <c r="C382" s="665"/>
    </row>
    <row r="383">
      <c r="B383" s="665"/>
      <c r="C383" s="665"/>
    </row>
    <row r="384">
      <c r="B384" s="665"/>
      <c r="C384" s="665"/>
    </row>
    <row r="385">
      <c r="B385" s="665"/>
      <c r="C385" s="665"/>
    </row>
    <row r="386">
      <c r="B386" s="665"/>
      <c r="C386" s="665"/>
    </row>
    <row r="387">
      <c r="B387" s="665"/>
      <c r="C387" s="665"/>
    </row>
    <row r="388">
      <c r="B388" s="665"/>
      <c r="C388" s="665"/>
    </row>
    <row r="389">
      <c r="B389" s="665"/>
      <c r="C389" s="665"/>
    </row>
    <row r="390">
      <c r="B390" s="665"/>
      <c r="C390" s="665"/>
    </row>
    <row r="391">
      <c r="B391" s="665"/>
      <c r="C391" s="665"/>
    </row>
    <row r="392">
      <c r="B392" s="665"/>
      <c r="C392" s="665"/>
    </row>
    <row r="393">
      <c r="B393" s="665"/>
      <c r="C393" s="665"/>
    </row>
    <row r="394">
      <c r="B394" s="665"/>
      <c r="C394" s="665"/>
    </row>
    <row r="395">
      <c r="B395" s="665"/>
      <c r="C395" s="665"/>
    </row>
    <row r="396">
      <c r="B396" s="665"/>
      <c r="C396" s="665"/>
    </row>
    <row r="397">
      <c r="B397" s="665"/>
      <c r="C397" s="665"/>
    </row>
    <row r="398">
      <c r="B398" s="665"/>
      <c r="C398" s="665"/>
    </row>
    <row r="399">
      <c r="B399" s="665"/>
      <c r="C399" s="665"/>
    </row>
    <row r="400">
      <c r="B400" s="665"/>
      <c r="C400" s="665"/>
    </row>
    <row r="401">
      <c r="B401" s="665"/>
      <c r="C401" s="665"/>
    </row>
    <row r="402">
      <c r="B402" s="665"/>
      <c r="C402" s="665"/>
    </row>
    <row r="403">
      <c r="B403" s="665"/>
      <c r="C403" s="665"/>
    </row>
    <row r="404">
      <c r="B404" s="665"/>
      <c r="C404" s="665"/>
    </row>
    <row r="405">
      <c r="B405" s="665"/>
      <c r="C405" s="665"/>
    </row>
    <row r="406">
      <c r="B406" s="665"/>
      <c r="C406" s="665"/>
    </row>
    <row r="407">
      <c r="B407" s="665"/>
      <c r="C407" s="665"/>
    </row>
    <row r="408">
      <c r="B408" s="665"/>
      <c r="C408" s="665"/>
    </row>
    <row r="409">
      <c r="B409" s="665"/>
      <c r="C409" s="665"/>
    </row>
    <row r="410">
      <c r="B410" s="665"/>
      <c r="C410" s="665"/>
    </row>
    <row r="411">
      <c r="B411" s="665"/>
      <c r="C411" s="665"/>
    </row>
    <row r="412">
      <c r="B412" s="665"/>
      <c r="C412" s="665"/>
    </row>
    <row r="413">
      <c r="B413" s="665"/>
      <c r="C413" s="665"/>
    </row>
    <row r="414">
      <c r="B414" s="665"/>
      <c r="C414" s="665"/>
    </row>
    <row r="415">
      <c r="B415" s="665"/>
      <c r="C415" s="665"/>
    </row>
    <row r="416">
      <c r="B416" s="665"/>
      <c r="C416" s="665"/>
    </row>
    <row r="417">
      <c r="B417" s="665"/>
      <c r="C417" s="665"/>
    </row>
    <row r="418">
      <c r="B418" s="665"/>
      <c r="C418" s="665"/>
    </row>
    <row r="419">
      <c r="B419" s="665"/>
      <c r="C419" s="665"/>
    </row>
    <row r="420">
      <c r="B420" s="665"/>
      <c r="C420" s="665"/>
    </row>
    <row r="421">
      <c r="B421" s="665"/>
      <c r="C421" s="665"/>
    </row>
    <row r="422">
      <c r="B422" s="665"/>
      <c r="C422" s="665"/>
    </row>
    <row r="423">
      <c r="B423" s="665"/>
      <c r="C423" s="665"/>
    </row>
    <row r="424">
      <c r="B424" s="665"/>
      <c r="C424" s="665"/>
    </row>
    <row r="425">
      <c r="B425" s="665"/>
      <c r="C425" s="665"/>
    </row>
    <row r="426">
      <c r="B426" s="665"/>
      <c r="C426" s="665"/>
    </row>
    <row r="427">
      <c r="B427" s="665"/>
      <c r="C427" s="665"/>
    </row>
    <row r="428">
      <c r="B428" s="665"/>
      <c r="C428" s="665"/>
    </row>
    <row r="429">
      <c r="B429" s="665"/>
      <c r="C429" s="665"/>
    </row>
    <row r="430">
      <c r="B430" s="665"/>
      <c r="C430" s="665"/>
    </row>
    <row r="431">
      <c r="B431" s="665"/>
      <c r="C431" s="665"/>
    </row>
    <row r="432">
      <c r="B432" s="665"/>
      <c r="C432" s="665"/>
    </row>
    <row r="433">
      <c r="B433" s="665"/>
      <c r="C433" s="665"/>
    </row>
    <row r="434">
      <c r="B434" s="665"/>
      <c r="C434" s="665"/>
    </row>
    <row r="435">
      <c r="B435" s="665"/>
      <c r="C435" s="665"/>
    </row>
    <row r="436">
      <c r="B436" s="665"/>
      <c r="C436" s="665"/>
    </row>
    <row r="437">
      <c r="B437" s="665"/>
      <c r="C437" s="665"/>
    </row>
    <row r="438">
      <c r="B438" s="665"/>
      <c r="C438" s="665"/>
    </row>
    <row r="439">
      <c r="B439" s="665"/>
      <c r="C439" s="665"/>
    </row>
    <row r="440">
      <c r="B440" s="665"/>
      <c r="C440" s="665"/>
    </row>
    <row r="441">
      <c r="B441" s="665"/>
      <c r="C441" s="665"/>
    </row>
    <row r="442">
      <c r="B442" s="665"/>
      <c r="C442" s="665"/>
    </row>
    <row r="443">
      <c r="B443" s="665"/>
      <c r="C443" s="665"/>
    </row>
    <row r="444">
      <c r="B444" s="665"/>
      <c r="C444" s="665"/>
    </row>
    <row r="445">
      <c r="B445" s="665"/>
      <c r="C445" s="665"/>
    </row>
    <row r="446">
      <c r="B446" s="665"/>
      <c r="C446" s="665"/>
    </row>
    <row r="447">
      <c r="B447" s="665"/>
      <c r="C447" s="665"/>
    </row>
    <row r="448">
      <c r="B448" s="665"/>
      <c r="C448" s="665"/>
    </row>
    <row r="449">
      <c r="B449" s="665"/>
      <c r="C449" s="665"/>
    </row>
    <row r="450">
      <c r="B450" s="665"/>
      <c r="C450" s="665"/>
    </row>
    <row r="451">
      <c r="B451" s="665"/>
      <c r="C451" s="665"/>
    </row>
    <row r="452">
      <c r="B452" s="665"/>
      <c r="C452" s="665"/>
    </row>
    <row r="453">
      <c r="B453" s="665"/>
      <c r="C453" s="665"/>
    </row>
    <row r="454">
      <c r="B454" s="665"/>
      <c r="C454" s="665"/>
    </row>
    <row r="455">
      <c r="B455" s="665"/>
      <c r="C455" s="665"/>
    </row>
    <row r="456">
      <c r="B456" s="665"/>
      <c r="C456" s="665"/>
    </row>
    <row r="457">
      <c r="B457" s="665"/>
      <c r="C457" s="665"/>
    </row>
    <row r="458">
      <c r="B458" s="665"/>
      <c r="C458" s="665"/>
    </row>
    <row r="459">
      <c r="B459" s="665"/>
      <c r="C459" s="665"/>
    </row>
    <row r="460">
      <c r="B460" s="665"/>
      <c r="C460" s="665"/>
    </row>
    <row r="461">
      <c r="B461" s="665"/>
      <c r="C461" s="665"/>
    </row>
    <row r="462">
      <c r="B462" s="665"/>
      <c r="C462" s="665"/>
    </row>
    <row r="463">
      <c r="B463" s="665"/>
      <c r="C463" s="665"/>
    </row>
    <row r="464">
      <c r="B464" s="665"/>
      <c r="C464" s="665"/>
    </row>
    <row r="465">
      <c r="B465" s="665"/>
      <c r="C465" s="665"/>
    </row>
    <row r="466">
      <c r="B466" s="665"/>
      <c r="C466" s="665"/>
    </row>
    <row r="467">
      <c r="B467" s="665"/>
      <c r="C467" s="665"/>
    </row>
    <row r="468">
      <c r="B468" s="665"/>
      <c r="C468" s="665"/>
    </row>
    <row r="469">
      <c r="B469" s="665"/>
      <c r="C469" s="665"/>
    </row>
    <row r="470">
      <c r="B470" s="665"/>
      <c r="C470" s="665"/>
    </row>
    <row r="471">
      <c r="B471" s="665"/>
      <c r="C471" s="665"/>
    </row>
    <row r="472">
      <c r="B472" s="665"/>
      <c r="C472" s="665"/>
    </row>
    <row r="473">
      <c r="B473" s="665"/>
      <c r="C473" s="665"/>
    </row>
    <row r="474">
      <c r="B474" s="665"/>
      <c r="C474" s="665"/>
    </row>
    <row r="475">
      <c r="B475" s="665"/>
      <c r="C475" s="665"/>
    </row>
    <row r="476">
      <c r="B476" s="665"/>
      <c r="C476" s="665"/>
    </row>
    <row r="477">
      <c r="B477" s="665"/>
      <c r="C477" s="665"/>
    </row>
    <row r="478">
      <c r="B478" s="665"/>
      <c r="C478" s="665"/>
    </row>
    <row r="479">
      <c r="B479" s="665"/>
      <c r="C479" s="665"/>
    </row>
    <row r="480">
      <c r="B480" s="665"/>
      <c r="C480" s="665"/>
    </row>
    <row r="481">
      <c r="B481" s="665"/>
      <c r="C481" s="665"/>
    </row>
    <row r="482">
      <c r="B482" s="665"/>
      <c r="C482" s="665"/>
    </row>
    <row r="483">
      <c r="B483" s="665"/>
      <c r="C483" s="665"/>
    </row>
    <row r="484">
      <c r="B484" s="665"/>
      <c r="C484" s="665"/>
    </row>
    <row r="485">
      <c r="B485" s="665"/>
      <c r="C485" s="665"/>
    </row>
    <row r="486">
      <c r="B486" s="665"/>
      <c r="C486" s="665"/>
    </row>
    <row r="487">
      <c r="B487" s="665"/>
      <c r="C487" s="665"/>
    </row>
    <row r="488">
      <c r="B488" s="665"/>
      <c r="C488" s="665"/>
    </row>
    <row r="489">
      <c r="B489" s="665"/>
      <c r="C489" s="665"/>
    </row>
    <row r="490">
      <c r="B490" s="665"/>
      <c r="C490" s="665"/>
    </row>
    <row r="491">
      <c r="B491" s="665"/>
      <c r="C491" s="665"/>
    </row>
    <row r="492">
      <c r="B492" s="665"/>
      <c r="C492" s="665"/>
    </row>
    <row r="493">
      <c r="B493" s="665"/>
      <c r="C493" s="665"/>
    </row>
    <row r="494">
      <c r="B494" s="665"/>
      <c r="C494" s="665"/>
    </row>
    <row r="495">
      <c r="B495" s="665"/>
      <c r="C495" s="665"/>
    </row>
    <row r="496">
      <c r="B496" s="665"/>
      <c r="C496" s="665"/>
    </row>
    <row r="497">
      <c r="B497" s="665"/>
      <c r="C497" s="665"/>
    </row>
    <row r="498">
      <c r="B498" s="665"/>
      <c r="C498" s="665"/>
    </row>
    <row r="499">
      <c r="B499" s="665"/>
      <c r="C499" s="665"/>
    </row>
    <row r="500">
      <c r="B500" s="665"/>
      <c r="C500" s="665"/>
    </row>
    <row r="501">
      <c r="B501" s="665"/>
      <c r="C501" s="665"/>
    </row>
    <row r="502">
      <c r="B502" s="665"/>
      <c r="C502" s="665"/>
    </row>
    <row r="503">
      <c r="B503" s="665"/>
      <c r="C503" s="665"/>
    </row>
    <row r="504">
      <c r="B504" s="665"/>
      <c r="C504" s="665"/>
    </row>
    <row r="505">
      <c r="B505" s="665"/>
      <c r="C505" s="665"/>
    </row>
    <row r="506">
      <c r="B506" s="665"/>
      <c r="C506" s="665"/>
    </row>
    <row r="507">
      <c r="B507" s="665"/>
      <c r="C507" s="665"/>
    </row>
    <row r="508">
      <c r="B508" s="665"/>
      <c r="C508" s="665"/>
    </row>
    <row r="509">
      <c r="B509" s="665"/>
      <c r="C509" s="665"/>
    </row>
    <row r="510">
      <c r="B510" s="665"/>
      <c r="C510" s="665"/>
    </row>
    <row r="511">
      <c r="B511" s="665"/>
      <c r="C511" s="665"/>
    </row>
    <row r="512">
      <c r="B512" s="665"/>
      <c r="C512" s="665"/>
    </row>
    <row r="513">
      <c r="B513" s="665"/>
      <c r="C513" s="665"/>
    </row>
    <row r="514">
      <c r="B514" s="665"/>
      <c r="C514" s="665"/>
    </row>
    <row r="515">
      <c r="B515" s="665"/>
      <c r="C515" s="665"/>
    </row>
    <row r="516">
      <c r="B516" s="665"/>
      <c r="C516" s="665"/>
    </row>
    <row r="517">
      <c r="B517" s="665"/>
      <c r="C517" s="665"/>
    </row>
    <row r="518">
      <c r="B518" s="665"/>
      <c r="C518" s="665"/>
    </row>
    <row r="519">
      <c r="B519" s="665"/>
      <c r="C519" s="665"/>
    </row>
    <row r="520">
      <c r="B520" s="665"/>
      <c r="C520" s="665"/>
    </row>
    <row r="521">
      <c r="B521" s="665"/>
      <c r="C521" s="665"/>
    </row>
    <row r="522">
      <c r="B522" s="665"/>
      <c r="C522" s="665"/>
    </row>
    <row r="523">
      <c r="B523" s="665"/>
      <c r="C523" s="665"/>
    </row>
    <row r="524">
      <c r="B524" s="665"/>
      <c r="C524" s="665"/>
    </row>
    <row r="525">
      <c r="B525" s="665"/>
      <c r="C525" s="665"/>
    </row>
    <row r="526">
      <c r="B526" s="665"/>
      <c r="C526" s="665"/>
    </row>
    <row r="527">
      <c r="B527" s="665"/>
      <c r="C527" s="665"/>
    </row>
    <row r="528">
      <c r="B528" s="665"/>
      <c r="C528" s="665"/>
    </row>
    <row r="529">
      <c r="B529" s="665"/>
      <c r="C529" s="665"/>
    </row>
    <row r="530">
      <c r="B530" s="665"/>
      <c r="C530" s="665"/>
    </row>
    <row r="531">
      <c r="B531" s="665"/>
      <c r="C531" s="665"/>
    </row>
    <row r="532">
      <c r="B532" s="665"/>
      <c r="C532" s="665"/>
    </row>
    <row r="533">
      <c r="B533" s="665"/>
      <c r="C533" s="665"/>
    </row>
    <row r="534">
      <c r="B534" s="665"/>
      <c r="C534" s="665"/>
    </row>
    <row r="535">
      <c r="B535" s="665"/>
      <c r="C535" s="665"/>
    </row>
    <row r="536">
      <c r="B536" s="665"/>
      <c r="C536" s="665"/>
    </row>
    <row r="537">
      <c r="B537" s="665"/>
      <c r="C537" s="665"/>
    </row>
    <row r="538">
      <c r="B538" s="665"/>
      <c r="C538" s="665"/>
    </row>
    <row r="539">
      <c r="B539" s="665"/>
      <c r="C539" s="665"/>
    </row>
    <row r="540">
      <c r="B540" s="665"/>
      <c r="C540" s="665"/>
    </row>
    <row r="541">
      <c r="B541" s="665"/>
      <c r="C541" s="665"/>
    </row>
    <row r="542">
      <c r="B542" s="665"/>
      <c r="C542" s="665"/>
    </row>
    <row r="543">
      <c r="B543" s="665"/>
      <c r="C543" s="665"/>
    </row>
    <row r="544">
      <c r="B544" s="665"/>
      <c r="C544" s="665"/>
    </row>
    <row r="545">
      <c r="B545" s="665"/>
      <c r="C545" s="665"/>
    </row>
    <row r="546">
      <c r="B546" s="665"/>
      <c r="C546" s="665"/>
    </row>
    <row r="547">
      <c r="B547" s="665"/>
      <c r="C547" s="665"/>
    </row>
    <row r="548">
      <c r="B548" s="665"/>
      <c r="C548" s="665"/>
    </row>
    <row r="549">
      <c r="B549" s="665"/>
      <c r="C549" s="665"/>
    </row>
    <row r="550">
      <c r="B550" s="665"/>
      <c r="C550" s="665"/>
    </row>
    <row r="551">
      <c r="B551" s="665"/>
      <c r="C551" s="665"/>
    </row>
    <row r="552">
      <c r="B552" s="665"/>
      <c r="C552" s="665"/>
    </row>
    <row r="553">
      <c r="B553" s="665"/>
      <c r="C553" s="665"/>
    </row>
    <row r="554">
      <c r="B554" s="665"/>
      <c r="C554" s="665"/>
    </row>
    <row r="555">
      <c r="B555" s="665"/>
      <c r="C555" s="665"/>
    </row>
    <row r="556">
      <c r="B556" s="665"/>
      <c r="C556" s="665"/>
    </row>
    <row r="557">
      <c r="B557" s="665"/>
      <c r="C557" s="665"/>
    </row>
    <row r="558">
      <c r="B558" s="665"/>
      <c r="C558" s="665"/>
    </row>
    <row r="559">
      <c r="B559" s="665"/>
      <c r="C559" s="665"/>
    </row>
    <row r="560">
      <c r="B560" s="665"/>
      <c r="C560" s="665"/>
    </row>
    <row r="561">
      <c r="B561" s="665"/>
      <c r="C561" s="665"/>
    </row>
    <row r="562">
      <c r="B562" s="665"/>
      <c r="C562" s="665"/>
    </row>
    <row r="563">
      <c r="B563" s="665"/>
      <c r="C563" s="665"/>
    </row>
    <row r="564">
      <c r="B564" s="665"/>
      <c r="C564" s="665"/>
    </row>
    <row r="565">
      <c r="B565" s="665"/>
      <c r="C565" s="665"/>
    </row>
    <row r="566">
      <c r="B566" s="665"/>
      <c r="C566" s="665"/>
    </row>
    <row r="567">
      <c r="B567" s="665"/>
      <c r="C567" s="665"/>
    </row>
    <row r="568">
      <c r="B568" s="665"/>
      <c r="C568" s="665"/>
    </row>
    <row r="569">
      <c r="B569" s="665"/>
      <c r="C569" s="665"/>
    </row>
    <row r="570">
      <c r="B570" s="665"/>
      <c r="C570" s="665"/>
    </row>
    <row r="571">
      <c r="B571" s="665"/>
      <c r="C571" s="665"/>
    </row>
    <row r="572">
      <c r="B572" s="665"/>
      <c r="C572" s="665"/>
    </row>
    <row r="573">
      <c r="B573" s="665"/>
      <c r="C573" s="665"/>
    </row>
    <row r="574">
      <c r="B574" s="665"/>
      <c r="C574" s="665"/>
    </row>
    <row r="575">
      <c r="B575" s="665"/>
      <c r="C575" s="665"/>
    </row>
    <row r="576">
      <c r="B576" s="665"/>
      <c r="C576" s="665"/>
    </row>
    <row r="577">
      <c r="B577" s="665"/>
      <c r="C577" s="665"/>
    </row>
    <row r="578">
      <c r="B578" s="665"/>
      <c r="C578" s="665"/>
    </row>
    <row r="579">
      <c r="B579" s="665"/>
      <c r="C579" s="665"/>
    </row>
    <row r="580">
      <c r="B580" s="665"/>
      <c r="C580" s="665"/>
    </row>
    <row r="581">
      <c r="B581" s="665"/>
      <c r="C581" s="665"/>
    </row>
    <row r="582">
      <c r="B582" s="665"/>
      <c r="C582" s="665"/>
    </row>
    <row r="583">
      <c r="B583" s="665"/>
      <c r="C583" s="665"/>
    </row>
    <row r="584">
      <c r="B584" s="665"/>
      <c r="C584" s="665"/>
    </row>
    <row r="585">
      <c r="B585" s="665"/>
      <c r="C585" s="665"/>
    </row>
    <row r="586">
      <c r="B586" s="665"/>
      <c r="C586" s="665"/>
    </row>
    <row r="587">
      <c r="B587" s="665"/>
      <c r="C587" s="665"/>
    </row>
    <row r="588">
      <c r="B588" s="665"/>
      <c r="C588" s="665"/>
    </row>
    <row r="589">
      <c r="B589" s="665"/>
      <c r="C589" s="665"/>
    </row>
    <row r="590">
      <c r="B590" s="665"/>
      <c r="C590" s="665"/>
    </row>
    <row r="591">
      <c r="B591" s="665"/>
      <c r="C591" s="665"/>
    </row>
    <row r="592">
      <c r="B592" s="665"/>
      <c r="C592" s="665"/>
    </row>
    <row r="593">
      <c r="B593" s="665"/>
      <c r="C593" s="665"/>
    </row>
    <row r="594">
      <c r="B594" s="665"/>
      <c r="C594" s="665"/>
    </row>
    <row r="595">
      <c r="B595" s="665"/>
      <c r="C595" s="665"/>
    </row>
    <row r="596">
      <c r="B596" s="665"/>
      <c r="C596" s="665"/>
    </row>
    <row r="597">
      <c r="B597" s="665"/>
      <c r="C597" s="665"/>
    </row>
    <row r="598">
      <c r="B598" s="665"/>
      <c r="C598" s="665"/>
    </row>
    <row r="599">
      <c r="B599" s="665"/>
      <c r="C599" s="665"/>
    </row>
    <row r="600">
      <c r="B600" s="665"/>
      <c r="C600" s="665"/>
    </row>
    <row r="601">
      <c r="B601" s="665"/>
      <c r="C601" s="665"/>
    </row>
    <row r="602">
      <c r="B602" s="665"/>
      <c r="C602" s="665"/>
    </row>
    <row r="603">
      <c r="B603" s="665"/>
      <c r="C603" s="665"/>
    </row>
    <row r="604">
      <c r="B604" s="665"/>
      <c r="C604" s="665"/>
    </row>
    <row r="605">
      <c r="B605" s="665"/>
      <c r="C605" s="665"/>
    </row>
    <row r="606">
      <c r="B606" s="665"/>
      <c r="C606" s="665"/>
    </row>
    <row r="607">
      <c r="B607" s="665"/>
      <c r="C607" s="665"/>
    </row>
    <row r="608">
      <c r="B608" s="665"/>
      <c r="C608" s="665"/>
    </row>
    <row r="609">
      <c r="B609" s="665"/>
      <c r="C609" s="665"/>
    </row>
    <row r="610">
      <c r="B610" s="665"/>
      <c r="C610" s="665"/>
    </row>
    <row r="611">
      <c r="B611" s="665"/>
      <c r="C611" s="665"/>
    </row>
    <row r="612">
      <c r="B612" s="665"/>
      <c r="C612" s="665"/>
    </row>
    <row r="613">
      <c r="B613" s="665"/>
      <c r="C613" s="665"/>
    </row>
    <row r="614">
      <c r="B614" s="665"/>
      <c r="C614" s="665"/>
    </row>
    <row r="615">
      <c r="B615" s="665"/>
      <c r="C615" s="665"/>
    </row>
    <row r="616">
      <c r="B616" s="665"/>
      <c r="C616" s="665"/>
    </row>
    <row r="617">
      <c r="B617" s="665"/>
      <c r="C617" s="665"/>
    </row>
    <row r="618">
      <c r="B618" s="665"/>
      <c r="C618" s="665"/>
    </row>
    <row r="619">
      <c r="B619" s="665"/>
      <c r="C619" s="665"/>
    </row>
    <row r="620">
      <c r="B620" s="665"/>
      <c r="C620" s="665"/>
    </row>
    <row r="621">
      <c r="B621" s="665"/>
      <c r="C621" s="665"/>
    </row>
    <row r="622">
      <c r="B622" s="665"/>
      <c r="C622" s="665"/>
    </row>
    <row r="623">
      <c r="B623" s="665"/>
      <c r="C623" s="665"/>
    </row>
    <row r="624">
      <c r="B624" s="665"/>
      <c r="C624" s="665"/>
    </row>
    <row r="625">
      <c r="B625" s="665"/>
      <c r="C625" s="665"/>
    </row>
    <row r="626">
      <c r="B626" s="665"/>
      <c r="C626" s="665"/>
    </row>
    <row r="627">
      <c r="B627" s="665"/>
      <c r="C627" s="665"/>
    </row>
    <row r="628">
      <c r="B628" s="665"/>
      <c r="C628" s="665"/>
    </row>
    <row r="629">
      <c r="B629" s="665"/>
      <c r="C629" s="665"/>
    </row>
    <row r="630">
      <c r="B630" s="665"/>
      <c r="C630" s="665"/>
    </row>
    <row r="631">
      <c r="B631" s="665"/>
      <c r="C631" s="665"/>
    </row>
    <row r="632">
      <c r="B632" s="665"/>
      <c r="C632" s="665"/>
    </row>
    <row r="633">
      <c r="B633" s="665"/>
      <c r="C633" s="665"/>
    </row>
    <row r="634">
      <c r="B634" s="665"/>
      <c r="C634" s="665"/>
    </row>
    <row r="635">
      <c r="B635" s="665"/>
      <c r="C635" s="665"/>
    </row>
    <row r="636">
      <c r="B636" s="665"/>
      <c r="C636" s="665"/>
    </row>
    <row r="637">
      <c r="B637" s="665"/>
      <c r="C637" s="665"/>
    </row>
    <row r="638">
      <c r="B638" s="665"/>
      <c r="C638" s="665"/>
    </row>
    <row r="639">
      <c r="B639" s="665"/>
      <c r="C639" s="665"/>
    </row>
    <row r="640">
      <c r="B640" s="665"/>
      <c r="C640" s="665"/>
    </row>
    <row r="641">
      <c r="B641" s="665"/>
      <c r="C641" s="665"/>
    </row>
    <row r="642">
      <c r="B642" s="665"/>
      <c r="C642" s="665"/>
    </row>
    <row r="643">
      <c r="B643" s="665"/>
      <c r="C643" s="665"/>
    </row>
    <row r="644">
      <c r="B644" s="665"/>
      <c r="C644" s="665"/>
    </row>
    <row r="645">
      <c r="B645" s="665"/>
      <c r="C645" s="665"/>
    </row>
    <row r="646">
      <c r="B646" s="665"/>
      <c r="C646" s="665"/>
    </row>
    <row r="647">
      <c r="B647" s="665"/>
      <c r="C647" s="665"/>
    </row>
    <row r="648">
      <c r="B648" s="665"/>
      <c r="C648" s="665"/>
    </row>
    <row r="649">
      <c r="B649" s="665"/>
      <c r="C649" s="665"/>
    </row>
    <row r="650">
      <c r="B650" s="665"/>
      <c r="C650" s="665"/>
    </row>
    <row r="651">
      <c r="B651" s="665"/>
      <c r="C651" s="665"/>
    </row>
    <row r="652">
      <c r="B652" s="665"/>
      <c r="C652" s="665"/>
    </row>
    <row r="653">
      <c r="B653" s="665"/>
      <c r="C653" s="665"/>
    </row>
    <row r="654">
      <c r="B654" s="665"/>
      <c r="C654" s="665"/>
    </row>
    <row r="655">
      <c r="B655" s="665"/>
      <c r="C655" s="665"/>
    </row>
    <row r="656">
      <c r="B656" s="665"/>
      <c r="C656" s="665"/>
    </row>
    <row r="657">
      <c r="B657" s="665"/>
      <c r="C657" s="665"/>
    </row>
    <row r="658">
      <c r="B658" s="665"/>
      <c r="C658" s="665"/>
    </row>
    <row r="659">
      <c r="B659" s="665"/>
      <c r="C659" s="665"/>
    </row>
    <row r="660">
      <c r="B660" s="665"/>
      <c r="C660" s="665"/>
    </row>
    <row r="661">
      <c r="B661" s="665"/>
      <c r="C661" s="665"/>
    </row>
    <row r="662">
      <c r="B662" s="665"/>
      <c r="C662" s="665"/>
    </row>
    <row r="663">
      <c r="B663" s="665"/>
      <c r="C663" s="665"/>
    </row>
    <row r="664">
      <c r="B664" s="665"/>
      <c r="C664" s="665"/>
    </row>
    <row r="665">
      <c r="B665" s="665"/>
      <c r="C665" s="665"/>
    </row>
    <row r="666">
      <c r="B666" s="665"/>
      <c r="C666" s="665"/>
    </row>
    <row r="667">
      <c r="B667" s="665"/>
      <c r="C667" s="665"/>
    </row>
    <row r="668">
      <c r="B668" s="665"/>
      <c r="C668" s="665"/>
    </row>
    <row r="669">
      <c r="B669" s="665"/>
      <c r="C669" s="665"/>
    </row>
    <row r="670">
      <c r="B670" s="665"/>
      <c r="C670" s="665"/>
    </row>
    <row r="671">
      <c r="B671" s="665"/>
      <c r="C671" s="665"/>
    </row>
    <row r="672">
      <c r="B672" s="665"/>
      <c r="C672" s="665"/>
    </row>
    <row r="673">
      <c r="B673" s="665"/>
      <c r="C673" s="665"/>
    </row>
    <row r="674">
      <c r="B674" s="665"/>
      <c r="C674" s="665"/>
    </row>
    <row r="675">
      <c r="B675" s="665"/>
      <c r="C675" s="665"/>
    </row>
    <row r="676">
      <c r="B676" s="665"/>
      <c r="C676" s="665"/>
    </row>
    <row r="677">
      <c r="B677" s="665"/>
      <c r="C677" s="665"/>
    </row>
    <row r="678">
      <c r="B678" s="665"/>
      <c r="C678" s="665"/>
    </row>
    <row r="679">
      <c r="B679" s="665"/>
      <c r="C679" s="665"/>
    </row>
    <row r="680">
      <c r="B680" s="665"/>
      <c r="C680" s="665"/>
    </row>
    <row r="681">
      <c r="B681" s="665"/>
      <c r="C681" s="665"/>
    </row>
    <row r="682">
      <c r="B682" s="665"/>
      <c r="C682" s="665"/>
    </row>
    <row r="683">
      <c r="B683" s="665"/>
      <c r="C683" s="665"/>
    </row>
    <row r="684">
      <c r="B684" s="665"/>
      <c r="C684" s="665"/>
    </row>
    <row r="685">
      <c r="B685" s="665"/>
      <c r="C685" s="665"/>
    </row>
    <row r="686">
      <c r="B686" s="665"/>
      <c r="C686" s="665"/>
    </row>
    <row r="687">
      <c r="B687" s="665"/>
      <c r="C687" s="665"/>
    </row>
    <row r="688">
      <c r="B688" s="665"/>
      <c r="C688" s="665"/>
    </row>
    <row r="689">
      <c r="B689" s="665"/>
      <c r="C689" s="665"/>
    </row>
    <row r="690">
      <c r="B690" s="665"/>
      <c r="C690" s="665"/>
    </row>
    <row r="691">
      <c r="B691" s="665"/>
      <c r="C691" s="665"/>
    </row>
    <row r="692">
      <c r="B692" s="665"/>
      <c r="C692" s="665"/>
    </row>
    <row r="693">
      <c r="B693" s="665"/>
      <c r="C693" s="665"/>
    </row>
    <row r="694">
      <c r="B694" s="665"/>
      <c r="C694" s="665"/>
    </row>
    <row r="695">
      <c r="B695" s="665"/>
      <c r="C695" s="665"/>
    </row>
    <row r="696">
      <c r="B696" s="665"/>
      <c r="C696" s="665"/>
    </row>
    <row r="697">
      <c r="B697" s="665"/>
      <c r="C697" s="665"/>
    </row>
    <row r="698">
      <c r="B698" s="665"/>
      <c r="C698" s="665"/>
    </row>
    <row r="699">
      <c r="B699" s="665"/>
      <c r="C699" s="665"/>
    </row>
    <row r="700">
      <c r="B700" s="665"/>
      <c r="C700" s="665"/>
    </row>
    <row r="701">
      <c r="B701" s="665"/>
      <c r="C701" s="665"/>
    </row>
    <row r="702">
      <c r="B702" s="665"/>
      <c r="C702" s="665"/>
    </row>
    <row r="703">
      <c r="B703" s="665"/>
      <c r="C703" s="665"/>
    </row>
    <row r="704">
      <c r="B704" s="665"/>
      <c r="C704" s="665"/>
    </row>
    <row r="705">
      <c r="B705" s="665"/>
      <c r="C705" s="665"/>
    </row>
    <row r="706">
      <c r="B706" s="665"/>
      <c r="C706" s="665"/>
    </row>
    <row r="707">
      <c r="B707" s="665"/>
      <c r="C707" s="665"/>
    </row>
    <row r="708">
      <c r="B708" s="665"/>
      <c r="C708" s="665"/>
    </row>
    <row r="709">
      <c r="B709" s="665"/>
      <c r="C709" s="665"/>
    </row>
    <row r="710">
      <c r="B710" s="665"/>
      <c r="C710" s="665"/>
    </row>
    <row r="711">
      <c r="B711" s="665"/>
      <c r="C711" s="665"/>
    </row>
    <row r="712">
      <c r="B712" s="665"/>
      <c r="C712" s="665"/>
    </row>
    <row r="713">
      <c r="B713" s="665"/>
      <c r="C713" s="665"/>
    </row>
    <row r="714">
      <c r="B714" s="665"/>
      <c r="C714" s="665"/>
    </row>
    <row r="715">
      <c r="B715" s="665"/>
      <c r="C715" s="665"/>
    </row>
    <row r="716">
      <c r="B716" s="665"/>
      <c r="C716" s="665"/>
    </row>
    <row r="717">
      <c r="B717" s="665"/>
      <c r="C717" s="665"/>
    </row>
    <row r="718">
      <c r="B718" s="665"/>
      <c r="C718" s="665"/>
    </row>
    <row r="719">
      <c r="B719" s="665"/>
      <c r="C719" s="665"/>
    </row>
    <row r="720">
      <c r="B720" s="665"/>
      <c r="C720" s="665"/>
    </row>
    <row r="721">
      <c r="B721" s="665"/>
      <c r="C721" s="665"/>
    </row>
    <row r="722">
      <c r="B722" s="665"/>
      <c r="C722" s="665"/>
    </row>
    <row r="723">
      <c r="B723" s="665"/>
      <c r="C723" s="665"/>
    </row>
    <row r="724">
      <c r="B724" s="665"/>
      <c r="C724" s="665"/>
    </row>
    <row r="725">
      <c r="B725" s="665"/>
      <c r="C725" s="665"/>
    </row>
    <row r="726">
      <c r="B726" s="665"/>
      <c r="C726" s="665"/>
    </row>
    <row r="727">
      <c r="B727" s="665"/>
      <c r="C727" s="665"/>
    </row>
    <row r="728">
      <c r="B728" s="665"/>
      <c r="C728" s="665"/>
    </row>
    <row r="729">
      <c r="B729" s="665"/>
      <c r="C729" s="665"/>
    </row>
    <row r="730">
      <c r="B730" s="665"/>
      <c r="C730" s="665"/>
    </row>
    <row r="731">
      <c r="B731" s="665"/>
      <c r="C731" s="665"/>
    </row>
    <row r="732">
      <c r="B732" s="665"/>
      <c r="C732" s="665"/>
    </row>
    <row r="733">
      <c r="B733" s="665"/>
      <c r="C733" s="665"/>
    </row>
    <row r="734">
      <c r="B734" s="665"/>
      <c r="C734" s="665"/>
    </row>
    <row r="735">
      <c r="B735" s="665"/>
      <c r="C735" s="665"/>
    </row>
    <row r="736">
      <c r="B736" s="665"/>
      <c r="C736" s="665"/>
    </row>
    <row r="737">
      <c r="B737" s="665"/>
      <c r="C737" s="665"/>
    </row>
    <row r="738">
      <c r="B738" s="665"/>
      <c r="C738" s="665"/>
    </row>
    <row r="739">
      <c r="B739" s="665"/>
      <c r="C739" s="665"/>
    </row>
    <row r="740">
      <c r="B740" s="665"/>
      <c r="C740" s="665"/>
    </row>
    <row r="741">
      <c r="B741" s="665"/>
      <c r="C741" s="665"/>
    </row>
    <row r="742">
      <c r="B742" s="665"/>
      <c r="C742" s="665"/>
    </row>
    <row r="743">
      <c r="B743" s="665"/>
      <c r="C743" s="665"/>
    </row>
    <row r="744">
      <c r="B744" s="665"/>
      <c r="C744" s="665"/>
    </row>
    <row r="745">
      <c r="B745" s="665"/>
      <c r="C745" s="665"/>
    </row>
    <row r="746">
      <c r="B746" s="665"/>
      <c r="C746" s="665"/>
    </row>
    <row r="747">
      <c r="B747" s="665"/>
      <c r="C747" s="665"/>
    </row>
    <row r="748">
      <c r="B748" s="665"/>
      <c r="C748" s="665"/>
    </row>
    <row r="749">
      <c r="B749" s="665"/>
      <c r="C749" s="665"/>
    </row>
    <row r="750">
      <c r="B750" s="665"/>
      <c r="C750" s="665"/>
    </row>
    <row r="751">
      <c r="B751" s="665"/>
      <c r="C751" s="665"/>
    </row>
    <row r="752">
      <c r="B752" s="665"/>
      <c r="C752" s="665"/>
    </row>
    <row r="753">
      <c r="B753" s="665"/>
      <c r="C753" s="665"/>
    </row>
    <row r="754">
      <c r="B754" s="665"/>
      <c r="C754" s="665"/>
    </row>
    <row r="755">
      <c r="B755" s="665"/>
      <c r="C755" s="665"/>
    </row>
    <row r="756">
      <c r="B756" s="665"/>
      <c r="C756" s="665"/>
    </row>
    <row r="757">
      <c r="B757" s="665"/>
      <c r="C757" s="665"/>
    </row>
    <row r="758">
      <c r="B758" s="665"/>
      <c r="C758" s="665"/>
    </row>
    <row r="759">
      <c r="B759" s="665"/>
      <c r="C759" s="665"/>
    </row>
    <row r="760">
      <c r="B760" s="665"/>
      <c r="C760" s="665"/>
    </row>
    <row r="761">
      <c r="B761" s="665"/>
      <c r="C761" s="665"/>
    </row>
    <row r="762">
      <c r="B762" s="665"/>
      <c r="C762" s="665"/>
    </row>
    <row r="763">
      <c r="B763" s="665"/>
      <c r="C763" s="665"/>
    </row>
    <row r="764">
      <c r="B764" s="665"/>
      <c r="C764" s="665"/>
    </row>
    <row r="765">
      <c r="B765" s="665"/>
      <c r="C765" s="665"/>
    </row>
    <row r="766">
      <c r="B766" s="665"/>
      <c r="C766" s="665"/>
    </row>
    <row r="767">
      <c r="B767" s="665"/>
      <c r="C767" s="665"/>
    </row>
    <row r="768">
      <c r="B768" s="665"/>
      <c r="C768" s="665"/>
    </row>
    <row r="769">
      <c r="B769" s="665"/>
      <c r="C769" s="665"/>
    </row>
    <row r="770">
      <c r="B770" s="665"/>
      <c r="C770" s="665"/>
    </row>
    <row r="771">
      <c r="B771" s="665"/>
      <c r="C771" s="665"/>
    </row>
    <row r="772">
      <c r="B772" s="665"/>
      <c r="C772" s="665"/>
    </row>
    <row r="773">
      <c r="B773" s="665"/>
      <c r="C773" s="665"/>
    </row>
    <row r="774">
      <c r="B774" s="665"/>
      <c r="C774" s="665"/>
    </row>
    <row r="775">
      <c r="B775" s="665"/>
      <c r="C775" s="665"/>
    </row>
    <row r="776">
      <c r="B776" s="665"/>
      <c r="C776" s="665"/>
    </row>
    <row r="777">
      <c r="B777" s="665"/>
      <c r="C777" s="665"/>
    </row>
    <row r="778">
      <c r="B778" s="665"/>
      <c r="C778" s="665"/>
    </row>
    <row r="779">
      <c r="B779" s="665"/>
      <c r="C779" s="665"/>
    </row>
    <row r="780">
      <c r="B780" s="665"/>
      <c r="C780" s="665"/>
    </row>
    <row r="781">
      <c r="B781" s="665"/>
      <c r="C781" s="665"/>
    </row>
    <row r="782">
      <c r="B782" s="665"/>
      <c r="C782" s="665"/>
    </row>
    <row r="783">
      <c r="B783" s="665"/>
      <c r="C783" s="665"/>
    </row>
    <row r="784">
      <c r="B784" s="665"/>
      <c r="C784" s="665"/>
    </row>
    <row r="785">
      <c r="B785" s="665"/>
      <c r="C785" s="665"/>
    </row>
    <row r="786">
      <c r="B786" s="665"/>
      <c r="C786" s="665"/>
    </row>
    <row r="787">
      <c r="B787" s="665"/>
      <c r="C787" s="665"/>
    </row>
    <row r="788">
      <c r="B788" s="665"/>
      <c r="C788" s="665"/>
    </row>
    <row r="789">
      <c r="B789" s="665"/>
      <c r="C789" s="665"/>
    </row>
    <row r="790">
      <c r="B790" s="665"/>
      <c r="C790" s="665"/>
    </row>
    <row r="791">
      <c r="B791" s="665"/>
      <c r="C791" s="665"/>
    </row>
    <row r="792">
      <c r="B792" s="665"/>
      <c r="C792" s="665"/>
    </row>
    <row r="793">
      <c r="B793" s="665"/>
      <c r="C793" s="665"/>
    </row>
    <row r="794">
      <c r="B794" s="665"/>
      <c r="C794" s="665"/>
    </row>
    <row r="795">
      <c r="B795" s="665"/>
      <c r="C795" s="665"/>
    </row>
    <row r="796">
      <c r="B796" s="665"/>
      <c r="C796" s="665"/>
    </row>
    <row r="797">
      <c r="B797" s="665"/>
      <c r="C797" s="665"/>
    </row>
    <row r="798">
      <c r="B798" s="665"/>
      <c r="C798" s="665"/>
    </row>
    <row r="799">
      <c r="B799" s="665"/>
      <c r="C799" s="665"/>
    </row>
    <row r="800">
      <c r="B800" s="665"/>
      <c r="C800" s="665"/>
    </row>
    <row r="801">
      <c r="B801" s="665"/>
      <c r="C801" s="665"/>
    </row>
    <row r="802">
      <c r="B802" s="665"/>
      <c r="C802" s="665"/>
    </row>
    <row r="803">
      <c r="B803" s="665"/>
      <c r="C803" s="665"/>
    </row>
    <row r="804">
      <c r="B804" s="665"/>
      <c r="C804" s="665"/>
    </row>
    <row r="805">
      <c r="B805" s="665"/>
      <c r="C805" s="665"/>
    </row>
    <row r="806">
      <c r="B806" s="665"/>
      <c r="C806" s="665"/>
    </row>
    <row r="807">
      <c r="B807" s="665"/>
      <c r="C807" s="665"/>
    </row>
    <row r="808">
      <c r="B808" s="665"/>
      <c r="C808" s="665"/>
    </row>
    <row r="809">
      <c r="B809" s="665"/>
      <c r="C809" s="665"/>
    </row>
    <row r="810">
      <c r="B810" s="665"/>
      <c r="C810" s="665"/>
    </row>
    <row r="811">
      <c r="B811" s="665"/>
      <c r="C811" s="665"/>
    </row>
    <row r="812">
      <c r="B812" s="665"/>
      <c r="C812" s="665"/>
    </row>
    <row r="813">
      <c r="B813" s="665"/>
      <c r="C813" s="665"/>
    </row>
    <row r="814">
      <c r="B814" s="665"/>
      <c r="C814" s="665"/>
    </row>
    <row r="815">
      <c r="B815" s="665"/>
      <c r="C815" s="665"/>
    </row>
    <row r="816">
      <c r="B816" s="665"/>
      <c r="C816" s="665"/>
    </row>
    <row r="817">
      <c r="B817" s="665"/>
      <c r="C817" s="665"/>
    </row>
    <row r="818">
      <c r="B818" s="665"/>
      <c r="C818" s="665"/>
    </row>
    <row r="819">
      <c r="B819" s="665"/>
      <c r="C819" s="665"/>
    </row>
    <row r="820">
      <c r="B820" s="665"/>
      <c r="C820" s="665"/>
    </row>
    <row r="821">
      <c r="B821" s="665"/>
      <c r="C821" s="665"/>
    </row>
    <row r="822">
      <c r="B822" s="665"/>
      <c r="C822" s="665"/>
    </row>
    <row r="823">
      <c r="B823" s="665"/>
      <c r="C823" s="665"/>
    </row>
    <row r="824">
      <c r="B824" s="665"/>
      <c r="C824" s="665"/>
    </row>
    <row r="825">
      <c r="B825" s="665"/>
      <c r="C825" s="665"/>
    </row>
    <row r="826">
      <c r="B826" s="665"/>
      <c r="C826" s="665"/>
    </row>
    <row r="827">
      <c r="B827" s="665"/>
      <c r="C827" s="665"/>
    </row>
    <row r="828">
      <c r="B828" s="665"/>
      <c r="C828" s="665"/>
    </row>
    <row r="829">
      <c r="B829" s="665"/>
      <c r="C829" s="665"/>
    </row>
    <row r="830">
      <c r="B830" s="665"/>
      <c r="C830" s="665"/>
    </row>
    <row r="831">
      <c r="B831" s="665"/>
      <c r="C831" s="665"/>
    </row>
    <row r="832">
      <c r="B832" s="665"/>
      <c r="C832" s="665"/>
    </row>
    <row r="833">
      <c r="B833" s="665"/>
      <c r="C833" s="665"/>
    </row>
    <row r="834">
      <c r="B834" s="665"/>
      <c r="C834" s="665"/>
    </row>
    <row r="835">
      <c r="B835" s="665"/>
      <c r="C835" s="665"/>
    </row>
    <row r="836">
      <c r="B836" s="665"/>
      <c r="C836" s="665"/>
    </row>
    <row r="837">
      <c r="B837" s="665"/>
      <c r="C837" s="665"/>
    </row>
    <row r="838">
      <c r="B838" s="665"/>
      <c r="C838" s="665"/>
    </row>
    <row r="839">
      <c r="B839" s="665"/>
      <c r="C839" s="665"/>
    </row>
    <row r="840">
      <c r="B840" s="665"/>
      <c r="C840" s="665"/>
    </row>
    <row r="841">
      <c r="B841" s="665"/>
      <c r="C841" s="665"/>
    </row>
    <row r="842">
      <c r="B842" s="665"/>
      <c r="C842" s="665"/>
    </row>
    <row r="843">
      <c r="B843" s="665"/>
      <c r="C843" s="665"/>
    </row>
    <row r="844">
      <c r="B844" s="665"/>
      <c r="C844" s="665"/>
    </row>
    <row r="845">
      <c r="B845" s="665"/>
      <c r="C845" s="665"/>
    </row>
    <row r="846">
      <c r="B846" s="665"/>
      <c r="C846" s="665"/>
    </row>
    <row r="847">
      <c r="B847" s="665"/>
      <c r="C847" s="665"/>
    </row>
    <row r="848">
      <c r="B848" s="665"/>
      <c r="C848" s="665"/>
    </row>
    <row r="849">
      <c r="B849" s="665"/>
      <c r="C849" s="665"/>
    </row>
    <row r="850">
      <c r="B850" s="665"/>
      <c r="C850" s="665"/>
    </row>
    <row r="851">
      <c r="B851" s="665"/>
      <c r="C851" s="665"/>
    </row>
    <row r="852">
      <c r="B852" s="665"/>
      <c r="C852" s="665"/>
    </row>
    <row r="853">
      <c r="B853" s="665"/>
      <c r="C853" s="665"/>
    </row>
    <row r="854">
      <c r="B854" s="665"/>
      <c r="C854" s="665"/>
    </row>
    <row r="855">
      <c r="B855" s="665"/>
      <c r="C855" s="665"/>
    </row>
    <row r="856">
      <c r="B856" s="665"/>
      <c r="C856" s="665"/>
    </row>
    <row r="857">
      <c r="B857" s="665"/>
      <c r="C857" s="665"/>
    </row>
    <row r="858">
      <c r="B858" s="665"/>
      <c r="C858" s="665"/>
    </row>
    <row r="859">
      <c r="B859" s="665"/>
      <c r="C859" s="665"/>
    </row>
    <row r="860">
      <c r="B860" s="665"/>
      <c r="C860" s="665"/>
    </row>
    <row r="861">
      <c r="B861" s="665"/>
      <c r="C861" s="665"/>
    </row>
    <row r="862">
      <c r="B862" s="665"/>
      <c r="C862" s="665"/>
    </row>
    <row r="863">
      <c r="B863" s="665"/>
      <c r="C863" s="665"/>
    </row>
    <row r="864">
      <c r="B864" s="665"/>
      <c r="C864" s="665"/>
    </row>
    <row r="865">
      <c r="B865" s="665"/>
      <c r="C865" s="665"/>
    </row>
    <row r="866">
      <c r="B866" s="665"/>
      <c r="C866" s="665"/>
    </row>
    <row r="867">
      <c r="B867" s="665"/>
      <c r="C867" s="665"/>
    </row>
    <row r="868">
      <c r="B868" s="665"/>
      <c r="C868" s="665"/>
    </row>
    <row r="869">
      <c r="B869" s="665"/>
      <c r="C869" s="665"/>
    </row>
    <row r="870">
      <c r="B870" s="665"/>
      <c r="C870" s="665"/>
    </row>
    <row r="871">
      <c r="B871" s="665"/>
      <c r="C871" s="665"/>
    </row>
    <row r="872">
      <c r="B872" s="665"/>
      <c r="C872" s="665"/>
    </row>
    <row r="873">
      <c r="B873" s="665"/>
      <c r="C873" s="665"/>
    </row>
    <row r="874">
      <c r="B874" s="665"/>
      <c r="C874" s="665"/>
    </row>
    <row r="875">
      <c r="B875" s="665"/>
      <c r="C875" s="665"/>
    </row>
    <row r="876">
      <c r="B876" s="665"/>
      <c r="C876" s="665"/>
    </row>
    <row r="877">
      <c r="B877" s="665"/>
      <c r="C877" s="665"/>
    </row>
    <row r="878">
      <c r="B878" s="665"/>
      <c r="C878" s="665"/>
    </row>
    <row r="879">
      <c r="B879" s="665"/>
      <c r="C879" s="665"/>
    </row>
    <row r="880">
      <c r="B880" s="665"/>
      <c r="C880" s="665"/>
    </row>
    <row r="881">
      <c r="B881" s="665"/>
      <c r="C881" s="665"/>
    </row>
    <row r="882">
      <c r="B882" s="665"/>
      <c r="C882" s="665"/>
    </row>
    <row r="883">
      <c r="B883" s="665"/>
      <c r="C883" s="665"/>
    </row>
    <row r="884">
      <c r="B884" s="665"/>
      <c r="C884" s="665"/>
    </row>
    <row r="885">
      <c r="B885" s="665"/>
      <c r="C885" s="665"/>
    </row>
    <row r="886">
      <c r="B886" s="665"/>
      <c r="C886" s="665"/>
    </row>
    <row r="887">
      <c r="B887" s="665"/>
      <c r="C887" s="665"/>
    </row>
    <row r="888">
      <c r="B888" s="665"/>
      <c r="C888" s="665"/>
    </row>
    <row r="889">
      <c r="B889" s="665"/>
      <c r="C889" s="665"/>
    </row>
    <row r="890">
      <c r="B890" s="665"/>
      <c r="C890" s="665"/>
    </row>
    <row r="891">
      <c r="B891" s="665"/>
      <c r="C891" s="665"/>
    </row>
    <row r="892">
      <c r="B892" s="665"/>
      <c r="C892" s="665"/>
    </row>
    <row r="893">
      <c r="B893" s="665"/>
      <c r="C893" s="665"/>
    </row>
    <row r="894">
      <c r="B894" s="665"/>
      <c r="C894" s="665"/>
    </row>
    <row r="895">
      <c r="B895" s="665"/>
      <c r="C895" s="665"/>
    </row>
    <row r="896">
      <c r="B896" s="665"/>
      <c r="C896" s="665"/>
    </row>
    <row r="897">
      <c r="B897" s="665"/>
      <c r="C897" s="665"/>
    </row>
    <row r="898">
      <c r="B898" s="665"/>
      <c r="C898" s="665"/>
    </row>
    <row r="899">
      <c r="B899" s="665"/>
      <c r="C899" s="665"/>
    </row>
    <row r="900">
      <c r="B900" s="665"/>
      <c r="C900" s="665"/>
    </row>
    <row r="901">
      <c r="B901" s="665"/>
      <c r="C901" s="665"/>
    </row>
    <row r="902">
      <c r="B902" s="665"/>
      <c r="C902" s="665"/>
    </row>
    <row r="903">
      <c r="B903" s="665"/>
      <c r="C903" s="665"/>
    </row>
    <row r="904">
      <c r="B904" s="665"/>
      <c r="C904" s="665"/>
    </row>
    <row r="905">
      <c r="B905" s="665"/>
      <c r="C905" s="665"/>
    </row>
    <row r="906">
      <c r="B906" s="665"/>
      <c r="C906" s="665"/>
    </row>
    <row r="907">
      <c r="B907" s="665"/>
      <c r="C907" s="665"/>
    </row>
    <row r="908">
      <c r="B908" s="665"/>
      <c r="C908" s="665"/>
    </row>
    <row r="909">
      <c r="B909" s="665"/>
      <c r="C909" s="665"/>
    </row>
    <row r="910">
      <c r="B910" s="665"/>
      <c r="C910" s="665"/>
    </row>
    <row r="911">
      <c r="B911" s="665"/>
      <c r="C911" s="665"/>
    </row>
    <row r="912">
      <c r="B912" s="665"/>
      <c r="C912" s="665"/>
    </row>
    <row r="913">
      <c r="B913" s="665"/>
      <c r="C913" s="665"/>
    </row>
    <row r="914">
      <c r="B914" s="665"/>
      <c r="C914" s="665"/>
    </row>
    <row r="915">
      <c r="B915" s="665"/>
      <c r="C915" s="665"/>
    </row>
    <row r="916">
      <c r="B916" s="665"/>
      <c r="C916" s="665"/>
    </row>
    <row r="917">
      <c r="B917" s="665"/>
      <c r="C917" s="665"/>
    </row>
    <row r="918">
      <c r="B918" s="665"/>
      <c r="C918" s="665"/>
    </row>
    <row r="919">
      <c r="B919" s="665"/>
      <c r="C919" s="665"/>
    </row>
    <row r="920">
      <c r="B920" s="665"/>
      <c r="C920" s="665"/>
    </row>
    <row r="921">
      <c r="B921" s="665"/>
      <c r="C921" s="665"/>
    </row>
    <row r="922">
      <c r="B922" s="665"/>
      <c r="C922" s="665"/>
    </row>
    <row r="923">
      <c r="B923" s="665"/>
      <c r="C923" s="665"/>
    </row>
    <row r="924">
      <c r="B924" s="665"/>
      <c r="C924" s="665"/>
    </row>
    <row r="925">
      <c r="B925" s="665"/>
      <c r="C925" s="665"/>
    </row>
    <row r="926">
      <c r="B926" s="665"/>
      <c r="C926" s="665"/>
    </row>
    <row r="927">
      <c r="B927" s="665"/>
      <c r="C927" s="665"/>
    </row>
    <row r="928">
      <c r="B928" s="665"/>
      <c r="C928" s="665"/>
    </row>
    <row r="929">
      <c r="B929" s="665"/>
      <c r="C929" s="665"/>
    </row>
    <row r="930">
      <c r="B930" s="665"/>
      <c r="C930" s="665"/>
    </row>
    <row r="931">
      <c r="B931" s="665"/>
      <c r="C931" s="665"/>
    </row>
    <row r="932">
      <c r="B932" s="665"/>
      <c r="C932" s="665"/>
    </row>
    <row r="933">
      <c r="B933" s="665"/>
      <c r="C933" s="665"/>
    </row>
    <row r="934">
      <c r="B934" s="665"/>
      <c r="C934" s="665"/>
    </row>
    <row r="935">
      <c r="B935" s="665"/>
      <c r="C935" s="665"/>
    </row>
    <row r="936">
      <c r="B936" s="665"/>
      <c r="C936" s="665"/>
    </row>
    <row r="937">
      <c r="B937" s="665"/>
      <c r="C937" s="665"/>
    </row>
    <row r="938">
      <c r="B938" s="665"/>
      <c r="C938" s="665"/>
    </row>
    <row r="939">
      <c r="B939" s="665"/>
      <c r="C939" s="665"/>
    </row>
    <row r="940">
      <c r="B940" s="665"/>
      <c r="C940" s="665"/>
    </row>
    <row r="941">
      <c r="B941" s="665"/>
      <c r="C941" s="665"/>
    </row>
    <row r="942">
      <c r="B942" s="665"/>
      <c r="C942" s="665"/>
    </row>
    <row r="943">
      <c r="B943" s="665"/>
      <c r="C943" s="665"/>
    </row>
    <row r="944">
      <c r="B944" s="665"/>
      <c r="C944" s="665"/>
    </row>
    <row r="945">
      <c r="B945" s="665"/>
      <c r="C945" s="665"/>
    </row>
    <row r="946">
      <c r="B946" s="665"/>
      <c r="C946" s="665"/>
    </row>
    <row r="947">
      <c r="B947" s="665"/>
      <c r="C947" s="665"/>
    </row>
    <row r="948">
      <c r="B948" s="665"/>
      <c r="C948" s="665"/>
    </row>
    <row r="949">
      <c r="B949" s="665"/>
      <c r="C949" s="665"/>
    </row>
    <row r="950">
      <c r="B950" s="665"/>
      <c r="C950" s="665"/>
    </row>
    <row r="951">
      <c r="B951" s="665"/>
      <c r="C951" s="665"/>
    </row>
    <row r="952">
      <c r="B952" s="665"/>
      <c r="C952" s="665"/>
    </row>
    <row r="953">
      <c r="B953" s="665"/>
      <c r="C953" s="665"/>
    </row>
    <row r="954">
      <c r="B954" s="665"/>
      <c r="C954" s="665"/>
    </row>
    <row r="955">
      <c r="B955" s="665"/>
      <c r="C955" s="665"/>
    </row>
    <row r="956">
      <c r="B956" s="665"/>
      <c r="C956" s="665"/>
    </row>
    <row r="957">
      <c r="B957" s="665"/>
      <c r="C957" s="665"/>
    </row>
    <row r="958">
      <c r="B958" s="665"/>
      <c r="C958" s="665"/>
    </row>
    <row r="959">
      <c r="B959" s="665"/>
      <c r="C959" s="665"/>
    </row>
    <row r="960">
      <c r="B960" s="665"/>
      <c r="C960" s="665"/>
    </row>
    <row r="961">
      <c r="B961" s="665"/>
      <c r="C961" s="665"/>
    </row>
    <row r="962">
      <c r="B962" s="665"/>
      <c r="C962" s="665"/>
    </row>
    <row r="963">
      <c r="B963" s="665"/>
      <c r="C963" s="665"/>
    </row>
    <row r="964">
      <c r="B964" s="665"/>
      <c r="C964" s="665"/>
    </row>
    <row r="965">
      <c r="B965" s="665"/>
      <c r="C965" s="665"/>
    </row>
    <row r="966">
      <c r="B966" s="665"/>
      <c r="C966" s="665"/>
    </row>
    <row r="967">
      <c r="B967" s="665"/>
      <c r="C967" s="665"/>
    </row>
    <row r="968">
      <c r="B968" s="665"/>
      <c r="C968" s="665"/>
    </row>
    <row r="969">
      <c r="B969" s="665"/>
      <c r="C969" s="665"/>
    </row>
    <row r="970">
      <c r="B970" s="665"/>
      <c r="C970" s="665"/>
    </row>
    <row r="971">
      <c r="B971" s="665"/>
      <c r="C971" s="665"/>
    </row>
    <row r="972">
      <c r="B972" s="665"/>
      <c r="C972" s="665"/>
    </row>
    <row r="973">
      <c r="B973" s="665"/>
      <c r="C973" s="665"/>
    </row>
    <row r="974">
      <c r="B974" s="665"/>
      <c r="C974" s="665"/>
    </row>
    <row r="975">
      <c r="B975" s="665"/>
      <c r="C975" s="665"/>
    </row>
    <row r="976">
      <c r="B976" s="665"/>
      <c r="C976" s="665"/>
    </row>
    <row r="977">
      <c r="B977" s="665"/>
      <c r="C977" s="665"/>
    </row>
    <row r="978">
      <c r="B978" s="665"/>
      <c r="C978" s="665"/>
    </row>
    <row r="979">
      <c r="B979" s="665"/>
      <c r="C979" s="665"/>
    </row>
    <row r="980">
      <c r="B980" s="665"/>
      <c r="C980" s="665"/>
    </row>
    <row r="981">
      <c r="B981" s="665"/>
      <c r="C981" s="665"/>
    </row>
    <row r="982">
      <c r="B982" s="665"/>
      <c r="C982" s="665"/>
    </row>
    <row r="983">
      <c r="B983" s="665"/>
      <c r="C983" s="665"/>
    </row>
    <row r="984">
      <c r="B984" s="665"/>
      <c r="C984" s="665"/>
    </row>
    <row r="985">
      <c r="B985" s="665"/>
      <c r="C985" s="665"/>
    </row>
    <row r="986">
      <c r="B986" s="665"/>
      <c r="C986" s="665"/>
    </row>
    <row r="987">
      <c r="B987" s="665"/>
      <c r="C987" s="665"/>
    </row>
    <row r="988">
      <c r="B988" s="665"/>
      <c r="C988" s="665"/>
    </row>
    <row r="989">
      <c r="B989" s="665"/>
      <c r="C989" s="665"/>
    </row>
    <row r="990">
      <c r="B990" s="665"/>
      <c r="C990" s="665"/>
    </row>
  </sheetData>
  <drawing r:id="rId1"/>
  <tableParts count="1">
    <tablePart r:id="rId3"/>
  </tableParts>
</worksheet>
</file>

<file path=xl/worksheets/sheet4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4.43" defaultRowHeight="15.0"/>
  <cols>
    <col customWidth="1" min="1" max="1" width="5.71"/>
    <col customWidth="1" min="2" max="2" width="10.86"/>
    <col customWidth="1" min="3" max="3" width="18.43"/>
    <col customWidth="1" min="5" max="5" width="30.14"/>
    <col customWidth="1" min="8" max="8" width="11.86"/>
  </cols>
  <sheetData>
    <row r="1">
      <c r="A1" s="669" t="s">
        <v>945</v>
      </c>
      <c r="B1" s="669" t="s">
        <v>2252</v>
      </c>
      <c r="C1" s="669" t="s">
        <v>2253</v>
      </c>
      <c r="D1" s="669" t="s">
        <v>4</v>
      </c>
      <c r="E1" s="669" t="s">
        <v>6</v>
      </c>
      <c r="F1" s="669" t="s">
        <v>358</v>
      </c>
      <c r="G1" s="669" t="s">
        <v>8</v>
      </c>
      <c r="H1" s="669" t="s">
        <v>2254</v>
      </c>
      <c r="I1" s="669" t="s">
        <v>2255</v>
      </c>
      <c r="J1" s="669" t="s">
        <v>2256</v>
      </c>
    </row>
    <row r="2">
      <c r="A2" s="670">
        <v>1.0</v>
      </c>
      <c r="B2" s="670" t="s">
        <v>2257</v>
      </c>
      <c r="C2" s="670" t="s">
        <v>2258</v>
      </c>
      <c r="D2" s="670" t="s">
        <v>2259</v>
      </c>
      <c r="E2" s="670" t="s">
        <v>2260</v>
      </c>
      <c r="F2" s="670">
        <v>48.0</v>
      </c>
      <c r="G2" s="670" t="s">
        <v>43</v>
      </c>
      <c r="H2" s="670" t="s">
        <v>2261</v>
      </c>
      <c r="I2" s="670" t="s">
        <v>2262</v>
      </c>
      <c r="J2" s="671">
        <v>46234.0</v>
      </c>
    </row>
    <row r="3">
      <c r="A3" s="670">
        <v>2.0</v>
      </c>
      <c r="B3" s="670" t="s">
        <v>2257</v>
      </c>
      <c r="C3" s="670" t="s">
        <v>2258</v>
      </c>
      <c r="D3" s="670" t="s">
        <v>2263</v>
      </c>
      <c r="E3" s="670" t="s">
        <v>2264</v>
      </c>
      <c r="F3" s="670">
        <v>36.0</v>
      </c>
      <c r="G3" s="670" t="s">
        <v>43</v>
      </c>
      <c r="H3" s="670" t="s">
        <v>2261</v>
      </c>
      <c r="I3" s="670" t="s">
        <v>2262</v>
      </c>
      <c r="J3" s="671">
        <v>46234.0</v>
      </c>
    </row>
    <row r="4">
      <c r="A4" s="670">
        <v>3.0</v>
      </c>
      <c r="B4" s="670" t="s">
        <v>2257</v>
      </c>
      <c r="C4" s="670" t="s">
        <v>2258</v>
      </c>
      <c r="D4" s="670" t="s">
        <v>2266</v>
      </c>
      <c r="E4" s="670" t="s">
        <v>2267</v>
      </c>
      <c r="F4" s="670">
        <v>35.0</v>
      </c>
      <c r="G4" s="670" t="s">
        <v>43</v>
      </c>
      <c r="H4" s="670" t="s">
        <v>2261</v>
      </c>
      <c r="I4" s="670" t="s">
        <v>2262</v>
      </c>
      <c r="J4" s="671">
        <v>46234.0</v>
      </c>
    </row>
    <row r="5">
      <c r="A5" s="670">
        <v>4.0</v>
      </c>
      <c r="B5" s="670" t="s">
        <v>2257</v>
      </c>
      <c r="C5" s="670" t="s">
        <v>2258</v>
      </c>
      <c r="D5" s="670" t="s">
        <v>2268</v>
      </c>
      <c r="E5" s="670" t="s">
        <v>2269</v>
      </c>
      <c r="F5" s="670">
        <v>26.0</v>
      </c>
      <c r="G5" s="670" t="s">
        <v>43</v>
      </c>
      <c r="H5" s="670" t="s">
        <v>2261</v>
      </c>
      <c r="I5" s="670" t="s">
        <v>2262</v>
      </c>
      <c r="J5" s="671">
        <v>46234.0</v>
      </c>
    </row>
    <row r="6">
      <c r="A6" s="670">
        <v>5.0</v>
      </c>
      <c r="B6" s="670" t="s">
        <v>2257</v>
      </c>
      <c r="C6" s="670" t="s">
        <v>2258</v>
      </c>
      <c r="D6" s="670" t="s">
        <v>2271</v>
      </c>
      <c r="E6" s="670" t="s">
        <v>2272</v>
      </c>
      <c r="F6" s="670">
        <v>26.0</v>
      </c>
      <c r="G6" s="670" t="s">
        <v>43</v>
      </c>
      <c r="H6" s="670" t="s">
        <v>2261</v>
      </c>
      <c r="I6" s="670" t="s">
        <v>2262</v>
      </c>
      <c r="J6" s="671">
        <v>46234.0</v>
      </c>
    </row>
    <row r="7">
      <c r="A7" s="670">
        <v>6.0</v>
      </c>
      <c r="B7" s="670" t="s">
        <v>2257</v>
      </c>
      <c r="C7" s="670" t="s">
        <v>2258</v>
      </c>
      <c r="D7" s="670" t="s">
        <v>2274</v>
      </c>
      <c r="E7" s="670" t="s">
        <v>2275</v>
      </c>
      <c r="F7" s="670">
        <v>39.0</v>
      </c>
      <c r="G7" s="670" t="s">
        <v>43</v>
      </c>
      <c r="H7" s="670" t="s">
        <v>2261</v>
      </c>
      <c r="I7" s="670" t="s">
        <v>2262</v>
      </c>
      <c r="J7" s="671">
        <v>46234.0</v>
      </c>
    </row>
    <row r="8">
      <c r="A8" s="670">
        <v>7.0</v>
      </c>
      <c r="B8" s="670" t="s">
        <v>2257</v>
      </c>
      <c r="C8" s="670" t="s">
        <v>2258</v>
      </c>
      <c r="D8" s="670" t="s">
        <v>2276</v>
      </c>
      <c r="E8" s="670" t="s">
        <v>2277</v>
      </c>
      <c r="F8" s="670">
        <v>29.0</v>
      </c>
      <c r="G8" s="670" t="s">
        <v>43</v>
      </c>
      <c r="H8" s="670" t="s">
        <v>2261</v>
      </c>
      <c r="I8" s="670" t="s">
        <v>2262</v>
      </c>
      <c r="J8" s="671">
        <v>46234.0</v>
      </c>
    </row>
    <row r="9">
      <c r="A9" s="670">
        <v>8.0</v>
      </c>
      <c r="B9" s="670" t="s">
        <v>2257</v>
      </c>
      <c r="C9" s="670" t="s">
        <v>2258</v>
      </c>
      <c r="D9" s="670" t="s">
        <v>2279</v>
      </c>
      <c r="E9" s="670" t="s">
        <v>2280</v>
      </c>
      <c r="F9" s="670">
        <v>21.0</v>
      </c>
      <c r="G9" s="670" t="s">
        <v>43</v>
      </c>
      <c r="H9" s="670" t="s">
        <v>2261</v>
      </c>
      <c r="I9" s="670" t="s">
        <v>2262</v>
      </c>
      <c r="J9" s="671">
        <v>46234.0</v>
      </c>
    </row>
    <row r="10">
      <c r="A10" s="670">
        <v>9.0</v>
      </c>
      <c r="B10" s="670" t="s">
        <v>2257</v>
      </c>
      <c r="C10" s="670" t="s">
        <v>2258</v>
      </c>
      <c r="D10" s="670" t="s">
        <v>2281</v>
      </c>
      <c r="E10" s="670" t="s">
        <v>2282</v>
      </c>
      <c r="F10" s="670">
        <v>46.0</v>
      </c>
      <c r="G10" s="670" t="s">
        <v>43</v>
      </c>
      <c r="H10" s="670" t="s">
        <v>2261</v>
      </c>
      <c r="I10" s="670" t="s">
        <v>2262</v>
      </c>
      <c r="J10" s="671">
        <v>46234.0</v>
      </c>
    </row>
    <row r="11">
      <c r="A11" s="670">
        <v>10.0</v>
      </c>
      <c r="B11" s="670" t="s">
        <v>2257</v>
      </c>
      <c r="C11" s="670" t="s">
        <v>2258</v>
      </c>
      <c r="D11" s="670" t="s">
        <v>2283</v>
      </c>
      <c r="E11" s="670" t="s">
        <v>2284</v>
      </c>
      <c r="F11" s="670">
        <v>70000.0</v>
      </c>
      <c r="G11" s="670" t="s">
        <v>824</v>
      </c>
      <c r="H11" s="670" t="s">
        <v>2261</v>
      </c>
      <c r="I11" s="670" t="s">
        <v>2262</v>
      </c>
      <c r="J11" s="671">
        <v>46234.0</v>
      </c>
    </row>
    <row r="12">
      <c r="A12" s="670">
        <v>11.0</v>
      </c>
      <c r="B12" s="670" t="s">
        <v>2257</v>
      </c>
      <c r="C12" s="670" t="s">
        <v>2258</v>
      </c>
      <c r="D12" s="670" t="s">
        <v>2285</v>
      </c>
      <c r="E12" s="670" t="s">
        <v>2286</v>
      </c>
      <c r="F12" s="670">
        <v>75750.0</v>
      </c>
      <c r="G12" s="670" t="s">
        <v>824</v>
      </c>
      <c r="H12" s="670" t="s">
        <v>2261</v>
      </c>
      <c r="I12" s="670" t="s">
        <v>2262</v>
      </c>
      <c r="J12" s="671">
        <v>46234.0</v>
      </c>
    </row>
    <row r="13">
      <c r="A13" s="670">
        <v>12.0</v>
      </c>
      <c r="B13" s="670" t="s">
        <v>2257</v>
      </c>
      <c r="C13" s="670" t="s">
        <v>2258</v>
      </c>
      <c r="D13" s="670" t="s">
        <v>2287</v>
      </c>
      <c r="E13" s="670" t="s">
        <v>2288</v>
      </c>
      <c r="F13" s="670">
        <v>79000.0</v>
      </c>
      <c r="G13" s="670" t="s">
        <v>824</v>
      </c>
      <c r="H13" s="670" t="s">
        <v>2261</v>
      </c>
      <c r="I13" s="670" t="s">
        <v>2262</v>
      </c>
      <c r="J13" s="671">
        <v>46234.0</v>
      </c>
    </row>
    <row r="14">
      <c r="A14" s="670">
        <v>13.0</v>
      </c>
      <c r="B14" s="670" t="s">
        <v>2257</v>
      </c>
      <c r="C14" s="670" t="s">
        <v>2258</v>
      </c>
      <c r="D14" s="670" t="s">
        <v>2289</v>
      </c>
      <c r="E14" s="670" t="s">
        <v>2291</v>
      </c>
      <c r="F14" s="670">
        <v>83000.0</v>
      </c>
      <c r="G14" s="670" t="s">
        <v>824</v>
      </c>
      <c r="H14" s="670" t="s">
        <v>2261</v>
      </c>
      <c r="I14" s="670" t="s">
        <v>2262</v>
      </c>
      <c r="J14" s="671">
        <v>46234.0</v>
      </c>
    </row>
    <row r="15">
      <c r="A15" s="670">
        <v>14.0</v>
      </c>
      <c r="B15" s="670" t="s">
        <v>2257</v>
      </c>
      <c r="C15" s="670" t="s">
        <v>2258</v>
      </c>
      <c r="D15" s="670" t="s">
        <v>2292</v>
      </c>
      <c r="E15" s="670" t="s">
        <v>2293</v>
      </c>
      <c r="F15" s="670">
        <v>45000.0</v>
      </c>
      <c r="G15" s="670" t="s">
        <v>824</v>
      </c>
      <c r="H15" s="670" t="s">
        <v>2261</v>
      </c>
      <c r="I15" s="670" t="s">
        <v>2262</v>
      </c>
      <c r="J15" s="671">
        <v>46234.0</v>
      </c>
    </row>
    <row r="16">
      <c r="A16" s="670">
        <v>15.0</v>
      </c>
      <c r="B16" s="670" t="s">
        <v>2257</v>
      </c>
      <c r="C16" s="670" t="s">
        <v>2258</v>
      </c>
      <c r="D16" s="670" t="s">
        <v>2294</v>
      </c>
      <c r="E16" s="670" t="s">
        <v>2295</v>
      </c>
      <c r="F16" s="670">
        <v>47250.0</v>
      </c>
      <c r="G16" s="670" t="s">
        <v>824</v>
      </c>
      <c r="H16" s="670" t="s">
        <v>2261</v>
      </c>
      <c r="I16" s="670" t="s">
        <v>2262</v>
      </c>
      <c r="J16" s="671">
        <v>46234.0</v>
      </c>
    </row>
    <row r="17">
      <c r="A17" s="670">
        <v>16.0</v>
      </c>
      <c r="B17" s="670" t="s">
        <v>2257</v>
      </c>
      <c r="C17" s="670" t="s">
        <v>2258</v>
      </c>
      <c r="D17" s="670" t="s">
        <v>2296</v>
      </c>
      <c r="E17" s="670" t="s">
        <v>2297</v>
      </c>
      <c r="F17" s="670">
        <v>1380.0</v>
      </c>
      <c r="G17" s="670" t="s">
        <v>305</v>
      </c>
      <c r="H17" s="670" t="s">
        <v>2261</v>
      </c>
      <c r="I17" s="670" t="s">
        <v>2262</v>
      </c>
      <c r="J17" s="671">
        <v>46234.0</v>
      </c>
    </row>
    <row r="18">
      <c r="A18" s="670">
        <v>17.0</v>
      </c>
      <c r="B18" s="670" t="s">
        <v>2257</v>
      </c>
      <c r="C18" s="670" t="s">
        <v>2258</v>
      </c>
      <c r="D18" s="670" t="s">
        <v>2298</v>
      </c>
      <c r="E18" s="670" t="s">
        <v>2299</v>
      </c>
      <c r="F18" s="670">
        <v>1785.0</v>
      </c>
      <c r="G18" s="670" t="s">
        <v>305</v>
      </c>
      <c r="H18" s="670" t="s">
        <v>2261</v>
      </c>
      <c r="I18" s="670" t="s">
        <v>2262</v>
      </c>
      <c r="J18" s="671">
        <v>46234.0</v>
      </c>
    </row>
    <row r="19">
      <c r="A19" s="670">
        <v>18.0</v>
      </c>
      <c r="B19" s="670" t="s">
        <v>2257</v>
      </c>
      <c r="C19" s="670" t="s">
        <v>2258</v>
      </c>
      <c r="D19" s="670" t="s">
        <v>2300</v>
      </c>
      <c r="E19" s="670" t="s">
        <v>2301</v>
      </c>
      <c r="F19" s="670">
        <v>145.0</v>
      </c>
      <c r="G19" s="670" t="s">
        <v>43</v>
      </c>
      <c r="H19" s="670" t="s">
        <v>2261</v>
      </c>
      <c r="I19" s="670" t="s">
        <v>2262</v>
      </c>
      <c r="J19" s="671">
        <v>46234.0</v>
      </c>
    </row>
    <row r="20">
      <c r="A20" s="670">
        <v>19.0</v>
      </c>
      <c r="B20" s="670" t="s">
        <v>2257</v>
      </c>
      <c r="C20" s="670" t="s">
        <v>2258</v>
      </c>
      <c r="D20" s="670" t="s">
        <v>2302</v>
      </c>
      <c r="E20" s="670" t="s">
        <v>2303</v>
      </c>
      <c r="F20" s="670">
        <v>160.0</v>
      </c>
      <c r="G20" s="670" t="s">
        <v>43</v>
      </c>
      <c r="H20" s="670" t="s">
        <v>2261</v>
      </c>
      <c r="I20" s="670" t="s">
        <v>2262</v>
      </c>
      <c r="J20" s="671">
        <v>46234.0</v>
      </c>
    </row>
    <row r="21">
      <c r="A21" s="670">
        <v>20.0</v>
      </c>
      <c r="B21" s="670" t="s">
        <v>2257</v>
      </c>
      <c r="C21" s="670" t="s">
        <v>2258</v>
      </c>
      <c r="D21" s="670" t="s">
        <v>2304</v>
      </c>
      <c r="E21" s="670" t="s">
        <v>2305</v>
      </c>
      <c r="F21" s="670">
        <v>100.0</v>
      </c>
      <c r="G21" s="670" t="s">
        <v>2306</v>
      </c>
      <c r="H21" s="670" t="s">
        <v>2261</v>
      </c>
      <c r="I21" s="670" t="s">
        <v>2262</v>
      </c>
      <c r="J21" s="671">
        <v>46234.0</v>
      </c>
    </row>
    <row r="22">
      <c r="A22" s="670">
        <v>21.0</v>
      </c>
      <c r="B22" s="670" t="s">
        <v>2257</v>
      </c>
      <c r="C22" s="670" t="s">
        <v>2258</v>
      </c>
      <c r="D22" s="670" t="s">
        <v>2307</v>
      </c>
      <c r="E22" s="670" t="s">
        <v>2308</v>
      </c>
      <c r="F22" s="670">
        <v>80.0</v>
      </c>
      <c r="G22" s="670" t="s">
        <v>2306</v>
      </c>
      <c r="H22" s="670" t="s">
        <v>2261</v>
      </c>
      <c r="I22" s="670" t="s">
        <v>2262</v>
      </c>
      <c r="J22" s="671">
        <v>46234.0</v>
      </c>
    </row>
    <row r="23">
      <c r="A23" s="670">
        <v>22.0</v>
      </c>
      <c r="B23" s="670" t="s">
        <v>2257</v>
      </c>
      <c r="C23" s="670" t="s">
        <v>2258</v>
      </c>
      <c r="D23" s="670" t="s">
        <v>2309</v>
      </c>
      <c r="E23" s="670" t="s">
        <v>2310</v>
      </c>
      <c r="F23" s="670">
        <v>60.0</v>
      </c>
      <c r="G23" s="670" t="s">
        <v>2306</v>
      </c>
      <c r="H23" s="670" t="s">
        <v>2261</v>
      </c>
      <c r="I23" s="670" t="s">
        <v>2262</v>
      </c>
      <c r="J23" s="671">
        <v>46234.0</v>
      </c>
    </row>
    <row r="24">
      <c r="A24" s="670">
        <v>23.0</v>
      </c>
      <c r="B24" s="670" t="s">
        <v>2257</v>
      </c>
      <c r="C24" s="670" t="s">
        <v>2258</v>
      </c>
      <c r="D24" s="670" t="s">
        <v>2311</v>
      </c>
      <c r="E24" s="670" t="s">
        <v>2312</v>
      </c>
      <c r="F24" s="670">
        <v>215.0</v>
      </c>
      <c r="G24" s="670" t="s">
        <v>305</v>
      </c>
      <c r="H24" s="670" t="s">
        <v>2261</v>
      </c>
      <c r="I24" s="670" t="s">
        <v>2262</v>
      </c>
      <c r="J24" s="671">
        <v>46234.0</v>
      </c>
    </row>
    <row r="25">
      <c r="A25" s="670">
        <v>24.0</v>
      </c>
      <c r="B25" s="670" t="s">
        <v>2257</v>
      </c>
      <c r="C25" s="670" t="s">
        <v>2258</v>
      </c>
      <c r="D25" s="670" t="s">
        <v>2313</v>
      </c>
      <c r="E25" s="670" t="s">
        <v>2314</v>
      </c>
      <c r="F25" s="670">
        <v>175.0</v>
      </c>
      <c r="G25" s="670" t="s">
        <v>305</v>
      </c>
      <c r="H25" s="670" t="s">
        <v>2261</v>
      </c>
      <c r="I25" s="670" t="s">
        <v>2262</v>
      </c>
      <c r="J25" s="671">
        <v>46234.0</v>
      </c>
    </row>
    <row r="26">
      <c r="A26" s="670">
        <v>25.0</v>
      </c>
      <c r="B26" s="670" t="s">
        <v>2257</v>
      </c>
      <c r="C26" s="670" t="s">
        <v>2258</v>
      </c>
      <c r="D26" s="670" t="s">
        <v>2315</v>
      </c>
      <c r="E26" s="670" t="s">
        <v>2316</v>
      </c>
      <c r="F26" s="670">
        <v>450.0</v>
      </c>
      <c r="G26" s="670" t="s">
        <v>305</v>
      </c>
      <c r="H26" s="670" t="s">
        <v>2261</v>
      </c>
      <c r="I26" s="670" t="s">
        <v>2262</v>
      </c>
      <c r="J26" s="671">
        <v>46234.0</v>
      </c>
    </row>
    <row r="27">
      <c r="A27" s="670">
        <v>26.0</v>
      </c>
      <c r="B27" s="670" t="s">
        <v>2257</v>
      </c>
      <c r="C27" s="670" t="s">
        <v>2258</v>
      </c>
      <c r="D27" s="670" t="s">
        <v>2317</v>
      </c>
      <c r="E27" s="670" t="s">
        <v>2318</v>
      </c>
      <c r="F27" s="670">
        <v>500.0</v>
      </c>
      <c r="G27" s="670" t="s">
        <v>305</v>
      </c>
      <c r="H27" s="670" t="s">
        <v>2261</v>
      </c>
      <c r="I27" s="670" t="s">
        <v>2262</v>
      </c>
      <c r="J27" s="671">
        <v>46234.0</v>
      </c>
    </row>
    <row r="28">
      <c r="A28" s="670">
        <v>27.0</v>
      </c>
      <c r="B28" s="670" t="s">
        <v>2257</v>
      </c>
      <c r="C28" s="670" t="s">
        <v>2258</v>
      </c>
      <c r="D28" s="670" t="s">
        <v>2319</v>
      </c>
      <c r="E28" s="670" t="s">
        <v>2320</v>
      </c>
      <c r="F28" s="670">
        <v>550.0</v>
      </c>
      <c r="G28" s="670" t="s">
        <v>305</v>
      </c>
      <c r="H28" s="670" t="s">
        <v>2261</v>
      </c>
      <c r="I28" s="670" t="s">
        <v>2262</v>
      </c>
      <c r="J28" s="671">
        <v>46234.0</v>
      </c>
    </row>
    <row r="29">
      <c r="A29" s="670">
        <v>28.0</v>
      </c>
      <c r="B29" s="670" t="s">
        <v>2257</v>
      </c>
      <c r="C29" s="670" t="s">
        <v>2258</v>
      </c>
      <c r="D29" s="670" t="s">
        <v>2321</v>
      </c>
      <c r="E29" s="670" t="s">
        <v>2322</v>
      </c>
      <c r="F29" s="670">
        <v>600.0</v>
      </c>
      <c r="G29" s="670" t="s">
        <v>305</v>
      </c>
      <c r="H29" s="670" t="s">
        <v>2261</v>
      </c>
      <c r="I29" s="670" t="s">
        <v>2262</v>
      </c>
      <c r="J29" s="671">
        <v>46234.0</v>
      </c>
    </row>
    <row r="30">
      <c r="A30" s="670">
        <v>29.0</v>
      </c>
      <c r="B30" s="670" t="s">
        <v>2257</v>
      </c>
      <c r="C30" s="670" t="s">
        <v>2258</v>
      </c>
      <c r="D30" s="670" t="s">
        <v>2323</v>
      </c>
      <c r="E30" s="670" t="s">
        <v>2324</v>
      </c>
      <c r="F30" s="670">
        <v>188.0</v>
      </c>
      <c r="G30" s="670" t="s">
        <v>305</v>
      </c>
      <c r="H30" s="670" t="s">
        <v>2261</v>
      </c>
      <c r="I30" s="670" t="s">
        <v>2262</v>
      </c>
      <c r="J30" s="671">
        <v>46234.0</v>
      </c>
    </row>
    <row r="31">
      <c r="A31" s="670">
        <v>30.0</v>
      </c>
      <c r="B31" s="670" t="s">
        <v>2257</v>
      </c>
      <c r="C31" s="670" t="s">
        <v>2258</v>
      </c>
      <c r="D31" s="670" t="s">
        <v>2325</v>
      </c>
      <c r="E31" s="670" t="s">
        <v>2326</v>
      </c>
      <c r="F31" s="670">
        <v>165.0</v>
      </c>
      <c r="G31" s="670" t="s">
        <v>305</v>
      </c>
      <c r="H31" s="670" t="s">
        <v>2261</v>
      </c>
      <c r="I31" s="670" t="s">
        <v>2262</v>
      </c>
      <c r="J31" s="671">
        <v>46234.0</v>
      </c>
    </row>
    <row r="32">
      <c r="A32" s="670">
        <v>31.0</v>
      </c>
      <c r="B32" s="670" t="s">
        <v>2257</v>
      </c>
      <c r="C32" s="670" t="s">
        <v>2258</v>
      </c>
      <c r="D32" s="670" t="s">
        <v>2327</v>
      </c>
      <c r="E32" s="670" t="s">
        <v>2328</v>
      </c>
      <c r="F32" s="670">
        <v>340.0</v>
      </c>
      <c r="G32" s="670" t="s">
        <v>305</v>
      </c>
      <c r="H32" s="670" t="s">
        <v>2261</v>
      </c>
      <c r="I32" s="670" t="s">
        <v>2262</v>
      </c>
      <c r="J32" s="671">
        <v>46234.0</v>
      </c>
    </row>
    <row r="33">
      <c r="A33" s="670">
        <v>32.0</v>
      </c>
      <c r="B33" s="670" t="s">
        <v>2257</v>
      </c>
      <c r="C33" s="670" t="s">
        <v>2258</v>
      </c>
      <c r="D33" s="670" t="s">
        <v>2329</v>
      </c>
      <c r="E33" s="670" t="s">
        <v>2330</v>
      </c>
      <c r="F33" s="670">
        <v>360.0</v>
      </c>
      <c r="G33" s="670" t="s">
        <v>305</v>
      </c>
      <c r="H33" s="670" t="s">
        <v>2261</v>
      </c>
      <c r="I33" s="670" t="s">
        <v>2262</v>
      </c>
      <c r="J33" s="671">
        <v>46234.0</v>
      </c>
    </row>
    <row r="34">
      <c r="A34" s="670">
        <v>33.0</v>
      </c>
      <c r="B34" s="670" t="s">
        <v>2257</v>
      </c>
      <c r="C34" s="670" t="s">
        <v>2258</v>
      </c>
      <c r="D34" s="670" t="s">
        <v>2331</v>
      </c>
      <c r="E34" s="670" t="s">
        <v>2332</v>
      </c>
      <c r="F34" s="670">
        <v>55.0</v>
      </c>
      <c r="G34" s="670" t="s">
        <v>43</v>
      </c>
      <c r="H34" s="670" t="s">
        <v>2261</v>
      </c>
      <c r="I34" s="670" t="s">
        <v>2262</v>
      </c>
      <c r="J34" s="671">
        <v>46234.0</v>
      </c>
    </row>
    <row r="35">
      <c r="A35" s="670">
        <v>34.0</v>
      </c>
      <c r="B35" s="670" t="s">
        <v>2257</v>
      </c>
      <c r="C35" s="670" t="s">
        <v>2258</v>
      </c>
      <c r="D35" s="670" t="s">
        <v>2333</v>
      </c>
      <c r="E35" s="670" t="s">
        <v>2334</v>
      </c>
      <c r="F35" s="670">
        <v>70.0</v>
      </c>
      <c r="G35" s="670" t="s">
        <v>43</v>
      </c>
      <c r="H35" s="670" t="s">
        <v>2261</v>
      </c>
      <c r="I35" s="670" t="s">
        <v>2262</v>
      </c>
      <c r="J35" s="671">
        <v>46234.0</v>
      </c>
    </row>
    <row r="36">
      <c r="A36" s="670">
        <v>35.0</v>
      </c>
      <c r="B36" s="670" t="s">
        <v>2257</v>
      </c>
      <c r="C36" s="670" t="s">
        <v>2258</v>
      </c>
      <c r="D36" s="670" t="s">
        <v>2335</v>
      </c>
      <c r="E36" s="670" t="s">
        <v>2336</v>
      </c>
      <c r="F36" s="670">
        <v>105.0</v>
      </c>
      <c r="G36" s="670" t="s">
        <v>43</v>
      </c>
      <c r="H36" s="670" t="s">
        <v>2261</v>
      </c>
      <c r="I36" s="670" t="s">
        <v>2262</v>
      </c>
      <c r="J36" s="671">
        <v>46234.0</v>
      </c>
    </row>
    <row r="37">
      <c r="A37" s="670">
        <v>36.0</v>
      </c>
      <c r="B37" s="670" t="s">
        <v>2257</v>
      </c>
      <c r="C37" s="670" t="s">
        <v>2258</v>
      </c>
      <c r="D37" s="670" t="s">
        <v>2337</v>
      </c>
      <c r="E37" s="670" t="s">
        <v>2338</v>
      </c>
      <c r="F37" s="670">
        <v>650.0</v>
      </c>
      <c r="G37" s="670" t="s">
        <v>43</v>
      </c>
      <c r="H37" s="670" t="s">
        <v>2261</v>
      </c>
      <c r="I37" s="670" t="s">
        <v>2262</v>
      </c>
      <c r="J37" s="671">
        <v>46234.0</v>
      </c>
    </row>
    <row r="38">
      <c r="A38" s="670">
        <v>37.0</v>
      </c>
      <c r="B38" s="670" t="s">
        <v>2257</v>
      </c>
      <c r="C38" s="670" t="s">
        <v>2258</v>
      </c>
      <c r="D38" s="670" t="s">
        <v>2339</v>
      </c>
      <c r="E38" s="670" t="s">
        <v>2340</v>
      </c>
      <c r="F38" s="670">
        <v>1100.0</v>
      </c>
      <c r="G38" s="670" t="s">
        <v>43</v>
      </c>
      <c r="H38" s="670" t="s">
        <v>2261</v>
      </c>
      <c r="I38" s="670" t="s">
        <v>2262</v>
      </c>
      <c r="J38" s="671">
        <v>46234.0</v>
      </c>
    </row>
    <row r="39">
      <c r="A39" s="670">
        <v>38.0</v>
      </c>
      <c r="B39" s="670" t="s">
        <v>2257</v>
      </c>
      <c r="C39" s="670" t="s">
        <v>2258</v>
      </c>
      <c r="D39" s="670" t="s">
        <v>1677</v>
      </c>
      <c r="E39" s="670" t="s">
        <v>2341</v>
      </c>
      <c r="F39" s="670">
        <v>38.0</v>
      </c>
      <c r="G39" s="670" t="s">
        <v>22</v>
      </c>
      <c r="H39" s="670" t="s">
        <v>2261</v>
      </c>
      <c r="I39" s="670" t="s">
        <v>2262</v>
      </c>
      <c r="J39" s="671">
        <v>46234.0</v>
      </c>
    </row>
    <row r="40">
      <c r="A40" s="670">
        <v>39.0</v>
      </c>
      <c r="B40" s="670" t="s">
        <v>2257</v>
      </c>
      <c r="C40" s="670" t="s">
        <v>2258</v>
      </c>
      <c r="D40" s="670" t="s">
        <v>1701</v>
      </c>
      <c r="E40" s="670" t="s">
        <v>2342</v>
      </c>
      <c r="F40" s="670">
        <v>27.0</v>
      </c>
      <c r="G40" s="670" t="s">
        <v>22</v>
      </c>
      <c r="H40" s="670" t="s">
        <v>2261</v>
      </c>
      <c r="I40" s="670" t="s">
        <v>2262</v>
      </c>
      <c r="J40" s="671">
        <v>46234.0</v>
      </c>
    </row>
    <row r="41">
      <c r="A41" s="670">
        <v>40.0</v>
      </c>
      <c r="B41" s="670" t="s">
        <v>2257</v>
      </c>
      <c r="C41" s="670" t="s">
        <v>2258</v>
      </c>
      <c r="D41" s="670" t="s">
        <v>1712</v>
      </c>
      <c r="E41" s="670" t="s">
        <v>2343</v>
      </c>
      <c r="F41" s="670">
        <v>40.0</v>
      </c>
      <c r="G41" s="670" t="s">
        <v>22</v>
      </c>
      <c r="H41" s="670" t="s">
        <v>2261</v>
      </c>
      <c r="I41" s="670" t="s">
        <v>2262</v>
      </c>
      <c r="J41" s="671">
        <v>46234.0</v>
      </c>
    </row>
    <row r="42">
      <c r="A42" s="670">
        <v>41.0</v>
      </c>
      <c r="B42" s="670" t="s">
        <v>2257</v>
      </c>
      <c r="C42" s="670" t="s">
        <v>2258</v>
      </c>
      <c r="D42" s="670" t="s">
        <v>1719</v>
      </c>
      <c r="E42" s="670" t="s">
        <v>2344</v>
      </c>
      <c r="F42" s="670">
        <v>30.0</v>
      </c>
      <c r="G42" s="670" t="s">
        <v>22</v>
      </c>
      <c r="H42" s="670" t="s">
        <v>2261</v>
      </c>
      <c r="I42" s="670" t="s">
        <v>2262</v>
      </c>
      <c r="J42" s="671">
        <v>46234.0</v>
      </c>
    </row>
    <row r="43">
      <c r="A43" s="670">
        <v>42.0</v>
      </c>
      <c r="B43" s="670" t="s">
        <v>2257</v>
      </c>
      <c r="C43" s="670" t="s">
        <v>2258</v>
      </c>
      <c r="D43" s="670" t="s">
        <v>1730</v>
      </c>
      <c r="E43" s="670" t="s">
        <v>2345</v>
      </c>
      <c r="F43" s="670">
        <v>61.0</v>
      </c>
      <c r="G43" s="670" t="s">
        <v>22</v>
      </c>
      <c r="H43" s="670" t="s">
        <v>2261</v>
      </c>
      <c r="I43" s="670" t="s">
        <v>2262</v>
      </c>
      <c r="J43" s="671">
        <v>46234.0</v>
      </c>
    </row>
    <row r="44">
      <c r="A44" s="670">
        <v>43.0</v>
      </c>
      <c r="B44" s="670" t="s">
        <v>2257</v>
      </c>
      <c r="C44" s="670" t="s">
        <v>2258</v>
      </c>
      <c r="D44" s="670" t="s">
        <v>1739</v>
      </c>
      <c r="E44" s="670" t="s">
        <v>1785</v>
      </c>
      <c r="F44" s="670">
        <v>48.0</v>
      </c>
      <c r="G44" s="670" t="s">
        <v>22</v>
      </c>
      <c r="H44" s="670" t="s">
        <v>2261</v>
      </c>
      <c r="I44" s="670" t="s">
        <v>2262</v>
      </c>
      <c r="J44" s="671">
        <v>46234.0</v>
      </c>
    </row>
    <row r="45">
      <c r="A45" s="670">
        <v>44.0</v>
      </c>
      <c r="B45" s="670" t="s">
        <v>2257</v>
      </c>
      <c r="C45" s="670" t="s">
        <v>2258</v>
      </c>
      <c r="D45" s="670" t="s">
        <v>1751</v>
      </c>
      <c r="E45" s="670" t="s">
        <v>2346</v>
      </c>
      <c r="F45" s="670">
        <v>65.0</v>
      </c>
      <c r="G45" s="670" t="s">
        <v>22</v>
      </c>
      <c r="H45" s="670" t="s">
        <v>2261</v>
      </c>
      <c r="I45" s="670" t="s">
        <v>2262</v>
      </c>
      <c r="J45" s="671">
        <v>46234.0</v>
      </c>
    </row>
    <row r="46">
      <c r="A46" s="670">
        <v>45.0</v>
      </c>
      <c r="B46" s="670" t="s">
        <v>2257</v>
      </c>
      <c r="C46" s="670" t="s">
        <v>2258</v>
      </c>
      <c r="D46" s="670" t="s">
        <v>1797</v>
      </c>
      <c r="E46" s="670" t="s">
        <v>2348</v>
      </c>
      <c r="F46" s="670">
        <v>52.0</v>
      </c>
      <c r="G46" s="670" t="s">
        <v>22</v>
      </c>
      <c r="H46" s="670" t="s">
        <v>2261</v>
      </c>
      <c r="I46" s="670" t="s">
        <v>2262</v>
      </c>
      <c r="J46" s="671">
        <v>46234.0</v>
      </c>
    </row>
    <row r="47">
      <c r="A47" s="670">
        <v>46.0</v>
      </c>
      <c r="B47" s="670" t="s">
        <v>2257</v>
      </c>
      <c r="C47" s="670" t="s">
        <v>2258</v>
      </c>
      <c r="D47" s="670" t="s">
        <v>1770</v>
      </c>
      <c r="E47" s="670" t="s">
        <v>2349</v>
      </c>
      <c r="F47" s="670">
        <v>84.0</v>
      </c>
      <c r="G47" s="670" t="s">
        <v>22</v>
      </c>
      <c r="H47" s="670" t="s">
        <v>2261</v>
      </c>
      <c r="I47" s="670" t="s">
        <v>2262</v>
      </c>
      <c r="J47" s="671">
        <v>46234.0</v>
      </c>
    </row>
    <row r="48">
      <c r="A48" s="670">
        <v>47.0</v>
      </c>
      <c r="B48" s="670" t="s">
        <v>2257</v>
      </c>
      <c r="C48" s="670" t="s">
        <v>2258</v>
      </c>
      <c r="D48" s="670" t="s">
        <v>1781</v>
      </c>
      <c r="E48" s="670" t="s">
        <v>2351</v>
      </c>
      <c r="F48" s="670">
        <v>53.0</v>
      </c>
      <c r="G48" s="670" t="s">
        <v>22</v>
      </c>
      <c r="H48" s="670" t="s">
        <v>2261</v>
      </c>
      <c r="I48" s="670" t="s">
        <v>2262</v>
      </c>
      <c r="J48" s="671">
        <v>46234.0</v>
      </c>
    </row>
    <row r="49">
      <c r="A49" s="670">
        <v>48.0</v>
      </c>
      <c r="B49" s="670" t="s">
        <v>2257</v>
      </c>
      <c r="C49" s="670" t="s">
        <v>2258</v>
      </c>
      <c r="D49" s="670" t="s">
        <v>1789</v>
      </c>
      <c r="E49" s="670" t="s">
        <v>2352</v>
      </c>
      <c r="F49" s="670">
        <v>90.0</v>
      </c>
      <c r="G49" s="670" t="s">
        <v>22</v>
      </c>
      <c r="H49" s="670" t="s">
        <v>2261</v>
      </c>
      <c r="I49" s="670" t="s">
        <v>2262</v>
      </c>
      <c r="J49" s="671">
        <v>46234.0</v>
      </c>
    </row>
    <row r="50">
      <c r="A50" s="670">
        <v>49.0</v>
      </c>
      <c r="B50" s="670" t="s">
        <v>2257</v>
      </c>
      <c r="C50" s="670" t="s">
        <v>2258</v>
      </c>
      <c r="D50" s="670" t="s">
        <v>1799</v>
      </c>
      <c r="E50" s="670" t="s">
        <v>2353</v>
      </c>
      <c r="F50" s="670">
        <v>60.0</v>
      </c>
      <c r="G50" s="670" t="s">
        <v>22</v>
      </c>
      <c r="H50" s="670" t="s">
        <v>2261</v>
      </c>
      <c r="I50" s="670" t="s">
        <v>2262</v>
      </c>
      <c r="J50" s="671">
        <v>46234.0</v>
      </c>
    </row>
    <row r="51">
      <c r="A51" s="670">
        <v>50.0</v>
      </c>
      <c r="B51" s="670" t="s">
        <v>2257</v>
      </c>
      <c r="C51" s="670" t="s">
        <v>2258</v>
      </c>
      <c r="D51" s="670" t="s">
        <v>1810</v>
      </c>
      <c r="E51" s="670" t="s">
        <v>2354</v>
      </c>
      <c r="F51" s="670">
        <v>118.0</v>
      </c>
      <c r="G51" s="670" t="s">
        <v>22</v>
      </c>
      <c r="H51" s="670" t="s">
        <v>2261</v>
      </c>
      <c r="I51" s="670" t="s">
        <v>2262</v>
      </c>
      <c r="J51" s="671">
        <v>46234.0</v>
      </c>
    </row>
    <row r="52">
      <c r="A52" s="670">
        <v>51.0</v>
      </c>
      <c r="B52" s="670" t="s">
        <v>2257</v>
      </c>
      <c r="C52" s="670" t="s">
        <v>2258</v>
      </c>
      <c r="D52" s="670" t="s">
        <v>1824</v>
      </c>
      <c r="E52" s="670" t="s">
        <v>2355</v>
      </c>
      <c r="F52" s="670">
        <v>83.0</v>
      </c>
      <c r="G52" s="670" t="s">
        <v>22</v>
      </c>
      <c r="H52" s="670" t="s">
        <v>2261</v>
      </c>
      <c r="I52" s="670" t="s">
        <v>2262</v>
      </c>
      <c r="J52" s="671">
        <v>46234.0</v>
      </c>
    </row>
    <row r="53">
      <c r="A53" s="670">
        <v>52.0</v>
      </c>
      <c r="B53" s="670" t="s">
        <v>2257</v>
      </c>
      <c r="C53" s="670" t="s">
        <v>2258</v>
      </c>
      <c r="D53" s="670" t="s">
        <v>1830</v>
      </c>
      <c r="E53" s="670" t="s">
        <v>2356</v>
      </c>
      <c r="F53" s="670">
        <v>129.0</v>
      </c>
      <c r="G53" s="670" t="s">
        <v>22</v>
      </c>
      <c r="H53" s="670" t="s">
        <v>2261</v>
      </c>
      <c r="I53" s="670" t="s">
        <v>2262</v>
      </c>
      <c r="J53" s="671">
        <v>46234.0</v>
      </c>
    </row>
    <row r="54">
      <c r="A54" s="670">
        <v>53.0</v>
      </c>
      <c r="B54" s="670" t="s">
        <v>2257</v>
      </c>
      <c r="C54" s="670" t="s">
        <v>2258</v>
      </c>
      <c r="D54" s="670" t="s">
        <v>1841</v>
      </c>
      <c r="E54" s="670" t="s">
        <v>2357</v>
      </c>
      <c r="F54" s="670">
        <v>95.0</v>
      </c>
      <c r="G54" s="670" t="s">
        <v>22</v>
      </c>
      <c r="H54" s="670" t="s">
        <v>2261</v>
      </c>
      <c r="I54" s="670" t="s">
        <v>2262</v>
      </c>
      <c r="J54" s="671">
        <v>46234.0</v>
      </c>
    </row>
    <row r="55">
      <c r="A55" s="670">
        <v>54.0</v>
      </c>
      <c r="B55" s="670" t="s">
        <v>2257</v>
      </c>
      <c r="C55" s="670" t="s">
        <v>2258</v>
      </c>
      <c r="D55" s="670" t="s">
        <v>1844</v>
      </c>
      <c r="E55" s="670" t="s">
        <v>2358</v>
      </c>
      <c r="F55" s="670">
        <v>211.0</v>
      </c>
      <c r="G55" s="670" t="s">
        <v>22</v>
      </c>
      <c r="H55" s="670" t="s">
        <v>2261</v>
      </c>
      <c r="I55" s="670" t="s">
        <v>2262</v>
      </c>
      <c r="J55" s="671">
        <v>46234.0</v>
      </c>
    </row>
    <row r="56">
      <c r="A56" s="670">
        <v>55.0</v>
      </c>
      <c r="B56" s="670" t="s">
        <v>2257</v>
      </c>
      <c r="C56" s="670" t="s">
        <v>2258</v>
      </c>
      <c r="D56" s="670" t="s">
        <v>812</v>
      </c>
      <c r="E56" s="670" t="s">
        <v>2359</v>
      </c>
      <c r="F56" s="670">
        <v>170.0</v>
      </c>
      <c r="G56" s="670" t="s">
        <v>22</v>
      </c>
      <c r="H56" s="670" t="s">
        <v>2261</v>
      </c>
      <c r="I56" s="670" t="s">
        <v>2262</v>
      </c>
      <c r="J56" s="671">
        <v>46234.0</v>
      </c>
    </row>
    <row r="57">
      <c r="A57" s="670">
        <v>56.0</v>
      </c>
      <c r="B57" s="670" t="s">
        <v>2257</v>
      </c>
      <c r="C57" s="670" t="s">
        <v>2258</v>
      </c>
      <c r="D57" s="670" t="s">
        <v>1850</v>
      </c>
      <c r="E57" s="670" t="s">
        <v>2360</v>
      </c>
      <c r="F57" s="670">
        <v>520.0</v>
      </c>
      <c r="G57" s="670" t="s">
        <v>22</v>
      </c>
      <c r="H57" s="670" t="s">
        <v>2261</v>
      </c>
      <c r="I57" s="670" t="s">
        <v>2262</v>
      </c>
      <c r="J57" s="671">
        <v>46234.0</v>
      </c>
    </row>
    <row r="58">
      <c r="A58" s="670">
        <v>57.0</v>
      </c>
      <c r="B58" s="670" t="s">
        <v>2257</v>
      </c>
      <c r="C58" s="670" t="s">
        <v>2258</v>
      </c>
      <c r="D58" s="670" t="s">
        <v>1866</v>
      </c>
      <c r="E58" s="670" t="s">
        <v>1867</v>
      </c>
      <c r="F58" s="670">
        <v>30.0</v>
      </c>
      <c r="G58" s="670" t="s">
        <v>43</v>
      </c>
      <c r="H58" s="670" t="s">
        <v>2261</v>
      </c>
      <c r="I58" s="670" t="s">
        <v>2262</v>
      </c>
      <c r="J58" s="671">
        <v>46234.0</v>
      </c>
    </row>
    <row r="59">
      <c r="A59" s="670">
        <v>58.0</v>
      </c>
      <c r="B59" s="670" t="s">
        <v>2257</v>
      </c>
      <c r="C59" s="670" t="s">
        <v>2258</v>
      </c>
      <c r="D59" s="670" t="s">
        <v>1883</v>
      </c>
      <c r="E59" s="670" t="s">
        <v>1884</v>
      </c>
      <c r="F59" s="670">
        <v>22.0</v>
      </c>
      <c r="G59" s="670" t="s">
        <v>43</v>
      </c>
      <c r="H59" s="670" t="s">
        <v>2261</v>
      </c>
      <c r="I59" s="670" t="s">
        <v>2262</v>
      </c>
      <c r="J59" s="671">
        <v>46234.0</v>
      </c>
    </row>
    <row r="60">
      <c r="A60" s="670">
        <v>59.0</v>
      </c>
      <c r="B60" s="670" t="s">
        <v>2257</v>
      </c>
      <c r="C60" s="670" t="s">
        <v>2258</v>
      </c>
      <c r="D60" s="670" t="s">
        <v>1897</v>
      </c>
      <c r="E60" s="670" t="s">
        <v>2361</v>
      </c>
      <c r="F60" s="670">
        <v>36.0</v>
      </c>
      <c r="G60" s="670" t="s">
        <v>43</v>
      </c>
      <c r="H60" s="670" t="s">
        <v>2261</v>
      </c>
      <c r="I60" s="670" t="s">
        <v>2262</v>
      </c>
      <c r="J60" s="671">
        <v>46234.0</v>
      </c>
    </row>
    <row r="61">
      <c r="A61" s="670">
        <v>60.0</v>
      </c>
      <c r="B61" s="670" t="s">
        <v>2257</v>
      </c>
      <c r="C61" s="670" t="s">
        <v>2258</v>
      </c>
      <c r="D61" s="670" t="s">
        <v>1735</v>
      </c>
      <c r="E61" s="670" t="s">
        <v>1736</v>
      </c>
      <c r="F61" s="670">
        <v>35.0</v>
      </c>
      <c r="G61" s="670" t="s">
        <v>43</v>
      </c>
      <c r="H61" s="670" t="s">
        <v>2261</v>
      </c>
      <c r="I61" s="670" t="s">
        <v>2262</v>
      </c>
      <c r="J61" s="671">
        <v>46234.0</v>
      </c>
    </row>
    <row r="62">
      <c r="A62" s="670">
        <v>61.0</v>
      </c>
      <c r="B62" s="670" t="s">
        <v>2257</v>
      </c>
      <c r="C62" s="670" t="s">
        <v>2258</v>
      </c>
      <c r="D62" s="670" t="s">
        <v>1775</v>
      </c>
      <c r="E62" s="670" t="s">
        <v>1776</v>
      </c>
      <c r="F62" s="670">
        <v>39.0</v>
      </c>
      <c r="G62" s="670" t="s">
        <v>43</v>
      </c>
      <c r="H62" s="670" t="s">
        <v>2261</v>
      </c>
      <c r="I62" s="670" t="s">
        <v>2262</v>
      </c>
      <c r="J62" s="671">
        <v>46234.0</v>
      </c>
    </row>
    <row r="63">
      <c r="A63" s="670">
        <v>62.0</v>
      </c>
      <c r="B63" s="670" t="s">
        <v>2257</v>
      </c>
      <c r="C63" s="670" t="s">
        <v>2258</v>
      </c>
      <c r="D63" s="670" t="s">
        <v>1817</v>
      </c>
      <c r="E63" s="670" t="s">
        <v>2362</v>
      </c>
      <c r="F63" s="670">
        <v>46.0</v>
      </c>
      <c r="G63" s="670" t="s">
        <v>43</v>
      </c>
      <c r="H63" s="670" t="s">
        <v>2261</v>
      </c>
      <c r="I63" s="670" t="s">
        <v>2262</v>
      </c>
      <c r="J63" s="671">
        <v>46234.0</v>
      </c>
    </row>
    <row r="64">
      <c r="A64" s="670">
        <v>63.0</v>
      </c>
      <c r="B64" s="670" t="s">
        <v>2257</v>
      </c>
      <c r="C64" s="670" t="s">
        <v>2258</v>
      </c>
      <c r="D64" s="670" t="s">
        <v>2363</v>
      </c>
      <c r="E64" s="670" t="s">
        <v>2364</v>
      </c>
      <c r="F64" s="670">
        <v>33.0</v>
      </c>
      <c r="G64" s="670" t="s">
        <v>43</v>
      </c>
      <c r="H64" s="670" t="s">
        <v>2261</v>
      </c>
      <c r="I64" s="670" t="s">
        <v>2262</v>
      </c>
      <c r="J64" s="671">
        <v>46234.0</v>
      </c>
    </row>
    <row r="65">
      <c r="A65" s="670">
        <v>64.0</v>
      </c>
      <c r="B65" s="670" t="s">
        <v>2257</v>
      </c>
      <c r="C65" s="670" t="s">
        <v>2258</v>
      </c>
      <c r="D65" s="670" t="s">
        <v>2033</v>
      </c>
      <c r="E65" s="670" t="s">
        <v>2034</v>
      </c>
      <c r="F65" s="670">
        <v>19.0</v>
      </c>
      <c r="G65" s="670" t="s">
        <v>43</v>
      </c>
      <c r="H65" s="670" t="s">
        <v>2261</v>
      </c>
      <c r="I65" s="670" t="s">
        <v>2262</v>
      </c>
      <c r="J65" s="671">
        <v>46234.0</v>
      </c>
    </row>
    <row r="66">
      <c r="A66" s="670">
        <v>65.0</v>
      </c>
      <c r="B66" s="670" t="s">
        <v>2257</v>
      </c>
      <c r="C66" s="670" t="s">
        <v>2258</v>
      </c>
      <c r="D66" s="670" t="s">
        <v>1689</v>
      </c>
      <c r="E66" s="670" t="s">
        <v>1690</v>
      </c>
      <c r="F66" s="670">
        <v>24.0</v>
      </c>
      <c r="G66" s="670" t="s">
        <v>43</v>
      </c>
      <c r="H66" s="670" t="s">
        <v>2261</v>
      </c>
      <c r="I66" s="670" t="s">
        <v>2262</v>
      </c>
      <c r="J66" s="671">
        <v>46234.0</v>
      </c>
    </row>
    <row r="67">
      <c r="A67" s="670">
        <v>66.0</v>
      </c>
      <c r="B67" s="670" t="s">
        <v>2257</v>
      </c>
      <c r="C67" s="670" t="s">
        <v>2258</v>
      </c>
      <c r="D67" s="670" t="s">
        <v>2088</v>
      </c>
      <c r="E67" s="670" t="s">
        <v>2090</v>
      </c>
      <c r="F67" s="670">
        <v>22.0</v>
      </c>
      <c r="G67" s="670" t="s">
        <v>43</v>
      </c>
      <c r="H67" s="670" t="s">
        <v>2261</v>
      </c>
      <c r="I67" s="670" t="s">
        <v>2262</v>
      </c>
      <c r="J67" s="671">
        <v>46234.0</v>
      </c>
    </row>
    <row r="68">
      <c r="A68" s="670">
        <v>67.0</v>
      </c>
      <c r="B68" s="670" t="s">
        <v>2257</v>
      </c>
      <c r="C68" s="670" t="s">
        <v>2258</v>
      </c>
      <c r="D68" s="670" t="s">
        <v>1908</v>
      </c>
      <c r="E68" s="670" t="s">
        <v>1909</v>
      </c>
      <c r="F68" s="670">
        <v>49.0</v>
      </c>
      <c r="G68" s="670" t="s">
        <v>43</v>
      </c>
      <c r="H68" s="670" t="s">
        <v>2261</v>
      </c>
      <c r="I68" s="670" t="s">
        <v>2262</v>
      </c>
      <c r="J68" s="671">
        <v>46234.0</v>
      </c>
    </row>
    <row r="69">
      <c r="A69" s="670">
        <v>68.0</v>
      </c>
      <c r="B69" s="670" t="s">
        <v>2257</v>
      </c>
      <c r="C69" s="670" t="s">
        <v>2258</v>
      </c>
      <c r="D69" s="670" t="s">
        <v>1916</v>
      </c>
      <c r="E69" s="670" t="s">
        <v>1917</v>
      </c>
      <c r="F69" s="670">
        <v>28.0</v>
      </c>
      <c r="G69" s="670" t="s">
        <v>43</v>
      </c>
      <c r="H69" s="670" t="s">
        <v>2261</v>
      </c>
      <c r="I69" s="670" t="s">
        <v>2262</v>
      </c>
      <c r="J69" s="671">
        <v>46234.0</v>
      </c>
    </row>
    <row r="70">
      <c r="A70" s="670">
        <v>69.0</v>
      </c>
      <c r="B70" s="670" t="s">
        <v>2257</v>
      </c>
      <c r="C70" s="670" t="s">
        <v>2258</v>
      </c>
      <c r="D70" s="670" t="s">
        <v>1981</v>
      </c>
      <c r="E70" s="670" t="s">
        <v>2365</v>
      </c>
      <c r="F70" s="670">
        <v>49.0</v>
      </c>
      <c r="G70" s="670" t="s">
        <v>43</v>
      </c>
      <c r="H70" s="670" t="s">
        <v>2261</v>
      </c>
      <c r="I70" s="670" t="s">
        <v>2262</v>
      </c>
      <c r="J70" s="671">
        <v>46234.0</v>
      </c>
    </row>
    <row r="71">
      <c r="A71" s="670">
        <v>70.0</v>
      </c>
      <c r="B71" s="670" t="s">
        <v>2257</v>
      </c>
      <c r="C71" s="670" t="s">
        <v>2258</v>
      </c>
      <c r="D71" s="670" t="s">
        <v>1747</v>
      </c>
      <c r="E71" s="670" t="s">
        <v>1748</v>
      </c>
      <c r="F71" s="670">
        <v>43.0</v>
      </c>
      <c r="G71" s="670" t="s">
        <v>43</v>
      </c>
      <c r="H71" s="670" t="s">
        <v>2261</v>
      </c>
      <c r="I71" s="670" t="s">
        <v>2262</v>
      </c>
      <c r="J71" s="671">
        <v>46234.0</v>
      </c>
    </row>
    <row r="72">
      <c r="A72" s="670">
        <v>71.0</v>
      </c>
      <c r="B72" s="670" t="s">
        <v>2257</v>
      </c>
      <c r="C72" s="670" t="s">
        <v>2258</v>
      </c>
      <c r="D72" s="670" t="s">
        <v>1791</v>
      </c>
      <c r="E72" s="670" t="s">
        <v>1792</v>
      </c>
      <c r="F72" s="670">
        <v>47.0</v>
      </c>
      <c r="G72" s="670" t="s">
        <v>43</v>
      </c>
      <c r="H72" s="670" t="s">
        <v>2261</v>
      </c>
      <c r="I72" s="670" t="s">
        <v>2262</v>
      </c>
      <c r="J72" s="671">
        <v>46234.0</v>
      </c>
    </row>
    <row r="73">
      <c r="A73" s="670">
        <v>72.0</v>
      </c>
      <c r="B73" s="670" t="s">
        <v>2257</v>
      </c>
      <c r="C73" s="670" t="s">
        <v>2258</v>
      </c>
      <c r="D73" s="670" t="s">
        <v>1834</v>
      </c>
      <c r="E73" s="670" t="s">
        <v>2366</v>
      </c>
      <c r="F73" s="670">
        <v>57.0</v>
      </c>
      <c r="G73" s="670" t="s">
        <v>43</v>
      </c>
      <c r="H73" s="670" t="s">
        <v>2261</v>
      </c>
      <c r="I73" s="670" t="s">
        <v>2262</v>
      </c>
      <c r="J73" s="671">
        <v>46234.0</v>
      </c>
    </row>
    <row r="74">
      <c r="A74" s="670">
        <v>73.0</v>
      </c>
      <c r="B74" s="670" t="s">
        <v>2257</v>
      </c>
      <c r="C74" s="670" t="s">
        <v>2258</v>
      </c>
      <c r="D74" s="670" t="s">
        <v>2367</v>
      </c>
      <c r="E74" s="670" t="s">
        <v>2368</v>
      </c>
      <c r="F74" s="670">
        <v>42.0</v>
      </c>
      <c r="G74" s="670" t="s">
        <v>43</v>
      </c>
      <c r="H74" s="670" t="s">
        <v>2261</v>
      </c>
      <c r="I74" s="670" t="s">
        <v>2262</v>
      </c>
      <c r="J74" s="671">
        <v>46234.0</v>
      </c>
    </row>
    <row r="75">
      <c r="A75" s="670">
        <v>74.0</v>
      </c>
      <c r="B75" s="670" t="s">
        <v>2257</v>
      </c>
      <c r="C75" s="670" t="s">
        <v>2258</v>
      </c>
      <c r="D75" s="670" t="s">
        <v>2047</v>
      </c>
      <c r="E75" s="670" t="s">
        <v>2048</v>
      </c>
      <c r="F75" s="670">
        <v>23.0</v>
      </c>
      <c r="G75" s="670" t="s">
        <v>43</v>
      </c>
      <c r="H75" s="670" t="s">
        <v>2261</v>
      </c>
      <c r="I75" s="670" t="s">
        <v>2262</v>
      </c>
      <c r="J75" s="671">
        <v>46234.0</v>
      </c>
    </row>
    <row r="76">
      <c r="A76" s="670">
        <v>75.0</v>
      </c>
      <c r="B76" s="670" t="s">
        <v>2257</v>
      </c>
      <c r="C76" s="670" t="s">
        <v>2258</v>
      </c>
      <c r="D76" s="670" t="s">
        <v>1710</v>
      </c>
      <c r="E76" s="670" t="s">
        <v>1711</v>
      </c>
      <c r="F76" s="670">
        <v>30.0</v>
      </c>
      <c r="G76" s="670" t="s">
        <v>43</v>
      </c>
      <c r="H76" s="670" t="s">
        <v>2261</v>
      </c>
      <c r="I76" s="670" t="s">
        <v>2262</v>
      </c>
      <c r="J76" s="671">
        <v>46234.0</v>
      </c>
    </row>
    <row r="77">
      <c r="A77" s="670">
        <v>76.0</v>
      </c>
      <c r="B77" s="670" t="s">
        <v>2257</v>
      </c>
      <c r="C77" s="670" t="s">
        <v>2258</v>
      </c>
      <c r="D77" s="670" t="s">
        <v>2101</v>
      </c>
      <c r="E77" s="670" t="s">
        <v>2102</v>
      </c>
      <c r="F77" s="670">
        <v>28.0</v>
      </c>
      <c r="G77" s="670" t="s">
        <v>43</v>
      </c>
      <c r="H77" s="670" t="s">
        <v>2261</v>
      </c>
      <c r="I77" s="670" t="s">
        <v>2262</v>
      </c>
      <c r="J77" s="671">
        <v>46234.0</v>
      </c>
    </row>
    <row r="78">
      <c r="A78" s="670">
        <v>77.0</v>
      </c>
      <c r="B78" s="670" t="s">
        <v>2257</v>
      </c>
      <c r="C78" s="670" t="s">
        <v>2258</v>
      </c>
      <c r="D78" s="670" t="s">
        <v>1999</v>
      </c>
      <c r="E78" s="670" t="s">
        <v>2000</v>
      </c>
      <c r="F78" s="670">
        <v>56.0</v>
      </c>
      <c r="G78" s="670" t="s">
        <v>43</v>
      </c>
      <c r="H78" s="670" t="s">
        <v>2261</v>
      </c>
      <c r="I78" s="670" t="s">
        <v>2262</v>
      </c>
      <c r="J78" s="671">
        <v>46234.0</v>
      </c>
    </row>
    <row r="79">
      <c r="A79" s="670">
        <v>78.0</v>
      </c>
      <c r="B79" s="670" t="s">
        <v>2257</v>
      </c>
      <c r="C79" s="670" t="s">
        <v>2258</v>
      </c>
      <c r="D79" s="670" t="s">
        <v>2013</v>
      </c>
      <c r="E79" s="670" t="s">
        <v>2014</v>
      </c>
      <c r="F79" s="670">
        <v>54.0</v>
      </c>
      <c r="G79" s="670" t="s">
        <v>43</v>
      </c>
      <c r="H79" s="670" t="s">
        <v>2261</v>
      </c>
      <c r="I79" s="670" t="s">
        <v>2262</v>
      </c>
      <c r="J79" s="671">
        <v>46234.0</v>
      </c>
    </row>
    <row r="80">
      <c r="A80" s="670">
        <v>79.0</v>
      </c>
      <c r="B80" s="670" t="s">
        <v>2257</v>
      </c>
      <c r="C80" s="670" t="s">
        <v>2258</v>
      </c>
      <c r="D80" s="670" t="s">
        <v>2023</v>
      </c>
      <c r="E80" s="670" t="s">
        <v>2369</v>
      </c>
      <c r="F80" s="670">
        <v>77.0</v>
      </c>
      <c r="G80" s="670" t="s">
        <v>43</v>
      </c>
      <c r="H80" s="670" t="s">
        <v>2261</v>
      </c>
      <c r="I80" s="670" t="s">
        <v>2262</v>
      </c>
      <c r="J80" s="671">
        <v>46234.0</v>
      </c>
    </row>
    <row r="81">
      <c r="A81" s="670">
        <v>80.0</v>
      </c>
      <c r="B81" s="670" t="s">
        <v>2257</v>
      </c>
      <c r="C81" s="670" t="s">
        <v>2258</v>
      </c>
      <c r="D81" s="670" t="s">
        <v>1766</v>
      </c>
      <c r="E81" s="670" t="s">
        <v>1767</v>
      </c>
      <c r="F81" s="670">
        <v>102.0</v>
      </c>
      <c r="G81" s="670" t="s">
        <v>43</v>
      </c>
      <c r="H81" s="670" t="s">
        <v>2261</v>
      </c>
      <c r="I81" s="670" t="s">
        <v>2262</v>
      </c>
      <c r="J81" s="671">
        <v>46234.0</v>
      </c>
    </row>
    <row r="82">
      <c r="A82" s="670">
        <v>81.0</v>
      </c>
      <c r="B82" s="670" t="s">
        <v>2257</v>
      </c>
      <c r="C82" s="670" t="s">
        <v>2258</v>
      </c>
      <c r="D82" s="670" t="s">
        <v>1805</v>
      </c>
      <c r="E82" s="670" t="s">
        <v>1806</v>
      </c>
      <c r="F82" s="670">
        <v>112.0</v>
      </c>
      <c r="G82" s="670" t="s">
        <v>43</v>
      </c>
      <c r="H82" s="670" t="s">
        <v>2261</v>
      </c>
      <c r="I82" s="670" t="s">
        <v>2262</v>
      </c>
      <c r="J82" s="671">
        <v>46234.0</v>
      </c>
    </row>
    <row r="83">
      <c r="A83" s="670">
        <v>82.0</v>
      </c>
      <c r="B83" s="670" t="s">
        <v>2257</v>
      </c>
      <c r="C83" s="670" t="s">
        <v>2258</v>
      </c>
      <c r="D83" s="670" t="s">
        <v>1847</v>
      </c>
      <c r="E83" s="670" t="s">
        <v>2371</v>
      </c>
      <c r="F83" s="670">
        <v>123.0</v>
      </c>
      <c r="G83" s="670" t="s">
        <v>43</v>
      </c>
      <c r="H83" s="670" t="s">
        <v>2261</v>
      </c>
      <c r="I83" s="670" t="s">
        <v>2262</v>
      </c>
      <c r="J83" s="671">
        <v>46234.0</v>
      </c>
    </row>
    <row r="84">
      <c r="A84" s="670">
        <v>83.0</v>
      </c>
      <c r="B84" s="670" t="s">
        <v>2257</v>
      </c>
      <c r="C84" s="670" t="s">
        <v>2258</v>
      </c>
      <c r="D84" s="670" t="s">
        <v>1857</v>
      </c>
      <c r="E84" s="670" t="s">
        <v>2372</v>
      </c>
      <c r="F84" s="670">
        <v>117.0</v>
      </c>
      <c r="G84" s="670" t="s">
        <v>43</v>
      </c>
      <c r="H84" s="670" t="s">
        <v>2261</v>
      </c>
      <c r="I84" s="670" t="s">
        <v>2262</v>
      </c>
      <c r="J84" s="671">
        <v>46234.0</v>
      </c>
    </row>
    <row r="85">
      <c r="A85" s="670">
        <v>84.0</v>
      </c>
      <c r="B85" s="670" t="s">
        <v>2257</v>
      </c>
      <c r="C85" s="670" t="s">
        <v>2258</v>
      </c>
      <c r="D85" s="670" t="s">
        <v>2374</v>
      </c>
      <c r="E85" s="670" t="s">
        <v>2375</v>
      </c>
      <c r="F85" s="670">
        <v>70.0</v>
      </c>
      <c r="G85" s="670" t="s">
        <v>43</v>
      </c>
      <c r="H85" s="670" t="s">
        <v>2261</v>
      </c>
      <c r="I85" s="670" t="s">
        <v>2262</v>
      </c>
      <c r="J85" s="671">
        <v>46234.0</v>
      </c>
    </row>
    <row r="86">
      <c r="A86" s="670">
        <v>85.0</v>
      </c>
      <c r="B86" s="670" t="s">
        <v>2257</v>
      </c>
      <c r="C86" s="670" t="s">
        <v>2258</v>
      </c>
      <c r="D86" s="670" t="s">
        <v>2376</v>
      </c>
      <c r="E86" s="670" t="s">
        <v>2377</v>
      </c>
      <c r="F86" s="670">
        <v>105.0</v>
      </c>
      <c r="G86" s="670" t="s">
        <v>43</v>
      </c>
      <c r="H86" s="670" t="s">
        <v>2261</v>
      </c>
      <c r="I86" s="670" t="s">
        <v>2262</v>
      </c>
      <c r="J86" s="671">
        <v>46234.0</v>
      </c>
    </row>
    <row r="87">
      <c r="A87" s="670">
        <v>86.0</v>
      </c>
      <c r="B87" s="670" t="s">
        <v>2257</v>
      </c>
      <c r="C87" s="670" t="s">
        <v>2258</v>
      </c>
      <c r="D87" s="670" t="s">
        <v>2058</v>
      </c>
      <c r="E87" s="670" t="s">
        <v>2059</v>
      </c>
      <c r="F87" s="670">
        <v>28.0</v>
      </c>
      <c r="G87" s="670" t="s">
        <v>43</v>
      </c>
      <c r="H87" s="670" t="s">
        <v>2261</v>
      </c>
      <c r="I87" s="670" t="s">
        <v>2262</v>
      </c>
      <c r="J87" s="671">
        <v>46234.0</v>
      </c>
    </row>
    <row r="88">
      <c r="A88" s="670">
        <v>87.0</v>
      </c>
      <c r="B88" s="670" t="s">
        <v>2257</v>
      </c>
      <c r="C88" s="670" t="s">
        <v>2258</v>
      </c>
      <c r="D88" s="670" t="s">
        <v>1721</v>
      </c>
      <c r="E88" s="670" t="s">
        <v>1722</v>
      </c>
      <c r="F88" s="670">
        <v>59.0</v>
      </c>
      <c r="G88" s="670" t="s">
        <v>43</v>
      </c>
      <c r="H88" s="670" t="s">
        <v>2261</v>
      </c>
      <c r="I88" s="670" t="s">
        <v>2262</v>
      </c>
      <c r="J88" s="671">
        <v>46234.0</v>
      </c>
    </row>
    <row r="89">
      <c r="A89" s="670">
        <v>88.0</v>
      </c>
      <c r="B89" s="670" t="s">
        <v>2257</v>
      </c>
      <c r="C89" s="670" t="s">
        <v>2258</v>
      </c>
      <c r="D89" s="670" t="s">
        <v>2112</v>
      </c>
      <c r="E89" s="670" t="s">
        <v>2113</v>
      </c>
      <c r="F89" s="670">
        <v>56.0</v>
      </c>
      <c r="G89" s="670" t="s">
        <v>43</v>
      </c>
      <c r="H89" s="670" t="s">
        <v>2261</v>
      </c>
      <c r="I89" s="670" t="s">
        <v>2262</v>
      </c>
      <c r="J89" s="671">
        <v>46234.0</v>
      </c>
    </row>
    <row r="90">
      <c r="A90" s="670">
        <v>89.0</v>
      </c>
      <c r="B90" s="670" t="s">
        <v>2257</v>
      </c>
      <c r="C90" s="670" t="s">
        <v>2258</v>
      </c>
      <c r="D90" s="670" t="s">
        <v>1619</v>
      </c>
      <c r="E90" s="670" t="s">
        <v>1620</v>
      </c>
      <c r="F90" s="670">
        <v>550.0</v>
      </c>
      <c r="G90" s="670" t="s">
        <v>43</v>
      </c>
      <c r="H90" s="670" t="s">
        <v>2261</v>
      </c>
      <c r="I90" s="670" t="s">
        <v>2262</v>
      </c>
      <c r="J90" s="671">
        <v>46234.0</v>
      </c>
    </row>
    <row r="91">
      <c r="A91" s="670">
        <v>90.0</v>
      </c>
      <c r="B91" s="670" t="s">
        <v>2257</v>
      </c>
      <c r="C91" s="670" t="s">
        <v>2258</v>
      </c>
      <c r="D91" s="670" t="s">
        <v>2378</v>
      </c>
      <c r="E91" s="670" t="s">
        <v>2379</v>
      </c>
      <c r="F91" s="670">
        <v>400.0</v>
      </c>
      <c r="G91" s="670" t="s">
        <v>305</v>
      </c>
      <c r="H91" s="670" t="s">
        <v>2261</v>
      </c>
      <c r="I91" s="670" t="s">
        <v>2262</v>
      </c>
      <c r="J91" s="671">
        <v>46234.0</v>
      </c>
    </row>
    <row r="92">
      <c r="A92" s="670">
        <v>91.0</v>
      </c>
      <c r="B92" s="670" t="s">
        <v>2257</v>
      </c>
      <c r="C92" s="670" t="s">
        <v>2258</v>
      </c>
      <c r="D92" s="670" t="s">
        <v>2380</v>
      </c>
      <c r="E92" s="670" t="s">
        <v>2381</v>
      </c>
      <c r="F92" s="670">
        <v>50600.0</v>
      </c>
      <c r="G92" s="670" t="s">
        <v>249</v>
      </c>
      <c r="H92" s="670" t="s">
        <v>2261</v>
      </c>
      <c r="I92" s="670" t="s">
        <v>2262</v>
      </c>
      <c r="J92" s="671">
        <v>46234.0</v>
      </c>
    </row>
    <row r="93">
      <c r="A93" s="670">
        <v>92.0</v>
      </c>
      <c r="B93" s="670" t="s">
        <v>2257</v>
      </c>
      <c r="C93" s="670" t="s">
        <v>2258</v>
      </c>
      <c r="D93" s="670" t="s">
        <v>2382</v>
      </c>
      <c r="E93" s="670" t="s">
        <v>2383</v>
      </c>
      <c r="F93" s="670">
        <v>22000.0</v>
      </c>
      <c r="G93" s="670" t="s">
        <v>249</v>
      </c>
      <c r="H93" s="670" t="s">
        <v>2261</v>
      </c>
      <c r="I93" s="670" t="s">
        <v>2262</v>
      </c>
      <c r="J93" s="671">
        <v>46234.0</v>
      </c>
    </row>
    <row r="94">
      <c r="A94" s="670">
        <v>94.0</v>
      </c>
      <c r="B94" s="670" t="s">
        <v>2257</v>
      </c>
      <c r="C94" s="670" t="s">
        <v>2258</v>
      </c>
      <c r="D94" s="670" t="s">
        <v>2384</v>
      </c>
      <c r="E94" s="670" t="s">
        <v>2385</v>
      </c>
      <c r="F94" s="670">
        <v>935.0</v>
      </c>
      <c r="G94" s="670" t="s">
        <v>824</v>
      </c>
      <c r="H94" s="670" t="s">
        <v>2261</v>
      </c>
      <c r="I94" s="670" t="s">
        <v>2262</v>
      </c>
      <c r="J94" s="671">
        <v>46234.0</v>
      </c>
    </row>
    <row r="95">
      <c r="A95" s="670">
        <v>95.0</v>
      </c>
      <c r="B95" s="670" t="s">
        <v>2257</v>
      </c>
      <c r="C95" s="670" t="s">
        <v>2258</v>
      </c>
      <c r="D95" s="670" t="s">
        <v>2386</v>
      </c>
      <c r="E95" s="670" t="s">
        <v>2387</v>
      </c>
      <c r="F95" s="670">
        <v>2000.0</v>
      </c>
      <c r="G95" s="670" t="s">
        <v>759</v>
      </c>
      <c r="H95" s="670" t="s">
        <v>2261</v>
      </c>
      <c r="I95" s="670" t="s">
        <v>2262</v>
      </c>
      <c r="J95" s="671">
        <v>46234.0</v>
      </c>
    </row>
    <row r="96">
      <c r="A96" s="670">
        <v>96.0</v>
      </c>
      <c r="B96" s="670" t="s">
        <v>2257</v>
      </c>
      <c r="C96" s="670" t="s">
        <v>2258</v>
      </c>
      <c r="D96" s="670" t="s">
        <v>2388</v>
      </c>
      <c r="E96" s="670" t="s">
        <v>2389</v>
      </c>
      <c r="F96" s="670">
        <v>34000.0</v>
      </c>
      <c r="G96" s="670" t="s">
        <v>43</v>
      </c>
      <c r="H96" s="670" t="s">
        <v>2261</v>
      </c>
      <c r="I96" s="670" t="s">
        <v>2262</v>
      </c>
      <c r="J96" s="671">
        <v>46234.0</v>
      </c>
    </row>
    <row r="97">
      <c r="A97" s="670">
        <v>97.0</v>
      </c>
      <c r="B97" s="670" t="s">
        <v>2257</v>
      </c>
      <c r="C97" s="670" t="s">
        <v>2258</v>
      </c>
      <c r="D97" s="670" t="s">
        <v>2390</v>
      </c>
      <c r="E97" s="670" t="s">
        <v>2391</v>
      </c>
      <c r="F97" s="670">
        <v>280.0</v>
      </c>
      <c r="G97" s="670" t="s">
        <v>759</v>
      </c>
      <c r="H97" s="670" t="s">
        <v>2261</v>
      </c>
      <c r="I97" s="670" t="s">
        <v>2262</v>
      </c>
      <c r="J97" s="671">
        <v>46234.0</v>
      </c>
    </row>
    <row r="98">
      <c r="A98" s="670">
        <v>98.0</v>
      </c>
      <c r="B98" s="670" t="s">
        <v>2257</v>
      </c>
      <c r="C98" s="670" t="s">
        <v>2258</v>
      </c>
      <c r="D98" s="670" t="s">
        <v>2392</v>
      </c>
      <c r="E98" s="670" t="s">
        <v>2393</v>
      </c>
      <c r="F98" s="670">
        <v>14000.0</v>
      </c>
      <c r="G98" s="670" t="s">
        <v>43</v>
      </c>
      <c r="H98" s="670" t="s">
        <v>2261</v>
      </c>
      <c r="I98" s="670" t="s">
        <v>2262</v>
      </c>
      <c r="J98" s="671">
        <v>46234.0</v>
      </c>
    </row>
    <row r="99">
      <c r="A99" s="670">
        <v>99.0</v>
      </c>
      <c r="B99" s="670" t="s">
        <v>2257</v>
      </c>
      <c r="C99" s="670" t="s">
        <v>2258</v>
      </c>
      <c r="D99" s="670" t="s">
        <v>2394</v>
      </c>
      <c r="E99" s="670" t="s">
        <v>2395</v>
      </c>
      <c r="F99" s="670">
        <v>16000.0</v>
      </c>
      <c r="G99" s="670" t="s">
        <v>43</v>
      </c>
      <c r="H99" s="670" t="s">
        <v>2261</v>
      </c>
      <c r="I99" s="670" t="s">
        <v>2262</v>
      </c>
      <c r="J99" s="671">
        <v>46234.0</v>
      </c>
    </row>
    <row r="100">
      <c r="A100" s="670">
        <v>100.0</v>
      </c>
      <c r="B100" s="670" t="s">
        <v>2257</v>
      </c>
      <c r="C100" s="670" t="s">
        <v>2258</v>
      </c>
      <c r="D100" s="670" t="s">
        <v>2396</v>
      </c>
      <c r="E100" s="670" t="s">
        <v>2397</v>
      </c>
      <c r="F100" s="670">
        <v>20000.0</v>
      </c>
      <c r="G100" s="670" t="s">
        <v>43</v>
      </c>
      <c r="H100" s="670" t="s">
        <v>2261</v>
      </c>
      <c r="I100" s="670" t="s">
        <v>2262</v>
      </c>
      <c r="J100" s="671">
        <v>46234.0</v>
      </c>
    </row>
    <row r="101">
      <c r="A101" s="670">
        <v>103.0</v>
      </c>
      <c r="B101" s="670" t="s">
        <v>2257</v>
      </c>
      <c r="C101" s="670" t="s">
        <v>2258</v>
      </c>
      <c r="D101" s="670" t="s">
        <v>2398</v>
      </c>
      <c r="E101" s="670" t="s">
        <v>2399</v>
      </c>
      <c r="F101" s="670">
        <v>1.0</v>
      </c>
      <c r="G101" s="670" t="s">
        <v>305</v>
      </c>
      <c r="H101" s="670" t="s">
        <v>2261</v>
      </c>
      <c r="I101" s="670" t="s">
        <v>2262</v>
      </c>
      <c r="J101" s="671">
        <v>46234.0</v>
      </c>
    </row>
    <row r="102">
      <c r="A102" s="670">
        <v>104.0</v>
      </c>
      <c r="B102" s="670" t="s">
        <v>2257</v>
      </c>
      <c r="C102" s="670" t="s">
        <v>2258</v>
      </c>
      <c r="D102" s="670" t="s">
        <v>2400</v>
      </c>
      <c r="E102" s="670" t="s">
        <v>2401</v>
      </c>
      <c r="F102" s="670">
        <v>1.0</v>
      </c>
      <c r="G102" s="670" t="s">
        <v>1117</v>
      </c>
      <c r="H102" s="670" t="s">
        <v>2261</v>
      </c>
      <c r="I102" s="670" t="s">
        <v>2262</v>
      </c>
      <c r="J102" s="671">
        <v>46234.0</v>
      </c>
    </row>
    <row r="103">
      <c r="A103" s="670">
        <v>105.0</v>
      </c>
      <c r="B103" s="670" t="s">
        <v>2257</v>
      </c>
      <c r="C103" s="670" t="s">
        <v>2258</v>
      </c>
      <c r="D103" s="670" t="s">
        <v>2402</v>
      </c>
      <c r="E103" s="670" t="s">
        <v>2403</v>
      </c>
      <c r="F103" s="670">
        <v>1.0</v>
      </c>
      <c r="G103" s="670" t="s">
        <v>1117</v>
      </c>
      <c r="H103" s="670" t="s">
        <v>2261</v>
      </c>
      <c r="I103" s="670" t="s">
        <v>2262</v>
      </c>
      <c r="J103" s="671">
        <v>46234.0</v>
      </c>
    </row>
    <row r="104">
      <c r="A104" s="670">
        <v>106.0</v>
      </c>
      <c r="B104" s="670" t="s">
        <v>2257</v>
      </c>
      <c r="C104" s="670" t="s">
        <v>2258</v>
      </c>
      <c r="D104" s="670" t="s">
        <v>2404</v>
      </c>
      <c r="E104" s="670" t="s">
        <v>2405</v>
      </c>
      <c r="F104" s="670">
        <v>12000.0</v>
      </c>
      <c r="G104" s="670" t="s">
        <v>1117</v>
      </c>
      <c r="H104" s="670" t="s">
        <v>2261</v>
      </c>
      <c r="I104" s="670" t="s">
        <v>2262</v>
      </c>
      <c r="J104" s="671">
        <v>46234.0</v>
      </c>
    </row>
    <row r="105">
      <c r="A105" s="670">
        <v>107.0</v>
      </c>
      <c r="B105" s="670" t="s">
        <v>2257</v>
      </c>
      <c r="C105" s="670" t="s">
        <v>2258</v>
      </c>
      <c r="D105" s="670" t="s">
        <v>2406</v>
      </c>
      <c r="E105" s="670" t="s">
        <v>2407</v>
      </c>
      <c r="F105" s="670">
        <v>1.0</v>
      </c>
      <c r="G105" s="670" t="s">
        <v>1117</v>
      </c>
      <c r="H105" s="670" t="s">
        <v>2261</v>
      </c>
      <c r="I105" s="670" t="s">
        <v>2262</v>
      </c>
      <c r="J105" s="671">
        <v>46234.0</v>
      </c>
    </row>
    <row r="106">
      <c r="A106" s="670">
        <v>108.0</v>
      </c>
      <c r="B106" s="670" t="s">
        <v>2257</v>
      </c>
      <c r="C106" s="670" t="s">
        <v>2258</v>
      </c>
      <c r="D106" s="670" t="s">
        <v>2408</v>
      </c>
      <c r="E106" s="670" t="s">
        <v>2409</v>
      </c>
      <c r="F106" s="670">
        <v>1.0</v>
      </c>
      <c r="G106" s="670" t="s">
        <v>1117</v>
      </c>
      <c r="H106" s="670" t="s">
        <v>2261</v>
      </c>
      <c r="I106" s="670" t="s">
        <v>2262</v>
      </c>
      <c r="J106" s="671">
        <v>46234.0</v>
      </c>
    </row>
    <row r="107">
      <c r="A107" s="670">
        <v>109.0</v>
      </c>
      <c r="B107" s="670" t="s">
        <v>2257</v>
      </c>
      <c r="C107" s="670" t="s">
        <v>2258</v>
      </c>
      <c r="D107" s="670" t="s">
        <v>2410</v>
      </c>
      <c r="E107" s="670" t="s">
        <v>2411</v>
      </c>
      <c r="F107" s="670">
        <v>1.0</v>
      </c>
      <c r="G107" s="670" t="s">
        <v>1117</v>
      </c>
      <c r="H107" s="670" t="s">
        <v>2261</v>
      </c>
      <c r="I107" s="670" t="s">
        <v>2262</v>
      </c>
      <c r="J107" s="671">
        <v>46234.0</v>
      </c>
    </row>
    <row r="108">
      <c r="A108" s="670">
        <v>110.0</v>
      </c>
      <c r="B108" s="670" t="s">
        <v>2257</v>
      </c>
      <c r="C108" s="670" t="s">
        <v>2258</v>
      </c>
      <c r="D108" s="670" t="s">
        <v>2412</v>
      </c>
      <c r="E108" s="670" t="s">
        <v>2413</v>
      </c>
      <c r="F108" s="670">
        <v>1.0</v>
      </c>
      <c r="G108" s="670" t="s">
        <v>305</v>
      </c>
      <c r="H108" s="670" t="s">
        <v>2261</v>
      </c>
      <c r="I108" s="670" t="s">
        <v>2262</v>
      </c>
      <c r="J108" s="671">
        <v>46234.0</v>
      </c>
    </row>
    <row r="109">
      <c r="A109" s="670">
        <v>111.0</v>
      </c>
      <c r="B109" s="670" t="s">
        <v>2257</v>
      </c>
      <c r="C109" s="670" t="s">
        <v>2258</v>
      </c>
      <c r="D109" s="670" t="s">
        <v>2414</v>
      </c>
      <c r="E109" s="670" t="s">
        <v>2415</v>
      </c>
      <c r="F109" s="670">
        <v>1.0</v>
      </c>
      <c r="G109" s="670" t="s">
        <v>43</v>
      </c>
      <c r="H109" s="670" t="s">
        <v>2261</v>
      </c>
      <c r="I109" s="670" t="s">
        <v>2262</v>
      </c>
      <c r="J109" s="671">
        <v>46234.0</v>
      </c>
    </row>
    <row r="110">
      <c r="A110" s="670">
        <v>112.0</v>
      </c>
      <c r="B110" s="670" t="s">
        <v>2257</v>
      </c>
      <c r="C110" s="670" t="s">
        <v>2258</v>
      </c>
      <c r="D110" s="670" t="s">
        <v>2417</v>
      </c>
      <c r="E110" s="670" t="s">
        <v>2418</v>
      </c>
      <c r="F110" s="670">
        <v>1.0</v>
      </c>
      <c r="G110" s="670" t="s">
        <v>22</v>
      </c>
      <c r="H110" s="670" t="s">
        <v>2261</v>
      </c>
      <c r="I110" s="670" t="s">
        <v>2262</v>
      </c>
      <c r="J110" s="671">
        <v>46234.0</v>
      </c>
    </row>
    <row r="111">
      <c r="A111" s="670">
        <v>113.0</v>
      </c>
      <c r="B111" s="670" t="s">
        <v>2257</v>
      </c>
      <c r="C111" s="670" t="s">
        <v>2258</v>
      </c>
      <c r="D111" s="670" t="s">
        <v>2419</v>
      </c>
      <c r="E111" s="670" t="s">
        <v>2420</v>
      </c>
      <c r="F111" s="670">
        <v>1.0</v>
      </c>
      <c r="G111" s="670" t="s">
        <v>759</v>
      </c>
      <c r="H111" s="670" t="s">
        <v>2261</v>
      </c>
      <c r="I111" s="670" t="s">
        <v>2262</v>
      </c>
      <c r="J111" s="671">
        <v>46234.0</v>
      </c>
    </row>
    <row r="112">
      <c r="A112" s="670">
        <v>114.0</v>
      </c>
      <c r="B112" s="670" t="s">
        <v>2257</v>
      </c>
      <c r="C112" s="670" t="s">
        <v>2258</v>
      </c>
      <c r="D112" s="670" t="s">
        <v>2421</v>
      </c>
      <c r="E112" s="670" t="s">
        <v>2422</v>
      </c>
      <c r="F112" s="670">
        <v>1.0</v>
      </c>
      <c r="G112" s="670" t="s">
        <v>759</v>
      </c>
      <c r="H112" s="670" t="s">
        <v>2261</v>
      </c>
      <c r="I112" s="670" t="s">
        <v>2262</v>
      </c>
      <c r="J112" s="671">
        <v>46234.0</v>
      </c>
    </row>
    <row r="113">
      <c r="A113" s="670">
        <v>115.0</v>
      </c>
      <c r="B113" s="670" t="s">
        <v>2257</v>
      </c>
      <c r="C113" s="670" t="s">
        <v>2258</v>
      </c>
      <c r="D113" s="670" t="s">
        <v>2423</v>
      </c>
      <c r="E113" s="670" t="s">
        <v>2424</v>
      </c>
      <c r="F113" s="670">
        <v>1.0</v>
      </c>
      <c r="G113" s="670" t="s">
        <v>43</v>
      </c>
      <c r="H113" s="670" t="s">
        <v>2261</v>
      </c>
      <c r="I113" s="670" t="s">
        <v>2262</v>
      </c>
      <c r="J113" s="671">
        <v>46234.0</v>
      </c>
    </row>
    <row r="114">
      <c r="A114" s="670">
        <v>116.0</v>
      </c>
      <c r="B114" s="670" t="s">
        <v>2257</v>
      </c>
      <c r="C114" s="670" t="s">
        <v>2258</v>
      </c>
      <c r="D114" s="670" t="s">
        <v>2425</v>
      </c>
      <c r="E114" s="670" t="s">
        <v>2426</v>
      </c>
      <c r="F114" s="670">
        <v>1.0</v>
      </c>
      <c r="G114" s="670" t="s">
        <v>43</v>
      </c>
      <c r="H114" s="670" t="s">
        <v>2261</v>
      </c>
      <c r="I114" s="670" t="s">
        <v>2262</v>
      </c>
      <c r="J114" s="671">
        <v>46234.0</v>
      </c>
    </row>
    <row r="115">
      <c r="A115" s="670">
        <v>117.0</v>
      </c>
      <c r="B115" s="670" t="s">
        <v>2257</v>
      </c>
      <c r="C115" s="670" t="s">
        <v>2258</v>
      </c>
      <c r="D115" s="670" t="s">
        <v>932</v>
      </c>
      <c r="E115" s="670" t="s">
        <v>2427</v>
      </c>
      <c r="F115" s="670">
        <v>35.0</v>
      </c>
      <c r="G115" s="670" t="s">
        <v>43</v>
      </c>
      <c r="H115" s="670" t="s">
        <v>2261</v>
      </c>
      <c r="I115" s="670" t="s">
        <v>2262</v>
      </c>
      <c r="J115" s="671">
        <v>46234.0</v>
      </c>
    </row>
    <row r="116">
      <c r="A116" s="670">
        <v>118.0</v>
      </c>
      <c r="B116" s="670" t="s">
        <v>2257</v>
      </c>
      <c r="C116" s="670" t="s">
        <v>2258</v>
      </c>
      <c r="D116" s="670" t="s">
        <v>2428</v>
      </c>
      <c r="E116" s="670" t="s">
        <v>2429</v>
      </c>
      <c r="F116" s="670">
        <v>1.0</v>
      </c>
      <c r="G116" s="670" t="s">
        <v>305</v>
      </c>
      <c r="H116" s="670" t="s">
        <v>2261</v>
      </c>
      <c r="I116" s="670" t="s">
        <v>2262</v>
      </c>
      <c r="J116" s="671">
        <v>46234.0</v>
      </c>
    </row>
    <row r="117">
      <c r="A117" s="670">
        <v>119.0</v>
      </c>
      <c r="B117" s="670" t="s">
        <v>2257</v>
      </c>
      <c r="C117" s="670" t="s">
        <v>2258</v>
      </c>
      <c r="D117" s="670" t="s">
        <v>2430</v>
      </c>
      <c r="E117" s="670" t="s">
        <v>2431</v>
      </c>
      <c r="F117" s="670">
        <v>1.0</v>
      </c>
      <c r="G117" s="670" t="s">
        <v>759</v>
      </c>
      <c r="H117" s="670" t="s">
        <v>2261</v>
      </c>
      <c r="I117" s="670" t="s">
        <v>2262</v>
      </c>
      <c r="J117" s="671">
        <v>46234.0</v>
      </c>
    </row>
    <row r="118">
      <c r="A118" s="670">
        <v>121.0</v>
      </c>
      <c r="B118" s="670" t="s">
        <v>2257</v>
      </c>
      <c r="C118" s="670" t="s">
        <v>2258</v>
      </c>
      <c r="D118" s="670" t="s">
        <v>2433</v>
      </c>
      <c r="E118" s="670" t="s">
        <v>2434</v>
      </c>
      <c r="F118" s="670">
        <v>1.0</v>
      </c>
      <c r="G118" s="670" t="s">
        <v>305</v>
      </c>
      <c r="H118" s="670" t="s">
        <v>2261</v>
      </c>
      <c r="I118" s="670" t="s">
        <v>2262</v>
      </c>
      <c r="J118" s="671">
        <v>46234.0</v>
      </c>
    </row>
    <row r="119">
      <c r="A119" s="670">
        <v>123.0</v>
      </c>
      <c r="B119" s="670" t="s">
        <v>2257</v>
      </c>
      <c r="C119" s="670" t="s">
        <v>2258</v>
      </c>
      <c r="D119" s="670" t="s">
        <v>2435</v>
      </c>
      <c r="E119" s="670" t="s">
        <v>2436</v>
      </c>
      <c r="F119" s="670">
        <v>1.0</v>
      </c>
      <c r="G119" s="670" t="s">
        <v>305</v>
      </c>
      <c r="H119" s="670" t="s">
        <v>2261</v>
      </c>
      <c r="I119" s="670" t="s">
        <v>2262</v>
      </c>
      <c r="J119" s="671">
        <v>46234.0</v>
      </c>
    </row>
    <row r="120">
      <c r="A120" s="670">
        <v>124.0</v>
      </c>
      <c r="B120" s="670" t="s">
        <v>2257</v>
      </c>
      <c r="C120" s="670" t="s">
        <v>2258</v>
      </c>
      <c r="D120" s="670" t="s">
        <v>2438</v>
      </c>
      <c r="E120" s="670" t="s">
        <v>2439</v>
      </c>
      <c r="F120" s="670">
        <v>1.0</v>
      </c>
      <c r="G120" s="670" t="s">
        <v>305</v>
      </c>
      <c r="H120" s="670" t="s">
        <v>2261</v>
      </c>
      <c r="I120" s="670" t="s">
        <v>2262</v>
      </c>
      <c r="J120" s="671">
        <v>46234.0</v>
      </c>
    </row>
    <row r="121">
      <c r="A121" s="670">
        <v>125.0</v>
      </c>
      <c r="B121" s="670" t="s">
        <v>2257</v>
      </c>
      <c r="C121" s="670" t="s">
        <v>2258</v>
      </c>
      <c r="D121" s="670" t="s">
        <v>2440</v>
      </c>
      <c r="E121" s="670" t="s">
        <v>2441</v>
      </c>
      <c r="F121" s="670">
        <v>714.0</v>
      </c>
      <c r="G121" s="670" t="s">
        <v>2442</v>
      </c>
      <c r="H121" s="670" t="s">
        <v>2261</v>
      </c>
      <c r="I121" s="670" t="s">
        <v>2262</v>
      </c>
      <c r="J121" s="671">
        <v>46234.0</v>
      </c>
    </row>
    <row r="122">
      <c r="A122" s="670">
        <v>126.0</v>
      </c>
      <c r="B122" s="670" t="s">
        <v>2257</v>
      </c>
      <c r="C122" s="670" t="s">
        <v>2258</v>
      </c>
      <c r="D122" s="670" t="s">
        <v>2444</v>
      </c>
      <c r="E122" s="670" t="s">
        <v>2445</v>
      </c>
      <c r="F122" s="670">
        <v>1.0</v>
      </c>
      <c r="G122" s="670" t="s">
        <v>759</v>
      </c>
      <c r="H122" s="670" t="s">
        <v>2261</v>
      </c>
      <c r="I122" s="670" t="s">
        <v>2262</v>
      </c>
      <c r="J122" s="671">
        <v>46234.0</v>
      </c>
    </row>
    <row r="123">
      <c r="A123" s="670">
        <v>127.0</v>
      </c>
      <c r="B123" s="670" t="s">
        <v>2257</v>
      </c>
      <c r="C123" s="670" t="s">
        <v>2258</v>
      </c>
      <c r="D123" s="670" t="s">
        <v>2446</v>
      </c>
      <c r="E123" s="670" t="s">
        <v>2447</v>
      </c>
      <c r="F123" s="670">
        <v>1.0</v>
      </c>
      <c r="G123" s="670" t="s">
        <v>759</v>
      </c>
      <c r="H123" s="670" t="s">
        <v>2261</v>
      </c>
      <c r="I123" s="670" t="s">
        <v>2262</v>
      </c>
      <c r="J123" s="671">
        <v>46234.0</v>
      </c>
    </row>
    <row r="124">
      <c r="A124" s="670">
        <v>128.0</v>
      </c>
      <c r="B124" s="670" t="s">
        <v>2257</v>
      </c>
      <c r="C124" s="670" t="s">
        <v>2258</v>
      </c>
      <c r="D124" s="670" t="s">
        <v>2449</v>
      </c>
      <c r="E124" s="670" t="s">
        <v>2450</v>
      </c>
      <c r="F124" s="670">
        <v>1.0</v>
      </c>
      <c r="G124" s="670" t="s">
        <v>305</v>
      </c>
      <c r="H124" s="670" t="s">
        <v>2261</v>
      </c>
      <c r="I124" s="670" t="s">
        <v>2262</v>
      </c>
      <c r="J124" s="671">
        <v>46234.0</v>
      </c>
    </row>
    <row r="125">
      <c r="A125" s="670">
        <v>129.0</v>
      </c>
      <c r="B125" s="670" t="s">
        <v>2257</v>
      </c>
      <c r="C125" s="670" t="s">
        <v>2258</v>
      </c>
      <c r="D125" s="670" t="s">
        <v>2451</v>
      </c>
      <c r="E125" s="670" t="s">
        <v>2452</v>
      </c>
      <c r="F125" s="670">
        <v>1.0</v>
      </c>
      <c r="G125" s="670" t="s">
        <v>22</v>
      </c>
      <c r="H125" s="670" t="s">
        <v>2261</v>
      </c>
      <c r="I125" s="670" t="s">
        <v>2262</v>
      </c>
      <c r="J125" s="671">
        <v>46234.0</v>
      </c>
    </row>
    <row r="126">
      <c r="A126" s="670">
        <v>130.0</v>
      </c>
      <c r="B126" s="670" t="s">
        <v>2257</v>
      </c>
      <c r="C126" s="670" t="s">
        <v>2258</v>
      </c>
      <c r="D126" s="670" t="s">
        <v>2453</v>
      </c>
      <c r="E126" s="670" t="s">
        <v>2454</v>
      </c>
      <c r="F126" s="670">
        <v>1.0</v>
      </c>
      <c r="G126" s="670" t="s">
        <v>22</v>
      </c>
      <c r="H126" s="670" t="s">
        <v>2261</v>
      </c>
      <c r="I126" s="670" t="s">
        <v>2262</v>
      </c>
      <c r="J126" s="671">
        <v>46234.0</v>
      </c>
    </row>
    <row r="127">
      <c r="A127" s="670">
        <v>131.0</v>
      </c>
      <c r="B127" s="670" t="s">
        <v>2257</v>
      </c>
      <c r="C127" s="670" t="s">
        <v>2258</v>
      </c>
      <c r="D127" s="670" t="s">
        <v>2455</v>
      </c>
      <c r="E127" s="670" t="s">
        <v>2456</v>
      </c>
      <c r="F127" s="670">
        <v>1.0</v>
      </c>
      <c r="G127" s="670" t="s">
        <v>43</v>
      </c>
      <c r="H127" s="670" t="s">
        <v>2261</v>
      </c>
      <c r="I127" s="670" t="s">
        <v>2262</v>
      </c>
      <c r="J127" s="671">
        <v>46234.0</v>
      </c>
    </row>
    <row r="128">
      <c r="A128" s="670">
        <v>132.0</v>
      </c>
      <c r="B128" s="670" t="s">
        <v>2257</v>
      </c>
      <c r="C128" s="670" t="s">
        <v>2258</v>
      </c>
      <c r="D128" s="670" t="s">
        <v>2457</v>
      </c>
      <c r="E128" s="670" t="s">
        <v>2458</v>
      </c>
      <c r="F128" s="670">
        <v>1.0</v>
      </c>
      <c r="G128" s="670" t="s">
        <v>22</v>
      </c>
      <c r="H128" s="670" t="s">
        <v>2261</v>
      </c>
      <c r="I128" s="670" t="s">
        <v>2262</v>
      </c>
      <c r="J128" s="671">
        <v>46234.0</v>
      </c>
    </row>
    <row r="129">
      <c r="A129" s="670">
        <v>133.0</v>
      </c>
      <c r="B129" s="670" t="s">
        <v>2257</v>
      </c>
      <c r="C129" s="670" t="s">
        <v>2258</v>
      </c>
      <c r="D129" s="670" t="s">
        <v>2459</v>
      </c>
      <c r="E129" s="670" t="s">
        <v>2460</v>
      </c>
      <c r="F129" s="670">
        <v>58000.0</v>
      </c>
      <c r="G129" s="670" t="s">
        <v>249</v>
      </c>
      <c r="H129" s="670" t="s">
        <v>2261</v>
      </c>
      <c r="I129" s="670" t="s">
        <v>2262</v>
      </c>
      <c r="J129" s="671">
        <v>46234.0</v>
      </c>
    </row>
    <row r="130">
      <c r="A130" s="670">
        <v>134.0</v>
      </c>
      <c r="B130" s="670" t="s">
        <v>2257</v>
      </c>
      <c r="C130" s="670" t="s">
        <v>2258</v>
      </c>
      <c r="D130" s="670" t="s">
        <v>2461</v>
      </c>
      <c r="E130" s="670" t="s">
        <v>2462</v>
      </c>
      <c r="F130" s="670">
        <v>50.0</v>
      </c>
      <c r="G130" s="670" t="s">
        <v>305</v>
      </c>
      <c r="H130" s="670" t="s">
        <v>2261</v>
      </c>
      <c r="I130" s="670" t="s">
        <v>2262</v>
      </c>
      <c r="J130" s="671">
        <v>46234.0</v>
      </c>
    </row>
    <row r="131">
      <c r="A131" s="670">
        <v>135.0</v>
      </c>
      <c r="B131" s="670" t="s">
        <v>2257</v>
      </c>
      <c r="C131" s="670" t="s">
        <v>2258</v>
      </c>
      <c r="D131" s="670" t="s">
        <v>2463</v>
      </c>
      <c r="E131" s="670" t="s">
        <v>2464</v>
      </c>
      <c r="F131" s="670">
        <v>1.0</v>
      </c>
      <c r="G131" s="670" t="s">
        <v>305</v>
      </c>
      <c r="H131" s="670" t="s">
        <v>2261</v>
      </c>
      <c r="I131" s="670" t="s">
        <v>2262</v>
      </c>
      <c r="J131" s="671">
        <v>46234.0</v>
      </c>
    </row>
    <row r="132">
      <c r="A132" s="670">
        <v>136.0</v>
      </c>
      <c r="B132" s="670" t="s">
        <v>2257</v>
      </c>
      <c r="C132" s="670" t="s">
        <v>2258</v>
      </c>
      <c r="D132" s="670" t="s">
        <v>2465</v>
      </c>
      <c r="E132" s="670" t="s">
        <v>2466</v>
      </c>
      <c r="F132" s="670">
        <v>1.0</v>
      </c>
      <c r="G132" s="670" t="s">
        <v>2467</v>
      </c>
      <c r="H132" s="670" t="s">
        <v>2261</v>
      </c>
      <c r="I132" s="670" t="s">
        <v>2262</v>
      </c>
      <c r="J132" s="671">
        <v>46234.0</v>
      </c>
    </row>
    <row r="133">
      <c r="A133" s="670">
        <v>137.0</v>
      </c>
      <c r="B133" s="670" t="s">
        <v>2257</v>
      </c>
      <c r="C133" s="670" t="s">
        <v>2258</v>
      </c>
      <c r="D133" s="670" t="s">
        <v>2468</v>
      </c>
      <c r="E133" s="670" t="s">
        <v>2469</v>
      </c>
      <c r="F133" s="670">
        <v>7500.0</v>
      </c>
      <c r="G133" s="670" t="s">
        <v>22</v>
      </c>
      <c r="H133" s="670" t="s">
        <v>2261</v>
      </c>
      <c r="I133" s="670" t="s">
        <v>2262</v>
      </c>
      <c r="J133" s="671">
        <v>46234.0</v>
      </c>
    </row>
    <row r="134">
      <c r="A134" s="670">
        <v>138.0</v>
      </c>
      <c r="B134" s="670" t="s">
        <v>2257</v>
      </c>
      <c r="C134" s="670" t="s">
        <v>2258</v>
      </c>
      <c r="D134" s="670" t="s">
        <v>2470</v>
      </c>
      <c r="E134" s="670" t="s">
        <v>2471</v>
      </c>
      <c r="F134" s="670">
        <v>1.0</v>
      </c>
      <c r="G134" s="670" t="s">
        <v>22</v>
      </c>
      <c r="H134" s="670" t="s">
        <v>2261</v>
      </c>
      <c r="I134" s="670" t="s">
        <v>2262</v>
      </c>
      <c r="J134" s="671">
        <v>46234.0</v>
      </c>
    </row>
    <row r="135">
      <c r="A135" s="670">
        <v>139.0</v>
      </c>
      <c r="B135" s="670" t="s">
        <v>2257</v>
      </c>
      <c r="C135" s="670" t="s">
        <v>2258</v>
      </c>
      <c r="D135" s="670" t="s">
        <v>2472</v>
      </c>
      <c r="E135" s="670" t="s">
        <v>2473</v>
      </c>
      <c r="F135" s="670">
        <v>1.0</v>
      </c>
      <c r="G135" s="670" t="s">
        <v>305</v>
      </c>
      <c r="H135" s="670" t="s">
        <v>2261</v>
      </c>
      <c r="I135" s="670" t="s">
        <v>2262</v>
      </c>
      <c r="J135" s="671">
        <v>46234.0</v>
      </c>
    </row>
    <row r="136">
      <c r="A136" s="670">
        <v>140.0</v>
      </c>
      <c r="B136" s="670" t="s">
        <v>2257</v>
      </c>
      <c r="C136" s="670" t="s">
        <v>2258</v>
      </c>
      <c r="D136" s="670" t="s">
        <v>2474</v>
      </c>
      <c r="E136" s="670" t="s">
        <v>2475</v>
      </c>
      <c r="F136" s="670">
        <v>1.0</v>
      </c>
      <c r="G136" s="670" t="s">
        <v>22</v>
      </c>
      <c r="H136" s="670" t="s">
        <v>2261</v>
      </c>
      <c r="I136" s="670" t="s">
        <v>2262</v>
      </c>
      <c r="J136" s="671">
        <v>46234.0</v>
      </c>
    </row>
    <row r="137">
      <c r="A137" s="670">
        <v>141.0</v>
      </c>
      <c r="B137" s="670" t="s">
        <v>2257</v>
      </c>
      <c r="C137" s="670" t="s">
        <v>2258</v>
      </c>
      <c r="D137" s="670" t="s">
        <v>2476</v>
      </c>
      <c r="E137" s="670" t="s">
        <v>2477</v>
      </c>
      <c r="F137" s="670">
        <v>1.0</v>
      </c>
      <c r="G137" s="670" t="s">
        <v>22</v>
      </c>
      <c r="H137" s="670" t="s">
        <v>2261</v>
      </c>
      <c r="I137" s="670" t="s">
        <v>2262</v>
      </c>
      <c r="J137" s="671">
        <v>46234.0</v>
      </c>
    </row>
    <row r="138">
      <c r="A138" s="670">
        <v>142.0</v>
      </c>
      <c r="B138" s="670" t="s">
        <v>2257</v>
      </c>
      <c r="C138" s="670" t="s">
        <v>2258</v>
      </c>
      <c r="D138" s="670" t="s">
        <v>2478</v>
      </c>
      <c r="E138" s="670" t="s">
        <v>2479</v>
      </c>
      <c r="F138" s="670">
        <v>1.0</v>
      </c>
      <c r="G138" s="670" t="s">
        <v>1117</v>
      </c>
      <c r="H138" s="670" t="s">
        <v>2261</v>
      </c>
      <c r="I138" s="670" t="s">
        <v>2262</v>
      </c>
      <c r="J138" s="671">
        <v>46234.0</v>
      </c>
    </row>
    <row r="139">
      <c r="A139" s="670">
        <v>143.0</v>
      </c>
      <c r="B139" s="670" t="s">
        <v>2257</v>
      </c>
      <c r="C139" s="670" t="s">
        <v>2258</v>
      </c>
      <c r="D139" s="670" t="s">
        <v>2480</v>
      </c>
      <c r="E139" s="670" t="s">
        <v>2473</v>
      </c>
      <c r="F139" s="670">
        <v>1.0</v>
      </c>
      <c r="G139" s="670" t="s">
        <v>22</v>
      </c>
      <c r="H139" s="670" t="s">
        <v>2261</v>
      </c>
      <c r="I139" s="670" t="s">
        <v>2262</v>
      </c>
      <c r="J139" s="671">
        <v>46234.0</v>
      </c>
    </row>
    <row r="140">
      <c r="A140" s="670">
        <v>145.0</v>
      </c>
      <c r="B140" s="670" t="s">
        <v>2257</v>
      </c>
      <c r="C140" s="670" t="s">
        <v>2258</v>
      </c>
      <c r="D140" s="670" t="s">
        <v>2481</v>
      </c>
      <c r="E140" s="670" t="s">
        <v>2482</v>
      </c>
      <c r="F140" s="670">
        <v>1.0</v>
      </c>
      <c r="G140" s="670" t="s">
        <v>22</v>
      </c>
      <c r="H140" s="670" t="s">
        <v>2261</v>
      </c>
      <c r="I140" s="670" t="s">
        <v>2262</v>
      </c>
      <c r="J140" s="671">
        <v>46234.0</v>
      </c>
    </row>
    <row r="141">
      <c r="A141" s="670">
        <v>147.0</v>
      </c>
      <c r="B141" s="670" t="s">
        <v>2257</v>
      </c>
      <c r="C141" s="670" t="s">
        <v>2258</v>
      </c>
      <c r="D141" s="670" t="s">
        <v>2483</v>
      </c>
      <c r="E141" s="670" t="s">
        <v>2484</v>
      </c>
      <c r="F141" s="670">
        <v>1.0</v>
      </c>
      <c r="G141" s="670" t="s">
        <v>759</v>
      </c>
      <c r="H141" s="670" t="s">
        <v>2261</v>
      </c>
      <c r="I141" s="670" t="s">
        <v>2262</v>
      </c>
      <c r="J141" s="671">
        <v>46234.0</v>
      </c>
    </row>
    <row r="142">
      <c r="A142" s="670">
        <v>148.0</v>
      </c>
      <c r="B142" s="670" t="s">
        <v>2257</v>
      </c>
      <c r="C142" s="670" t="s">
        <v>2258</v>
      </c>
      <c r="D142" s="670" t="s">
        <v>2485</v>
      </c>
      <c r="E142" s="670" t="s">
        <v>2486</v>
      </c>
      <c r="F142" s="670">
        <v>1.0</v>
      </c>
      <c r="G142" s="670" t="s">
        <v>759</v>
      </c>
      <c r="H142" s="670" t="s">
        <v>2261</v>
      </c>
      <c r="I142" s="670" t="s">
        <v>2262</v>
      </c>
      <c r="J142" s="671">
        <v>46234.0</v>
      </c>
    </row>
    <row r="143">
      <c r="A143" s="670">
        <v>149.0</v>
      </c>
      <c r="B143" s="670" t="s">
        <v>2257</v>
      </c>
      <c r="C143" s="670" t="s">
        <v>2258</v>
      </c>
      <c r="D143" s="670" t="s">
        <v>2487</v>
      </c>
      <c r="E143" s="670" t="s">
        <v>2488</v>
      </c>
      <c r="F143" s="670">
        <v>1.0</v>
      </c>
      <c r="G143" s="670" t="s">
        <v>759</v>
      </c>
      <c r="H143" s="670" t="s">
        <v>2261</v>
      </c>
      <c r="I143" s="670" t="s">
        <v>2262</v>
      </c>
      <c r="J143" s="671">
        <v>46234.0</v>
      </c>
    </row>
    <row r="144">
      <c r="A144" s="670">
        <v>151.0</v>
      </c>
      <c r="B144" s="670" t="s">
        <v>2257</v>
      </c>
      <c r="C144" s="670" t="s">
        <v>2258</v>
      </c>
      <c r="D144" s="670" t="s">
        <v>2489</v>
      </c>
      <c r="E144" s="670" t="s">
        <v>2490</v>
      </c>
      <c r="F144" s="670">
        <v>1.0</v>
      </c>
      <c r="G144" s="670" t="s">
        <v>22</v>
      </c>
      <c r="H144" s="670" t="s">
        <v>2261</v>
      </c>
      <c r="I144" s="670" t="s">
        <v>2262</v>
      </c>
      <c r="J144" s="671">
        <v>46234.0</v>
      </c>
    </row>
    <row r="145">
      <c r="A145" s="670">
        <v>152.0</v>
      </c>
      <c r="B145" s="670" t="s">
        <v>2257</v>
      </c>
      <c r="C145" s="670" t="s">
        <v>2258</v>
      </c>
      <c r="D145" s="670" t="s">
        <v>2491</v>
      </c>
      <c r="E145" s="670" t="s">
        <v>2492</v>
      </c>
      <c r="F145" s="670">
        <v>1.0</v>
      </c>
      <c r="G145" s="670" t="s">
        <v>22</v>
      </c>
      <c r="H145" s="670" t="s">
        <v>2261</v>
      </c>
      <c r="I145" s="670" t="s">
        <v>2262</v>
      </c>
      <c r="J145" s="671">
        <v>46234.0</v>
      </c>
    </row>
    <row r="146">
      <c r="A146" s="670">
        <v>153.0</v>
      </c>
      <c r="B146" s="670" t="s">
        <v>2257</v>
      </c>
      <c r="C146" s="670" t="s">
        <v>2258</v>
      </c>
      <c r="D146" s="670" t="s">
        <v>2493</v>
      </c>
      <c r="E146" s="670" t="s">
        <v>2494</v>
      </c>
      <c r="F146" s="670">
        <v>1.0</v>
      </c>
      <c r="G146" s="670" t="s">
        <v>22</v>
      </c>
      <c r="H146" s="670" t="s">
        <v>2261</v>
      </c>
      <c r="I146" s="670" t="s">
        <v>2262</v>
      </c>
      <c r="J146" s="671">
        <v>46234.0</v>
      </c>
    </row>
    <row r="147">
      <c r="A147" s="670">
        <v>154.0</v>
      </c>
      <c r="B147" s="670" t="s">
        <v>2257</v>
      </c>
      <c r="C147" s="670" t="s">
        <v>2258</v>
      </c>
      <c r="D147" s="670" t="s">
        <v>2495</v>
      </c>
      <c r="E147" s="670" t="s">
        <v>2496</v>
      </c>
      <c r="F147" s="670">
        <v>1.0</v>
      </c>
      <c r="G147" s="670" t="s">
        <v>22</v>
      </c>
      <c r="H147" s="670" t="s">
        <v>2261</v>
      </c>
      <c r="I147" s="670" t="s">
        <v>2262</v>
      </c>
      <c r="J147" s="671">
        <v>46234.0</v>
      </c>
    </row>
    <row r="148">
      <c r="A148" s="670">
        <v>155.0</v>
      </c>
      <c r="B148" s="670" t="s">
        <v>2257</v>
      </c>
      <c r="C148" s="670" t="s">
        <v>2258</v>
      </c>
      <c r="D148" s="670" t="s">
        <v>2497</v>
      </c>
      <c r="E148" s="670" t="s">
        <v>2498</v>
      </c>
      <c r="F148" s="670">
        <v>1.0</v>
      </c>
      <c r="G148" s="670" t="s">
        <v>22</v>
      </c>
      <c r="H148" s="670" t="s">
        <v>2261</v>
      </c>
      <c r="I148" s="670" t="s">
        <v>2262</v>
      </c>
      <c r="J148" s="671">
        <v>46234.0</v>
      </c>
    </row>
    <row r="149">
      <c r="A149" s="670">
        <v>156.0</v>
      </c>
      <c r="B149" s="670" t="s">
        <v>2257</v>
      </c>
      <c r="C149" s="670" t="s">
        <v>2258</v>
      </c>
      <c r="D149" s="670" t="s">
        <v>2499</v>
      </c>
      <c r="E149" s="670" t="s">
        <v>2500</v>
      </c>
      <c r="F149" s="670">
        <v>1.0</v>
      </c>
      <c r="G149" s="670" t="s">
        <v>22</v>
      </c>
      <c r="H149" s="670" t="s">
        <v>2261</v>
      </c>
      <c r="I149" s="670" t="s">
        <v>2262</v>
      </c>
      <c r="J149" s="671">
        <v>46234.0</v>
      </c>
    </row>
    <row r="150">
      <c r="A150" s="670">
        <v>157.0</v>
      </c>
      <c r="B150" s="670" t="s">
        <v>2257</v>
      </c>
      <c r="C150" s="670" t="s">
        <v>2258</v>
      </c>
      <c r="D150" s="670" t="s">
        <v>2501</v>
      </c>
      <c r="E150" s="670" t="s">
        <v>2502</v>
      </c>
      <c r="F150" s="670">
        <v>22.0</v>
      </c>
      <c r="G150" s="670" t="s">
        <v>1117</v>
      </c>
      <c r="H150" s="670" t="s">
        <v>2261</v>
      </c>
      <c r="I150" s="670" t="s">
        <v>2262</v>
      </c>
      <c r="J150" s="671">
        <v>46234.0</v>
      </c>
    </row>
    <row r="151">
      <c r="A151" s="670">
        <v>158.0</v>
      </c>
      <c r="B151" s="670" t="s">
        <v>2257</v>
      </c>
      <c r="C151" s="670" t="s">
        <v>2258</v>
      </c>
      <c r="D151" s="670" t="s">
        <v>2503</v>
      </c>
      <c r="E151" s="670" t="s">
        <v>2504</v>
      </c>
      <c r="F151" s="670">
        <v>1.0</v>
      </c>
      <c r="G151" s="670" t="s">
        <v>43</v>
      </c>
      <c r="H151" s="670" t="s">
        <v>2261</v>
      </c>
      <c r="I151" s="670" t="s">
        <v>2262</v>
      </c>
      <c r="J151" s="671">
        <v>46234.0</v>
      </c>
    </row>
    <row r="152">
      <c r="A152" s="670">
        <v>159.0</v>
      </c>
      <c r="B152" s="670" t="s">
        <v>2257</v>
      </c>
      <c r="C152" s="670" t="s">
        <v>2258</v>
      </c>
      <c r="D152" s="670" t="s">
        <v>2505</v>
      </c>
      <c r="E152" s="670" t="s">
        <v>2506</v>
      </c>
      <c r="F152" s="670">
        <v>1.0</v>
      </c>
      <c r="G152" s="670" t="s">
        <v>43</v>
      </c>
      <c r="H152" s="670" t="s">
        <v>2261</v>
      </c>
      <c r="I152" s="670" t="s">
        <v>2262</v>
      </c>
      <c r="J152" s="671">
        <v>46234.0</v>
      </c>
    </row>
    <row r="153">
      <c r="A153" s="670">
        <v>160.0</v>
      </c>
      <c r="B153" s="670" t="s">
        <v>2257</v>
      </c>
      <c r="C153" s="670" t="s">
        <v>2258</v>
      </c>
      <c r="D153" s="670" t="s">
        <v>2507</v>
      </c>
      <c r="E153" s="670" t="s">
        <v>2508</v>
      </c>
      <c r="F153" s="670">
        <v>1.0</v>
      </c>
      <c r="G153" s="670" t="s">
        <v>759</v>
      </c>
      <c r="H153" s="670" t="s">
        <v>2261</v>
      </c>
      <c r="I153" s="670" t="s">
        <v>2262</v>
      </c>
      <c r="J153" s="671">
        <v>46234.0</v>
      </c>
    </row>
    <row r="154">
      <c r="A154" s="670">
        <v>161.0</v>
      </c>
      <c r="B154" s="670" t="s">
        <v>2257</v>
      </c>
      <c r="C154" s="670" t="s">
        <v>2258</v>
      </c>
      <c r="D154" s="670" t="s">
        <v>2509</v>
      </c>
      <c r="E154" s="670" t="s">
        <v>2510</v>
      </c>
      <c r="F154" s="670">
        <v>1.0</v>
      </c>
      <c r="G154" s="670" t="s">
        <v>43</v>
      </c>
      <c r="H154" s="670" t="s">
        <v>2261</v>
      </c>
      <c r="I154" s="670" t="s">
        <v>2262</v>
      </c>
      <c r="J154" s="671">
        <v>46234.0</v>
      </c>
    </row>
    <row r="155">
      <c r="A155" s="670">
        <v>162.0</v>
      </c>
      <c r="B155" s="670" t="s">
        <v>2257</v>
      </c>
      <c r="C155" s="670" t="s">
        <v>2258</v>
      </c>
      <c r="D155" s="670" t="s">
        <v>2511</v>
      </c>
      <c r="E155" s="670" t="s">
        <v>2512</v>
      </c>
      <c r="F155" s="670">
        <v>180.0</v>
      </c>
      <c r="G155" s="670" t="s">
        <v>22</v>
      </c>
      <c r="H155" s="670" t="s">
        <v>2261</v>
      </c>
      <c r="I155" s="670" t="s">
        <v>2262</v>
      </c>
      <c r="J155" s="671">
        <v>46234.0</v>
      </c>
    </row>
    <row r="156">
      <c r="A156" s="670">
        <v>163.0</v>
      </c>
      <c r="B156" s="670" t="s">
        <v>2257</v>
      </c>
      <c r="C156" s="670" t="s">
        <v>2258</v>
      </c>
      <c r="D156" s="670" t="s">
        <v>2513</v>
      </c>
      <c r="E156" s="670" t="s">
        <v>2514</v>
      </c>
      <c r="F156" s="670">
        <v>1.0</v>
      </c>
      <c r="G156" s="670" t="s">
        <v>824</v>
      </c>
      <c r="H156" s="670" t="s">
        <v>2261</v>
      </c>
      <c r="I156" s="670" t="s">
        <v>2262</v>
      </c>
      <c r="J156" s="671">
        <v>46234.0</v>
      </c>
    </row>
    <row r="157">
      <c r="A157" s="670">
        <v>164.0</v>
      </c>
      <c r="B157" s="670" t="s">
        <v>2257</v>
      </c>
      <c r="C157" s="670" t="s">
        <v>2258</v>
      </c>
      <c r="D157" s="670" t="s">
        <v>2515</v>
      </c>
      <c r="E157" s="670" t="s">
        <v>2516</v>
      </c>
      <c r="F157" s="670">
        <v>1.0</v>
      </c>
      <c r="G157" s="670" t="s">
        <v>43</v>
      </c>
      <c r="H157" s="670" t="s">
        <v>2261</v>
      </c>
      <c r="I157" s="670" t="s">
        <v>2262</v>
      </c>
      <c r="J157" s="671">
        <v>46234.0</v>
      </c>
    </row>
    <row r="158">
      <c r="A158" s="670">
        <v>165.0</v>
      </c>
      <c r="B158" s="670" t="s">
        <v>2257</v>
      </c>
      <c r="C158" s="670" t="s">
        <v>2258</v>
      </c>
      <c r="D158" s="670" t="s">
        <v>2517</v>
      </c>
      <c r="E158" s="670" t="s">
        <v>2518</v>
      </c>
      <c r="F158" s="670">
        <v>1.0</v>
      </c>
      <c r="G158" s="670" t="s">
        <v>43</v>
      </c>
      <c r="H158" s="670" t="s">
        <v>2261</v>
      </c>
      <c r="I158" s="670" t="s">
        <v>2262</v>
      </c>
      <c r="J158" s="671">
        <v>46234.0</v>
      </c>
    </row>
    <row r="159">
      <c r="A159" s="670">
        <v>166.0</v>
      </c>
      <c r="B159" s="670" t="s">
        <v>2257</v>
      </c>
      <c r="C159" s="670" t="s">
        <v>2258</v>
      </c>
      <c r="D159" s="670" t="s">
        <v>2519</v>
      </c>
      <c r="E159" s="670" t="s">
        <v>2520</v>
      </c>
      <c r="F159" s="670">
        <v>1717.0</v>
      </c>
      <c r="G159" s="670" t="s">
        <v>759</v>
      </c>
      <c r="H159" s="670" t="s">
        <v>2261</v>
      </c>
      <c r="I159" s="670" t="s">
        <v>2262</v>
      </c>
      <c r="J159" s="671">
        <v>46234.0</v>
      </c>
    </row>
    <row r="160">
      <c r="A160" s="670">
        <v>167.0</v>
      </c>
      <c r="B160" s="670" t="s">
        <v>2257</v>
      </c>
      <c r="C160" s="670" t="s">
        <v>2258</v>
      </c>
      <c r="D160" s="670" t="s">
        <v>2521</v>
      </c>
      <c r="E160" s="670" t="s">
        <v>2522</v>
      </c>
      <c r="F160" s="670">
        <v>1.0</v>
      </c>
      <c r="G160" s="670" t="s">
        <v>1117</v>
      </c>
      <c r="H160" s="670" t="s">
        <v>2261</v>
      </c>
      <c r="I160" s="670" t="s">
        <v>2262</v>
      </c>
      <c r="J160" s="671">
        <v>46234.0</v>
      </c>
    </row>
    <row r="161">
      <c r="A161" s="670">
        <v>168.0</v>
      </c>
      <c r="B161" s="670" t="s">
        <v>2257</v>
      </c>
      <c r="C161" s="670" t="s">
        <v>2258</v>
      </c>
      <c r="D161" s="670" t="s">
        <v>2523</v>
      </c>
      <c r="E161" s="670" t="s">
        <v>2524</v>
      </c>
      <c r="F161" s="670">
        <v>1.0</v>
      </c>
      <c r="G161" s="670" t="s">
        <v>759</v>
      </c>
      <c r="H161" s="670" t="s">
        <v>2261</v>
      </c>
      <c r="I161" s="670" t="s">
        <v>2262</v>
      </c>
      <c r="J161" s="671">
        <v>46234.0</v>
      </c>
    </row>
    <row r="162">
      <c r="A162" s="670">
        <v>169.0</v>
      </c>
      <c r="B162" s="670" t="s">
        <v>2257</v>
      </c>
      <c r="C162" s="670" t="s">
        <v>2258</v>
      </c>
      <c r="D162" s="670" t="s">
        <v>2525</v>
      </c>
      <c r="E162" s="670" t="s">
        <v>2526</v>
      </c>
      <c r="F162" s="670">
        <v>1.0</v>
      </c>
      <c r="G162" s="670" t="s">
        <v>759</v>
      </c>
      <c r="H162" s="670" t="s">
        <v>2261</v>
      </c>
      <c r="I162" s="670" t="s">
        <v>2262</v>
      </c>
      <c r="J162" s="671">
        <v>46234.0</v>
      </c>
    </row>
    <row r="163">
      <c r="A163" s="670">
        <v>170.0</v>
      </c>
      <c r="B163" s="670" t="s">
        <v>2257</v>
      </c>
      <c r="C163" s="670" t="s">
        <v>2258</v>
      </c>
      <c r="D163" s="670" t="s">
        <v>2527</v>
      </c>
      <c r="E163" s="670" t="s">
        <v>2528</v>
      </c>
      <c r="F163" s="670">
        <v>1.0</v>
      </c>
      <c r="G163" s="670" t="s">
        <v>759</v>
      </c>
      <c r="H163" s="670" t="s">
        <v>2261</v>
      </c>
      <c r="I163" s="670" t="s">
        <v>2262</v>
      </c>
      <c r="J163" s="671">
        <v>46234.0</v>
      </c>
    </row>
    <row r="164">
      <c r="A164" s="670">
        <v>171.0</v>
      </c>
      <c r="B164" s="670" t="s">
        <v>2257</v>
      </c>
      <c r="C164" s="670" t="s">
        <v>2258</v>
      </c>
      <c r="D164" s="670" t="s">
        <v>2529</v>
      </c>
      <c r="E164" s="670" t="s">
        <v>2530</v>
      </c>
      <c r="F164" s="670">
        <v>1.0</v>
      </c>
      <c r="G164" s="670" t="s">
        <v>305</v>
      </c>
      <c r="H164" s="670" t="s">
        <v>2261</v>
      </c>
      <c r="I164" s="670" t="s">
        <v>2262</v>
      </c>
      <c r="J164" s="671">
        <v>46234.0</v>
      </c>
    </row>
    <row r="165">
      <c r="A165" s="670">
        <v>172.0</v>
      </c>
      <c r="B165" s="670" t="s">
        <v>2257</v>
      </c>
      <c r="C165" s="670" t="s">
        <v>2258</v>
      </c>
      <c r="D165" s="670" t="s">
        <v>2531</v>
      </c>
      <c r="E165" s="670" t="s">
        <v>2532</v>
      </c>
      <c r="F165" s="670">
        <v>1.0</v>
      </c>
      <c r="G165" s="670" t="s">
        <v>1117</v>
      </c>
      <c r="H165" s="670" t="s">
        <v>2261</v>
      </c>
      <c r="I165" s="670" t="s">
        <v>2262</v>
      </c>
      <c r="J165" s="671">
        <v>46234.0</v>
      </c>
    </row>
    <row r="166">
      <c r="A166" s="670">
        <v>173.0</v>
      </c>
      <c r="B166" s="670" t="s">
        <v>2257</v>
      </c>
      <c r="C166" s="670" t="s">
        <v>2258</v>
      </c>
      <c r="D166" s="670" t="s">
        <v>2534</v>
      </c>
      <c r="E166" s="670" t="s">
        <v>2535</v>
      </c>
      <c r="F166" s="670">
        <v>7500.0</v>
      </c>
      <c r="G166" s="670" t="s">
        <v>22</v>
      </c>
      <c r="H166" s="670" t="s">
        <v>2261</v>
      </c>
      <c r="I166" s="670" t="s">
        <v>2262</v>
      </c>
      <c r="J166" s="671">
        <v>46234.0</v>
      </c>
    </row>
    <row r="167">
      <c r="A167" s="670">
        <v>174.0</v>
      </c>
      <c r="B167" s="670" t="s">
        <v>2257</v>
      </c>
      <c r="C167" s="670" t="s">
        <v>2258</v>
      </c>
      <c r="D167" s="670" t="s">
        <v>2536</v>
      </c>
      <c r="E167" s="670" t="s">
        <v>2537</v>
      </c>
      <c r="F167" s="670">
        <v>1.0</v>
      </c>
      <c r="G167" s="670" t="s">
        <v>824</v>
      </c>
      <c r="H167" s="670" t="s">
        <v>2261</v>
      </c>
      <c r="I167" s="670" t="s">
        <v>2262</v>
      </c>
      <c r="J167" s="671">
        <v>46234.0</v>
      </c>
    </row>
    <row r="168">
      <c r="A168" s="670">
        <v>175.0</v>
      </c>
      <c r="B168" s="670" t="s">
        <v>2257</v>
      </c>
      <c r="C168" s="670" t="s">
        <v>2258</v>
      </c>
      <c r="D168" s="670" t="s">
        <v>2539</v>
      </c>
      <c r="E168" s="670" t="s">
        <v>2540</v>
      </c>
      <c r="F168" s="670">
        <v>1.0</v>
      </c>
      <c r="G168" s="670" t="s">
        <v>1117</v>
      </c>
      <c r="H168" s="670" t="s">
        <v>2261</v>
      </c>
      <c r="I168" s="670" t="s">
        <v>2262</v>
      </c>
      <c r="J168" s="671">
        <v>46234.0</v>
      </c>
    </row>
    <row r="169">
      <c r="A169" s="670">
        <v>176.0</v>
      </c>
      <c r="B169" s="670" t="s">
        <v>2257</v>
      </c>
      <c r="C169" s="670" t="s">
        <v>2258</v>
      </c>
      <c r="D169" s="670" t="s">
        <v>2541</v>
      </c>
      <c r="E169" s="670" t="s">
        <v>2542</v>
      </c>
      <c r="F169" s="670">
        <v>13.0</v>
      </c>
      <c r="G169" s="670" t="s">
        <v>2543</v>
      </c>
      <c r="H169" s="670" t="s">
        <v>2261</v>
      </c>
      <c r="I169" s="670" t="s">
        <v>2262</v>
      </c>
      <c r="J169" s="671">
        <v>46234.0</v>
      </c>
    </row>
    <row r="170">
      <c r="A170" s="670">
        <v>177.0</v>
      </c>
      <c r="B170" s="670" t="s">
        <v>2257</v>
      </c>
      <c r="C170" s="670" t="s">
        <v>2258</v>
      </c>
      <c r="D170" s="670" t="s">
        <v>2544</v>
      </c>
      <c r="E170" s="670" t="s">
        <v>2545</v>
      </c>
      <c r="F170" s="670">
        <v>2900.0</v>
      </c>
      <c r="G170" s="670" t="s">
        <v>22</v>
      </c>
      <c r="H170" s="670" t="s">
        <v>2261</v>
      </c>
      <c r="I170" s="670" t="s">
        <v>2262</v>
      </c>
      <c r="J170" s="671">
        <v>46234.0</v>
      </c>
    </row>
    <row r="171">
      <c r="A171" s="670">
        <v>179.0</v>
      </c>
      <c r="B171" s="670" t="s">
        <v>2257</v>
      </c>
      <c r="C171" s="670" t="s">
        <v>2258</v>
      </c>
      <c r="D171" s="670" t="s">
        <v>2546</v>
      </c>
      <c r="E171" s="670" t="s">
        <v>2547</v>
      </c>
      <c r="F171" s="670">
        <v>1.0</v>
      </c>
      <c r="G171" s="670" t="s">
        <v>824</v>
      </c>
      <c r="H171" s="670" t="s">
        <v>2261</v>
      </c>
      <c r="I171" s="670" t="s">
        <v>2262</v>
      </c>
      <c r="J171" s="671">
        <v>46234.0</v>
      </c>
    </row>
    <row r="172">
      <c r="A172" s="670">
        <v>180.0</v>
      </c>
      <c r="B172" s="670" t="s">
        <v>2257</v>
      </c>
      <c r="C172" s="670" t="s">
        <v>2258</v>
      </c>
      <c r="D172" s="670" t="s">
        <v>2548</v>
      </c>
      <c r="E172" s="670" t="s">
        <v>2549</v>
      </c>
      <c r="F172" s="670">
        <v>1.0</v>
      </c>
      <c r="G172" s="670" t="s">
        <v>43</v>
      </c>
      <c r="H172" s="670" t="s">
        <v>2261</v>
      </c>
      <c r="I172" s="670" t="s">
        <v>2262</v>
      </c>
      <c r="J172" s="671">
        <v>46234.0</v>
      </c>
    </row>
    <row r="173">
      <c r="A173" s="670">
        <v>181.0</v>
      </c>
      <c r="B173" s="670" t="s">
        <v>2257</v>
      </c>
      <c r="C173" s="670" t="s">
        <v>2258</v>
      </c>
      <c r="D173" s="670" t="s">
        <v>2550</v>
      </c>
      <c r="E173" s="670" t="s">
        <v>2551</v>
      </c>
      <c r="F173" s="670">
        <v>1.0</v>
      </c>
      <c r="G173" s="670" t="s">
        <v>759</v>
      </c>
      <c r="H173" s="670" t="s">
        <v>2261</v>
      </c>
      <c r="I173" s="670" t="s">
        <v>2262</v>
      </c>
      <c r="J173" s="671">
        <v>46234.0</v>
      </c>
    </row>
    <row r="174">
      <c r="A174" s="670">
        <v>182.0</v>
      </c>
      <c r="B174" s="670" t="s">
        <v>2257</v>
      </c>
      <c r="C174" s="670" t="s">
        <v>2258</v>
      </c>
      <c r="D174" s="670" t="s">
        <v>2552</v>
      </c>
      <c r="E174" s="670" t="s">
        <v>2387</v>
      </c>
      <c r="F174" s="670">
        <v>2000.0</v>
      </c>
      <c r="G174" s="670" t="s">
        <v>759</v>
      </c>
      <c r="H174" s="670" t="s">
        <v>2261</v>
      </c>
      <c r="I174" s="670" t="s">
        <v>2262</v>
      </c>
      <c r="J174" s="671">
        <v>46234.0</v>
      </c>
    </row>
    <row r="175">
      <c r="A175" s="670">
        <v>183.0</v>
      </c>
      <c r="B175" s="670" t="s">
        <v>2257</v>
      </c>
      <c r="C175" s="670" t="s">
        <v>2258</v>
      </c>
      <c r="D175" s="670" t="s">
        <v>2553</v>
      </c>
      <c r="E175" s="670" t="s">
        <v>2554</v>
      </c>
      <c r="F175" s="670">
        <v>39283.0</v>
      </c>
      <c r="G175" s="670" t="s">
        <v>249</v>
      </c>
      <c r="H175" s="670" t="s">
        <v>2261</v>
      </c>
      <c r="I175" s="670" t="s">
        <v>2262</v>
      </c>
      <c r="J175" s="671">
        <v>46234.0</v>
      </c>
    </row>
    <row r="176">
      <c r="A176" s="670">
        <v>184.0</v>
      </c>
      <c r="B176" s="670" t="s">
        <v>2257</v>
      </c>
      <c r="C176" s="670" t="s">
        <v>2258</v>
      </c>
      <c r="D176" s="670" t="s">
        <v>2555</v>
      </c>
      <c r="E176" s="670" t="s">
        <v>2556</v>
      </c>
      <c r="F176" s="670">
        <v>460.0</v>
      </c>
      <c r="G176" s="670" t="s">
        <v>22</v>
      </c>
      <c r="H176" s="670" t="s">
        <v>2261</v>
      </c>
      <c r="I176" s="670" t="s">
        <v>2262</v>
      </c>
      <c r="J176" s="671">
        <v>46234.0</v>
      </c>
    </row>
    <row r="177">
      <c r="A177" s="670">
        <v>185.0</v>
      </c>
      <c r="B177" s="670" t="s">
        <v>2257</v>
      </c>
      <c r="C177" s="670" t="s">
        <v>2258</v>
      </c>
      <c r="D177" s="670" t="s">
        <v>2557</v>
      </c>
      <c r="E177" s="670" t="s">
        <v>2558</v>
      </c>
      <c r="F177" s="670">
        <v>456.0</v>
      </c>
      <c r="G177" s="670" t="s">
        <v>824</v>
      </c>
      <c r="H177" s="670" t="s">
        <v>2261</v>
      </c>
      <c r="I177" s="670" t="s">
        <v>2262</v>
      </c>
      <c r="J177" s="671">
        <v>46234.0</v>
      </c>
    </row>
    <row r="178">
      <c r="A178" s="670">
        <v>186.0</v>
      </c>
      <c r="B178" s="670" t="s">
        <v>2559</v>
      </c>
      <c r="C178" s="670" t="s">
        <v>2258</v>
      </c>
      <c r="D178" s="670" t="s">
        <v>2560</v>
      </c>
      <c r="E178" s="670" t="s">
        <v>2561</v>
      </c>
      <c r="F178" s="670">
        <v>322.0</v>
      </c>
      <c r="G178" s="670" t="s">
        <v>2442</v>
      </c>
      <c r="H178" s="670" t="s">
        <v>2261</v>
      </c>
      <c r="I178" s="670" t="s">
        <v>2262</v>
      </c>
      <c r="J178" s="671">
        <v>46234.0</v>
      </c>
    </row>
    <row r="179">
      <c r="A179" s="670">
        <v>187.0</v>
      </c>
      <c r="B179" s="670" t="s">
        <v>2559</v>
      </c>
      <c r="C179" s="670" t="s">
        <v>2258</v>
      </c>
      <c r="D179" s="670" t="s">
        <v>2562</v>
      </c>
      <c r="E179" s="670" t="s">
        <v>2563</v>
      </c>
      <c r="F179" s="670">
        <v>2249.0</v>
      </c>
      <c r="G179" s="670" t="s">
        <v>2442</v>
      </c>
      <c r="H179" s="670" t="s">
        <v>2261</v>
      </c>
      <c r="I179" s="670" t="s">
        <v>2262</v>
      </c>
      <c r="J179" s="671">
        <v>46234.0</v>
      </c>
    </row>
    <row r="180">
      <c r="A180" s="670">
        <v>188.0</v>
      </c>
      <c r="B180" s="670" t="s">
        <v>2559</v>
      </c>
      <c r="C180" s="670" t="s">
        <v>2258</v>
      </c>
      <c r="D180" s="670" t="s">
        <v>2564</v>
      </c>
      <c r="E180" s="670" t="s">
        <v>2565</v>
      </c>
      <c r="F180" s="670">
        <v>1873.0</v>
      </c>
      <c r="G180" s="670" t="s">
        <v>2442</v>
      </c>
      <c r="H180" s="670" t="s">
        <v>2261</v>
      </c>
      <c r="I180" s="670" t="s">
        <v>2262</v>
      </c>
      <c r="J180" s="671">
        <v>46234.0</v>
      </c>
    </row>
    <row r="181">
      <c r="A181" s="670">
        <v>189.0</v>
      </c>
      <c r="B181" s="670" t="s">
        <v>2559</v>
      </c>
      <c r="C181" s="670" t="s">
        <v>2258</v>
      </c>
      <c r="D181" s="670" t="s">
        <v>2566</v>
      </c>
      <c r="E181" s="670" t="s">
        <v>2567</v>
      </c>
      <c r="F181" s="670">
        <v>1080.0</v>
      </c>
      <c r="G181" s="670" t="s">
        <v>2442</v>
      </c>
      <c r="H181" s="670" t="s">
        <v>2261</v>
      </c>
      <c r="I181" s="670" t="s">
        <v>2262</v>
      </c>
      <c r="J181" s="671">
        <v>46234.0</v>
      </c>
    </row>
    <row r="182">
      <c r="A182" s="670">
        <v>190.0</v>
      </c>
      <c r="B182" s="670" t="s">
        <v>2559</v>
      </c>
      <c r="C182" s="670" t="s">
        <v>2258</v>
      </c>
      <c r="D182" s="670" t="s">
        <v>2568</v>
      </c>
      <c r="E182" s="670" t="s">
        <v>2569</v>
      </c>
      <c r="F182" s="670">
        <v>200.0</v>
      </c>
      <c r="G182" s="670" t="s">
        <v>2442</v>
      </c>
      <c r="H182" s="670" t="s">
        <v>2261</v>
      </c>
      <c r="I182" s="670" t="s">
        <v>2262</v>
      </c>
      <c r="J182" s="671">
        <v>46234.0</v>
      </c>
    </row>
    <row r="183">
      <c r="A183" s="670">
        <v>191.0</v>
      </c>
      <c r="B183" s="670" t="s">
        <v>2559</v>
      </c>
      <c r="C183" s="670" t="s">
        <v>2258</v>
      </c>
      <c r="D183" s="670" t="s">
        <v>2570</v>
      </c>
      <c r="E183" s="670" t="s">
        <v>2571</v>
      </c>
      <c r="F183" s="670">
        <v>2888.0</v>
      </c>
      <c r="G183" s="670" t="s">
        <v>2442</v>
      </c>
      <c r="H183" s="670" t="s">
        <v>2572</v>
      </c>
      <c r="I183" s="670" t="s">
        <v>2573</v>
      </c>
      <c r="J183" s="671">
        <v>46234.0</v>
      </c>
    </row>
    <row r="184">
      <c r="A184" s="670">
        <v>192.0</v>
      </c>
      <c r="B184" s="670" t="s">
        <v>2559</v>
      </c>
      <c r="C184" s="670" t="s">
        <v>2258</v>
      </c>
      <c r="D184" s="670" t="s">
        <v>2574</v>
      </c>
      <c r="E184" s="670" t="s">
        <v>2575</v>
      </c>
      <c r="F184" s="670">
        <v>258.0</v>
      </c>
      <c r="G184" s="670" t="s">
        <v>2442</v>
      </c>
      <c r="H184" s="670" t="s">
        <v>2261</v>
      </c>
      <c r="I184" s="670" t="s">
        <v>2262</v>
      </c>
      <c r="J184" s="671">
        <v>46234.0</v>
      </c>
    </row>
    <row r="185">
      <c r="A185" s="670">
        <v>193.0</v>
      </c>
      <c r="B185" s="670" t="s">
        <v>2559</v>
      </c>
      <c r="C185" s="670" t="s">
        <v>2258</v>
      </c>
      <c r="D185" s="670" t="s">
        <v>2576</v>
      </c>
      <c r="E185" s="670" t="s">
        <v>2577</v>
      </c>
      <c r="F185" s="670">
        <v>16.0</v>
      </c>
      <c r="G185" s="670" t="s">
        <v>2442</v>
      </c>
      <c r="H185" s="670" t="s">
        <v>2261</v>
      </c>
      <c r="I185" s="670" t="s">
        <v>2262</v>
      </c>
      <c r="J185" s="671">
        <v>46234.0</v>
      </c>
    </row>
    <row r="186">
      <c r="A186" s="670">
        <v>194.0</v>
      </c>
      <c r="B186" s="670" t="s">
        <v>2559</v>
      </c>
      <c r="C186" s="670" t="s">
        <v>2258</v>
      </c>
      <c r="D186" s="670" t="s">
        <v>2578</v>
      </c>
      <c r="E186" s="670" t="s">
        <v>2579</v>
      </c>
      <c r="F186" s="670">
        <v>234.0</v>
      </c>
      <c r="G186" s="670" t="s">
        <v>2442</v>
      </c>
      <c r="H186" s="670" t="s">
        <v>2261</v>
      </c>
      <c r="I186" s="670" t="s">
        <v>2262</v>
      </c>
      <c r="J186" s="671">
        <v>46234.0</v>
      </c>
    </row>
    <row r="187">
      <c r="A187" s="670">
        <v>195.0</v>
      </c>
      <c r="B187" s="670" t="s">
        <v>2559</v>
      </c>
      <c r="C187" s="673" t="s">
        <v>2258</v>
      </c>
      <c r="D187" s="670" t="s">
        <v>2580</v>
      </c>
      <c r="E187" s="670" t="s">
        <v>2581</v>
      </c>
      <c r="F187" s="670">
        <v>234.0</v>
      </c>
      <c r="G187" s="670" t="s">
        <v>2442</v>
      </c>
      <c r="H187" s="670" t="s">
        <v>2261</v>
      </c>
      <c r="I187" s="670" t="s">
        <v>2262</v>
      </c>
      <c r="J187" s="671">
        <v>46234.0</v>
      </c>
    </row>
    <row r="188">
      <c r="A188" s="670">
        <v>196.0</v>
      </c>
      <c r="B188" s="670" t="s">
        <v>2559</v>
      </c>
      <c r="C188" s="673" t="s">
        <v>2258</v>
      </c>
      <c r="D188" s="670" t="s">
        <v>2582</v>
      </c>
      <c r="E188" s="670" t="s">
        <v>2583</v>
      </c>
      <c r="F188" s="670">
        <v>1289.0</v>
      </c>
      <c r="G188" s="670" t="s">
        <v>2442</v>
      </c>
      <c r="H188" s="670" t="s">
        <v>2261</v>
      </c>
      <c r="I188" s="670" t="s">
        <v>2262</v>
      </c>
      <c r="J188" s="671">
        <v>46234.0</v>
      </c>
    </row>
    <row r="189">
      <c r="A189" s="670">
        <v>197.0</v>
      </c>
      <c r="B189" s="670" t="s">
        <v>2559</v>
      </c>
      <c r="C189" s="673" t="s">
        <v>2258</v>
      </c>
      <c r="D189" s="670" t="s">
        <v>2584</v>
      </c>
      <c r="E189" s="670" t="s">
        <v>2585</v>
      </c>
      <c r="F189" s="670">
        <v>859.0</v>
      </c>
      <c r="G189" s="670" t="s">
        <v>2442</v>
      </c>
      <c r="H189" s="670" t="s">
        <v>2261</v>
      </c>
      <c r="I189" s="670" t="s">
        <v>2262</v>
      </c>
      <c r="J189" s="671">
        <v>46234.0</v>
      </c>
    </row>
    <row r="190">
      <c r="A190" s="670">
        <v>198.0</v>
      </c>
      <c r="B190" s="670" t="s">
        <v>2559</v>
      </c>
      <c r="C190" s="673" t="s">
        <v>2258</v>
      </c>
      <c r="D190" s="670" t="s">
        <v>2586</v>
      </c>
      <c r="E190" s="670" t="s">
        <v>2587</v>
      </c>
      <c r="F190" s="670">
        <v>358.0</v>
      </c>
      <c r="G190" s="670" t="s">
        <v>2442</v>
      </c>
      <c r="H190" s="670" t="s">
        <v>2261</v>
      </c>
      <c r="I190" s="670" t="s">
        <v>2262</v>
      </c>
      <c r="J190" s="671">
        <v>46234.0</v>
      </c>
    </row>
    <row r="191">
      <c r="A191" s="670">
        <v>199.0</v>
      </c>
      <c r="B191" s="670" t="s">
        <v>2559</v>
      </c>
      <c r="C191" s="673" t="s">
        <v>2258</v>
      </c>
      <c r="D191" s="670" t="s">
        <v>2588</v>
      </c>
      <c r="E191" s="670" t="s">
        <v>2589</v>
      </c>
      <c r="F191" s="670">
        <v>3748.0</v>
      </c>
      <c r="G191" s="670" t="s">
        <v>2442</v>
      </c>
      <c r="H191" s="670" t="s">
        <v>2261</v>
      </c>
      <c r="I191" s="670" t="s">
        <v>2262</v>
      </c>
      <c r="J191" s="671">
        <v>46234.0</v>
      </c>
    </row>
    <row r="192">
      <c r="A192" s="670">
        <v>200.0</v>
      </c>
      <c r="B192" s="670" t="s">
        <v>2559</v>
      </c>
      <c r="C192" s="673" t="s">
        <v>2258</v>
      </c>
      <c r="D192" s="670" t="s">
        <v>2590</v>
      </c>
      <c r="E192" s="670" t="s">
        <v>2591</v>
      </c>
      <c r="F192" s="670">
        <v>2222.0</v>
      </c>
      <c r="G192" s="670" t="s">
        <v>2442</v>
      </c>
      <c r="H192" s="670" t="s">
        <v>2261</v>
      </c>
      <c r="I192" s="670" t="s">
        <v>2262</v>
      </c>
      <c r="J192" s="671">
        <v>46234.0</v>
      </c>
    </row>
    <row r="193">
      <c r="A193" s="670">
        <v>201.0</v>
      </c>
      <c r="B193" s="670" t="s">
        <v>2559</v>
      </c>
      <c r="C193" s="673" t="s">
        <v>2258</v>
      </c>
      <c r="D193" s="670" t="s">
        <v>2592</v>
      </c>
      <c r="E193" s="670" t="s">
        <v>2593</v>
      </c>
      <c r="F193" s="670">
        <v>806.0</v>
      </c>
      <c r="G193" s="670" t="s">
        <v>2442</v>
      </c>
      <c r="H193" s="670" t="s">
        <v>2261</v>
      </c>
      <c r="I193" s="670" t="s">
        <v>2262</v>
      </c>
      <c r="J193" s="671">
        <v>46234.0</v>
      </c>
    </row>
    <row r="194">
      <c r="A194" s="670">
        <v>202.0</v>
      </c>
      <c r="B194" s="670" t="s">
        <v>2559</v>
      </c>
      <c r="C194" s="673" t="s">
        <v>2258</v>
      </c>
      <c r="D194" s="670" t="s">
        <v>2594</v>
      </c>
      <c r="E194" s="670" t="s">
        <v>2595</v>
      </c>
      <c r="F194" s="670">
        <v>812.0</v>
      </c>
      <c r="G194" s="670" t="s">
        <v>2442</v>
      </c>
      <c r="H194" s="670" t="s">
        <v>2261</v>
      </c>
      <c r="I194" s="670" t="s">
        <v>2262</v>
      </c>
      <c r="J194" s="671">
        <v>46234.0</v>
      </c>
    </row>
    <row r="195">
      <c r="A195" s="670">
        <v>203.0</v>
      </c>
      <c r="B195" s="670" t="s">
        <v>2559</v>
      </c>
      <c r="C195" s="673" t="s">
        <v>2258</v>
      </c>
      <c r="D195" s="670" t="s">
        <v>2596</v>
      </c>
      <c r="E195" s="670" t="s">
        <v>2597</v>
      </c>
      <c r="F195" s="670">
        <v>702.0</v>
      </c>
      <c r="G195" s="670" t="s">
        <v>2442</v>
      </c>
      <c r="H195" s="670" t="s">
        <v>2261</v>
      </c>
      <c r="I195" s="670" t="s">
        <v>2262</v>
      </c>
      <c r="J195" s="671">
        <v>46234.0</v>
      </c>
    </row>
    <row r="196">
      <c r="A196" s="670">
        <v>204.0</v>
      </c>
      <c r="B196" s="670" t="s">
        <v>2559</v>
      </c>
      <c r="C196" s="673" t="s">
        <v>2258</v>
      </c>
      <c r="D196" s="670" t="s">
        <v>2598</v>
      </c>
      <c r="E196" s="670" t="s">
        <v>2599</v>
      </c>
      <c r="F196" s="670">
        <v>374.0</v>
      </c>
      <c r="G196" s="670" t="s">
        <v>2442</v>
      </c>
      <c r="H196" s="670" t="s">
        <v>2261</v>
      </c>
      <c r="I196" s="670" t="s">
        <v>2262</v>
      </c>
      <c r="J196" s="671">
        <v>46234.0</v>
      </c>
    </row>
    <row r="197">
      <c r="A197" s="670">
        <v>205.0</v>
      </c>
      <c r="B197" s="670" t="s">
        <v>2559</v>
      </c>
      <c r="C197" s="673" t="s">
        <v>2258</v>
      </c>
      <c r="D197" s="670" t="s">
        <v>2600</v>
      </c>
      <c r="E197" s="670" t="s">
        <v>2601</v>
      </c>
      <c r="F197" s="670">
        <v>1046.0</v>
      </c>
      <c r="G197" s="670" t="s">
        <v>2442</v>
      </c>
      <c r="H197" s="670" t="s">
        <v>2261</v>
      </c>
      <c r="I197" s="670" t="s">
        <v>2262</v>
      </c>
      <c r="J197" s="671">
        <v>46234.0</v>
      </c>
    </row>
    <row r="198">
      <c r="A198" s="670">
        <v>206.0</v>
      </c>
      <c r="B198" s="670" t="s">
        <v>2559</v>
      </c>
      <c r="C198" s="673" t="s">
        <v>2258</v>
      </c>
      <c r="D198" s="670" t="s">
        <v>2602</v>
      </c>
      <c r="E198" s="670" t="s">
        <v>2603</v>
      </c>
      <c r="F198" s="670">
        <v>23579.0</v>
      </c>
      <c r="G198" s="670" t="s">
        <v>2442</v>
      </c>
      <c r="H198" s="670" t="s">
        <v>2261</v>
      </c>
      <c r="I198" s="670" t="s">
        <v>2262</v>
      </c>
      <c r="J198" s="671">
        <v>46234.0</v>
      </c>
    </row>
    <row r="199">
      <c r="A199" s="670">
        <v>207.0</v>
      </c>
      <c r="B199" s="670" t="s">
        <v>2559</v>
      </c>
      <c r="C199" s="673" t="s">
        <v>2258</v>
      </c>
      <c r="D199" s="670" t="s">
        <v>2604</v>
      </c>
      <c r="E199" s="670" t="s">
        <v>2605</v>
      </c>
      <c r="F199" s="670">
        <v>17438.0</v>
      </c>
      <c r="G199" s="670" t="s">
        <v>2442</v>
      </c>
      <c r="H199" s="670" t="s">
        <v>2261</v>
      </c>
      <c r="I199" s="670" t="s">
        <v>2262</v>
      </c>
      <c r="J199" s="671">
        <v>46234.0</v>
      </c>
    </row>
    <row r="200">
      <c r="A200" s="670">
        <v>208.0</v>
      </c>
      <c r="B200" s="670" t="s">
        <v>2559</v>
      </c>
      <c r="C200" s="673" t="s">
        <v>2258</v>
      </c>
      <c r="D200" s="670" t="s">
        <v>2606</v>
      </c>
      <c r="E200" s="670" t="s">
        <v>2607</v>
      </c>
      <c r="F200" s="670">
        <v>13945.0</v>
      </c>
      <c r="G200" s="670" t="s">
        <v>2442</v>
      </c>
      <c r="H200" s="670" t="s">
        <v>2261</v>
      </c>
      <c r="I200" s="670" t="s">
        <v>2262</v>
      </c>
      <c r="J200" s="671">
        <v>46234.0</v>
      </c>
    </row>
    <row r="201">
      <c r="A201" s="670">
        <v>209.0</v>
      </c>
      <c r="B201" s="670" t="s">
        <v>2559</v>
      </c>
      <c r="C201" s="673" t="s">
        <v>2258</v>
      </c>
      <c r="D201" s="670" t="s">
        <v>2608</v>
      </c>
      <c r="E201" s="670" t="s">
        <v>2609</v>
      </c>
      <c r="F201" s="670">
        <v>11165.0</v>
      </c>
      <c r="G201" s="670" t="s">
        <v>2442</v>
      </c>
      <c r="H201" s="670" t="s">
        <v>2261</v>
      </c>
      <c r="I201" s="670" t="s">
        <v>2262</v>
      </c>
      <c r="J201" s="671">
        <v>46234.0</v>
      </c>
    </row>
    <row r="202">
      <c r="A202" s="670">
        <v>210.0</v>
      </c>
      <c r="B202" s="670" t="s">
        <v>2559</v>
      </c>
      <c r="C202" s="673" t="s">
        <v>2258</v>
      </c>
      <c r="D202" s="670" t="s">
        <v>2610</v>
      </c>
      <c r="E202" s="670" t="s">
        <v>2611</v>
      </c>
      <c r="F202" s="670">
        <v>2654.0</v>
      </c>
      <c r="G202" s="670" t="s">
        <v>2442</v>
      </c>
      <c r="H202" s="670" t="s">
        <v>2261</v>
      </c>
      <c r="I202" s="670" t="s">
        <v>2262</v>
      </c>
      <c r="J202" s="671">
        <v>46234.0</v>
      </c>
    </row>
    <row r="203">
      <c r="A203" s="670">
        <v>211.0</v>
      </c>
      <c r="B203" s="670" t="s">
        <v>2559</v>
      </c>
      <c r="C203" s="673" t="s">
        <v>2258</v>
      </c>
      <c r="D203" s="670" t="s">
        <v>2612</v>
      </c>
      <c r="E203" s="670" t="s">
        <v>2613</v>
      </c>
      <c r="F203" s="670">
        <v>1312.0</v>
      </c>
      <c r="G203" s="670" t="s">
        <v>2442</v>
      </c>
      <c r="H203" s="670" t="s">
        <v>2261</v>
      </c>
      <c r="I203" s="670" t="s">
        <v>2262</v>
      </c>
      <c r="J203" s="671">
        <v>46234.0</v>
      </c>
    </row>
    <row r="204">
      <c r="A204" s="670">
        <v>212.0</v>
      </c>
      <c r="B204" s="670" t="s">
        <v>2559</v>
      </c>
      <c r="C204" s="673" t="s">
        <v>2258</v>
      </c>
      <c r="D204" s="670" t="s">
        <v>2614</v>
      </c>
      <c r="E204" s="670" t="s">
        <v>2615</v>
      </c>
      <c r="F204" s="670">
        <v>8729.0</v>
      </c>
      <c r="G204" s="670" t="s">
        <v>2442</v>
      </c>
      <c r="H204" s="670" t="s">
        <v>2261</v>
      </c>
      <c r="I204" s="670" t="s">
        <v>2262</v>
      </c>
      <c r="J204" s="671">
        <v>46234.0</v>
      </c>
    </row>
    <row r="205">
      <c r="A205" s="670">
        <v>213.0</v>
      </c>
      <c r="B205" s="670" t="s">
        <v>2559</v>
      </c>
      <c r="C205" s="673" t="s">
        <v>2258</v>
      </c>
      <c r="D205" s="670" t="s">
        <v>2616</v>
      </c>
      <c r="E205" s="670" t="s">
        <v>2617</v>
      </c>
      <c r="F205" s="670">
        <v>18365.0</v>
      </c>
      <c r="G205" s="670" t="s">
        <v>2442</v>
      </c>
      <c r="H205" s="670" t="s">
        <v>2261</v>
      </c>
      <c r="I205" s="670" t="s">
        <v>2262</v>
      </c>
      <c r="J205" s="671">
        <v>46234.0</v>
      </c>
    </row>
    <row r="206">
      <c r="A206" s="670">
        <v>214.0</v>
      </c>
      <c r="B206" s="670" t="s">
        <v>2559</v>
      </c>
      <c r="C206" s="673" t="s">
        <v>2258</v>
      </c>
      <c r="D206" s="670" t="s">
        <v>2618</v>
      </c>
      <c r="E206" s="670" t="s">
        <v>2619</v>
      </c>
      <c r="F206" s="670">
        <v>312.0</v>
      </c>
      <c r="G206" s="670" t="s">
        <v>2442</v>
      </c>
      <c r="H206" s="670" t="s">
        <v>2261</v>
      </c>
      <c r="I206" s="670" t="s">
        <v>2262</v>
      </c>
      <c r="J206" s="671">
        <v>46234.0</v>
      </c>
    </row>
    <row r="207">
      <c r="A207" s="670">
        <v>215.0</v>
      </c>
      <c r="B207" s="670" t="s">
        <v>2559</v>
      </c>
      <c r="C207" s="673" t="s">
        <v>2258</v>
      </c>
      <c r="D207" s="670" t="s">
        <v>2621</v>
      </c>
      <c r="E207" s="670" t="s">
        <v>2622</v>
      </c>
      <c r="F207" s="670">
        <v>62.0</v>
      </c>
      <c r="G207" s="670" t="s">
        <v>2442</v>
      </c>
      <c r="H207" s="670" t="s">
        <v>2261</v>
      </c>
      <c r="I207" s="670" t="s">
        <v>2262</v>
      </c>
      <c r="J207" s="671">
        <v>46234.0</v>
      </c>
    </row>
    <row r="208">
      <c r="A208" s="670">
        <v>216.0</v>
      </c>
      <c r="B208" s="670" t="s">
        <v>2559</v>
      </c>
      <c r="C208" s="673" t="s">
        <v>2258</v>
      </c>
      <c r="D208" s="670" t="s">
        <v>2623</v>
      </c>
      <c r="E208" s="670" t="s">
        <v>2624</v>
      </c>
      <c r="F208" s="670">
        <v>358.0</v>
      </c>
      <c r="G208" s="670" t="s">
        <v>2442</v>
      </c>
      <c r="H208" s="670" t="s">
        <v>2261</v>
      </c>
      <c r="I208" s="670" t="s">
        <v>2262</v>
      </c>
      <c r="J208" s="671">
        <v>46234.0</v>
      </c>
    </row>
    <row r="209">
      <c r="A209" s="670">
        <v>217.0</v>
      </c>
      <c r="B209" s="670" t="s">
        <v>2559</v>
      </c>
      <c r="C209" s="673" t="s">
        <v>2258</v>
      </c>
      <c r="D209" s="670" t="s">
        <v>2626</v>
      </c>
      <c r="E209" s="670" t="s">
        <v>2627</v>
      </c>
      <c r="F209" s="670">
        <v>2413.0</v>
      </c>
      <c r="G209" s="670" t="s">
        <v>2442</v>
      </c>
      <c r="H209" s="670" t="s">
        <v>2261</v>
      </c>
      <c r="I209" s="670" t="s">
        <v>2262</v>
      </c>
      <c r="J209" s="671">
        <v>46234.0</v>
      </c>
    </row>
    <row r="210">
      <c r="A210" s="670">
        <v>219.0</v>
      </c>
      <c r="B210" s="670" t="s">
        <v>2559</v>
      </c>
      <c r="C210" s="673" t="s">
        <v>2258</v>
      </c>
      <c r="D210" s="670" t="s">
        <v>2628</v>
      </c>
      <c r="E210" s="670" t="s">
        <v>2629</v>
      </c>
      <c r="F210" s="670">
        <v>1015.0</v>
      </c>
      <c r="G210" s="670" t="s">
        <v>2442</v>
      </c>
      <c r="H210" s="670" t="s">
        <v>2261</v>
      </c>
      <c r="I210" s="670" t="s">
        <v>2262</v>
      </c>
      <c r="J210" s="671">
        <v>46234.0</v>
      </c>
    </row>
    <row r="211">
      <c r="A211" s="670">
        <v>220.0</v>
      </c>
      <c r="B211" s="670" t="s">
        <v>2559</v>
      </c>
      <c r="C211" s="673" t="s">
        <v>2258</v>
      </c>
      <c r="D211" s="670" t="s">
        <v>2631</v>
      </c>
      <c r="E211" s="670" t="s">
        <v>2632</v>
      </c>
      <c r="F211" s="670">
        <v>983.0</v>
      </c>
      <c r="G211" s="670" t="s">
        <v>2442</v>
      </c>
      <c r="H211" s="670" t="s">
        <v>2261</v>
      </c>
      <c r="I211" s="670" t="s">
        <v>2262</v>
      </c>
      <c r="J211" s="671">
        <v>46234.0</v>
      </c>
    </row>
    <row r="212">
      <c r="A212" s="670">
        <v>221.0</v>
      </c>
      <c r="B212" s="670" t="s">
        <v>2559</v>
      </c>
      <c r="C212" s="673" t="s">
        <v>2258</v>
      </c>
      <c r="D212" s="670" t="s">
        <v>2633</v>
      </c>
      <c r="E212" s="670" t="s">
        <v>2634</v>
      </c>
      <c r="F212" s="670">
        <v>5504.0</v>
      </c>
      <c r="G212" s="670" t="s">
        <v>2442</v>
      </c>
      <c r="H212" s="670" t="s">
        <v>2572</v>
      </c>
      <c r="I212" s="670" t="s">
        <v>2573</v>
      </c>
      <c r="J212" s="671">
        <v>46234.0</v>
      </c>
    </row>
    <row r="213">
      <c r="A213" s="670">
        <v>222.0</v>
      </c>
      <c r="B213" s="670" t="s">
        <v>2559</v>
      </c>
      <c r="C213" s="673" t="s">
        <v>2258</v>
      </c>
      <c r="D213" s="670" t="s">
        <v>2635</v>
      </c>
      <c r="E213" s="670" t="s">
        <v>2636</v>
      </c>
      <c r="F213" s="670">
        <v>1252.0</v>
      </c>
      <c r="G213" s="670" t="s">
        <v>2442</v>
      </c>
      <c r="H213" s="670" t="s">
        <v>2261</v>
      </c>
      <c r="I213" s="670" t="s">
        <v>2262</v>
      </c>
      <c r="J213" s="671">
        <v>46234.0</v>
      </c>
    </row>
    <row r="214">
      <c r="A214" s="670">
        <v>223.0</v>
      </c>
      <c r="B214" s="670" t="s">
        <v>2559</v>
      </c>
      <c r="C214" s="673" t="s">
        <v>2258</v>
      </c>
      <c r="D214" s="670" t="s">
        <v>2637</v>
      </c>
      <c r="E214" s="670" t="s">
        <v>2638</v>
      </c>
      <c r="F214" s="670">
        <v>4201.0</v>
      </c>
      <c r="G214" s="670" t="s">
        <v>2442</v>
      </c>
      <c r="H214" s="670" t="s">
        <v>2261</v>
      </c>
      <c r="I214" s="670" t="s">
        <v>2262</v>
      </c>
      <c r="J214" s="671">
        <v>46234.0</v>
      </c>
    </row>
    <row r="215">
      <c r="A215" s="670">
        <v>224.0</v>
      </c>
      <c r="B215" s="670" t="s">
        <v>2559</v>
      </c>
      <c r="C215" s="673" t="s">
        <v>2258</v>
      </c>
      <c r="D215" s="670" t="s">
        <v>2639</v>
      </c>
      <c r="E215" s="670" t="s">
        <v>2640</v>
      </c>
      <c r="F215" s="670">
        <v>914.0</v>
      </c>
      <c r="G215" s="670" t="s">
        <v>2442</v>
      </c>
      <c r="H215" s="670" t="s">
        <v>2261</v>
      </c>
      <c r="I215" s="670" t="s">
        <v>2262</v>
      </c>
      <c r="J215" s="671">
        <v>46234.0</v>
      </c>
    </row>
    <row r="216">
      <c r="A216" s="670">
        <v>225.0</v>
      </c>
      <c r="B216" s="670" t="s">
        <v>2559</v>
      </c>
      <c r="C216" s="673" t="s">
        <v>2258</v>
      </c>
      <c r="D216" s="670" t="s">
        <v>2641</v>
      </c>
      <c r="E216" s="670" t="s">
        <v>2642</v>
      </c>
      <c r="F216" s="670">
        <v>130.0</v>
      </c>
      <c r="G216" s="670" t="s">
        <v>2442</v>
      </c>
      <c r="H216" s="670" t="s">
        <v>2261</v>
      </c>
      <c r="I216" s="670" t="s">
        <v>2262</v>
      </c>
      <c r="J216" s="671">
        <v>46234.0</v>
      </c>
    </row>
    <row r="217">
      <c r="A217" s="670">
        <v>226.0</v>
      </c>
      <c r="B217" s="670" t="s">
        <v>2559</v>
      </c>
      <c r="C217" s="673" t="s">
        <v>2258</v>
      </c>
      <c r="D217" s="670" t="s">
        <v>2643</v>
      </c>
      <c r="E217" s="670" t="s">
        <v>2644</v>
      </c>
      <c r="F217" s="670">
        <v>28.0</v>
      </c>
      <c r="G217" s="670" t="s">
        <v>2442</v>
      </c>
      <c r="H217" s="670" t="s">
        <v>2261</v>
      </c>
      <c r="I217" s="670" t="s">
        <v>2262</v>
      </c>
      <c r="J217" s="671">
        <v>46234.0</v>
      </c>
    </row>
    <row r="218">
      <c r="A218" s="670">
        <v>227.0</v>
      </c>
      <c r="B218" s="670" t="s">
        <v>2559</v>
      </c>
      <c r="C218" s="673" t="s">
        <v>2258</v>
      </c>
      <c r="D218" s="670" t="s">
        <v>2645</v>
      </c>
      <c r="E218" s="670" t="s">
        <v>2646</v>
      </c>
      <c r="F218" s="670">
        <v>17.0</v>
      </c>
      <c r="G218" s="670" t="s">
        <v>2442</v>
      </c>
      <c r="H218" s="670" t="s">
        <v>2261</v>
      </c>
      <c r="I218" s="670" t="s">
        <v>2262</v>
      </c>
      <c r="J218" s="671">
        <v>46234.0</v>
      </c>
    </row>
    <row r="219">
      <c r="A219" s="670">
        <v>228.0</v>
      </c>
      <c r="B219" s="670" t="s">
        <v>2559</v>
      </c>
      <c r="C219" s="670" t="s">
        <v>2258</v>
      </c>
      <c r="D219" s="670" t="s">
        <v>2647</v>
      </c>
      <c r="E219" s="670" t="s">
        <v>2648</v>
      </c>
      <c r="F219" s="670">
        <v>93.0</v>
      </c>
      <c r="G219" s="670" t="s">
        <v>2442</v>
      </c>
      <c r="H219" s="670" t="s">
        <v>2261</v>
      </c>
      <c r="I219" s="670" t="s">
        <v>2262</v>
      </c>
      <c r="J219" s="671">
        <v>46234.0</v>
      </c>
    </row>
    <row r="220">
      <c r="A220" s="670">
        <v>229.0</v>
      </c>
      <c r="B220" s="670" t="s">
        <v>2559</v>
      </c>
      <c r="C220" s="673" t="s">
        <v>2258</v>
      </c>
      <c r="D220" s="670" t="s">
        <v>2649</v>
      </c>
      <c r="E220" s="670" t="s">
        <v>2650</v>
      </c>
      <c r="F220" s="670">
        <v>464.0</v>
      </c>
      <c r="G220" s="670" t="s">
        <v>2442</v>
      </c>
      <c r="H220" s="670" t="s">
        <v>2261</v>
      </c>
      <c r="I220" s="670" t="s">
        <v>2262</v>
      </c>
      <c r="J220" s="671">
        <v>46234.0</v>
      </c>
    </row>
    <row r="221">
      <c r="A221" s="670">
        <v>230.0</v>
      </c>
      <c r="B221" s="670" t="s">
        <v>2559</v>
      </c>
      <c r="C221" s="673" t="s">
        <v>2258</v>
      </c>
      <c r="D221" s="670" t="s">
        <v>2651</v>
      </c>
      <c r="E221" s="670" t="s">
        <v>2652</v>
      </c>
      <c r="F221" s="670">
        <v>1152.0</v>
      </c>
      <c r="G221" s="670" t="s">
        <v>2442</v>
      </c>
      <c r="H221" s="670" t="s">
        <v>2261</v>
      </c>
      <c r="I221" s="670" t="s">
        <v>2262</v>
      </c>
      <c r="J221" s="671">
        <v>46234.0</v>
      </c>
    </row>
    <row r="222">
      <c r="A222" s="670">
        <v>231.0</v>
      </c>
      <c r="B222" s="670" t="s">
        <v>2559</v>
      </c>
      <c r="C222" s="673" t="s">
        <v>2258</v>
      </c>
      <c r="D222" s="670" t="s">
        <v>2653</v>
      </c>
      <c r="E222" s="670" t="s">
        <v>2654</v>
      </c>
      <c r="F222" s="670">
        <v>3.0</v>
      </c>
      <c r="G222" s="670" t="s">
        <v>2655</v>
      </c>
      <c r="H222" s="670" t="s">
        <v>2261</v>
      </c>
      <c r="I222" s="670" t="s">
        <v>2262</v>
      </c>
      <c r="J222" s="671">
        <v>46234.0</v>
      </c>
    </row>
    <row r="223">
      <c r="A223" s="670">
        <v>232.0</v>
      </c>
      <c r="B223" s="670" t="s">
        <v>2559</v>
      </c>
      <c r="C223" s="673" t="s">
        <v>2258</v>
      </c>
      <c r="D223" s="670" t="s">
        <v>2656</v>
      </c>
      <c r="E223" s="670" t="s">
        <v>2657</v>
      </c>
      <c r="F223" s="670">
        <v>312.0</v>
      </c>
      <c r="G223" s="670" t="s">
        <v>2442</v>
      </c>
      <c r="H223" s="670" t="s">
        <v>2261</v>
      </c>
      <c r="I223" s="670" t="s">
        <v>2262</v>
      </c>
      <c r="J223" s="671">
        <v>46234.0</v>
      </c>
    </row>
    <row r="224">
      <c r="A224" s="670">
        <v>233.0</v>
      </c>
      <c r="B224" s="670" t="s">
        <v>2559</v>
      </c>
      <c r="C224" s="673" t="s">
        <v>2258</v>
      </c>
      <c r="D224" s="670" t="s">
        <v>2658</v>
      </c>
      <c r="E224" s="670" t="s">
        <v>2659</v>
      </c>
      <c r="F224" s="670">
        <v>938.0</v>
      </c>
      <c r="G224" s="670" t="s">
        <v>2442</v>
      </c>
      <c r="H224" s="670" t="s">
        <v>2261</v>
      </c>
      <c r="I224" s="670" t="s">
        <v>2262</v>
      </c>
      <c r="J224" s="671">
        <v>46234.0</v>
      </c>
    </row>
    <row r="225">
      <c r="A225" s="670">
        <v>234.0</v>
      </c>
      <c r="B225" s="670" t="s">
        <v>2559</v>
      </c>
      <c r="C225" s="673" t="s">
        <v>2258</v>
      </c>
      <c r="D225" s="670" t="s">
        <v>2660</v>
      </c>
      <c r="E225" s="670" t="s">
        <v>2661</v>
      </c>
      <c r="F225" s="670">
        <v>859.0</v>
      </c>
      <c r="G225" s="670" t="s">
        <v>2442</v>
      </c>
      <c r="H225" s="670" t="s">
        <v>2261</v>
      </c>
      <c r="I225" s="670" t="s">
        <v>2262</v>
      </c>
      <c r="J225" s="671">
        <v>46234.0</v>
      </c>
    </row>
    <row r="226">
      <c r="A226" s="670">
        <v>235.0</v>
      </c>
      <c r="B226" s="670" t="s">
        <v>2559</v>
      </c>
      <c r="C226" s="673" t="s">
        <v>2258</v>
      </c>
      <c r="D226" s="670" t="s">
        <v>2662</v>
      </c>
      <c r="E226" s="670" t="s">
        <v>2663</v>
      </c>
      <c r="F226" s="670">
        <v>365.0</v>
      </c>
      <c r="G226" s="670" t="s">
        <v>2442</v>
      </c>
      <c r="H226" s="670" t="s">
        <v>2261</v>
      </c>
      <c r="I226" s="670" t="s">
        <v>2262</v>
      </c>
      <c r="J226" s="671">
        <v>46234.0</v>
      </c>
    </row>
    <row r="227">
      <c r="A227" s="670">
        <v>236.0</v>
      </c>
      <c r="B227" s="670" t="s">
        <v>2559</v>
      </c>
      <c r="C227" s="673" t="s">
        <v>2258</v>
      </c>
      <c r="D227" s="670" t="s">
        <v>2664</v>
      </c>
      <c r="E227" s="670" t="s">
        <v>2665</v>
      </c>
      <c r="F227" s="670">
        <v>382.0</v>
      </c>
      <c r="G227" s="670" t="s">
        <v>2442</v>
      </c>
      <c r="H227" s="670" t="s">
        <v>2261</v>
      </c>
      <c r="I227" s="670" t="s">
        <v>2262</v>
      </c>
      <c r="J227" s="671">
        <v>46234.0</v>
      </c>
    </row>
    <row r="228">
      <c r="A228" s="670">
        <v>237.0</v>
      </c>
      <c r="B228" s="670" t="s">
        <v>2559</v>
      </c>
      <c r="C228" s="673" t="s">
        <v>2258</v>
      </c>
      <c r="D228" s="670" t="s">
        <v>2666</v>
      </c>
      <c r="E228" s="670" t="s">
        <v>2667</v>
      </c>
      <c r="F228" s="670">
        <v>393.0</v>
      </c>
      <c r="G228" s="670" t="s">
        <v>2442</v>
      </c>
      <c r="H228" s="670" t="s">
        <v>2261</v>
      </c>
      <c r="I228" s="670" t="s">
        <v>2262</v>
      </c>
      <c r="J228" s="671">
        <v>46234.0</v>
      </c>
    </row>
    <row r="229">
      <c r="A229" s="670">
        <v>238.0</v>
      </c>
      <c r="B229" s="670" t="s">
        <v>2559</v>
      </c>
      <c r="C229" s="673" t="s">
        <v>2258</v>
      </c>
      <c r="D229" s="670" t="s">
        <v>2668</v>
      </c>
      <c r="E229" s="670" t="s">
        <v>2669</v>
      </c>
      <c r="F229" s="670">
        <v>23.0</v>
      </c>
      <c r="G229" s="670" t="s">
        <v>755</v>
      </c>
      <c r="H229" s="670" t="s">
        <v>2261</v>
      </c>
      <c r="I229" s="670" t="s">
        <v>2262</v>
      </c>
      <c r="J229" s="671">
        <v>46234.0</v>
      </c>
    </row>
    <row r="230">
      <c r="A230" s="670">
        <v>239.0</v>
      </c>
      <c r="B230" s="670" t="s">
        <v>2559</v>
      </c>
      <c r="C230" s="673" t="s">
        <v>2258</v>
      </c>
      <c r="D230" s="670" t="s">
        <v>2670</v>
      </c>
      <c r="E230" s="670" t="s">
        <v>2669</v>
      </c>
      <c r="F230" s="670">
        <v>312.0</v>
      </c>
      <c r="G230" s="670" t="s">
        <v>2442</v>
      </c>
      <c r="H230" s="670" t="s">
        <v>2261</v>
      </c>
      <c r="I230" s="670" t="s">
        <v>2262</v>
      </c>
      <c r="J230" s="671">
        <v>46234.0</v>
      </c>
    </row>
    <row r="231">
      <c r="A231" s="670">
        <v>240.0</v>
      </c>
      <c r="B231" s="670" t="s">
        <v>2559</v>
      </c>
      <c r="C231" s="673" t="s">
        <v>2258</v>
      </c>
      <c r="D231" s="670" t="s">
        <v>2671</v>
      </c>
      <c r="E231" s="670" t="s">
        <v>2669</v>
      </c>
      <c r="F231" s="670">
        <v>3.0</v>
      </c>
      <c r="G231" s="670" t="s">
        <v>2655</v>
      </c>
      <c r="H231" s="670" t="s">
        <v>2261</v>
      </c>
      <c r="I231" s="670" t="s">
        <v>2262</v>
      </c>
      <c r="J231" s="671">
        <v>46234.0</v>
      </c>
    </row>
    <row r="232">
      <c r="A232" s="670">
        <v>241.0</v>
      </c>
      <c r="B232" s="670" t="s">
        <v>2559</v>
      </c>
      <c r="C232" s="673" t="s">
        <v>2258</v>
      </c>
      <c r="D232" s="670" t="s">
        <v>2672</v>
      </c>
      <c r="E232" s="670" t="s">
        <v>2673</v>
      </c>
      <c r="F232" s="670">
        <v>1553.0</v>
      </c>
      <c r="G232" s="670" t="s">
        <v>2442</v>
      </c>
      <c r="H232" s="670" t="s">
        <v>2261</v>
      </c>
      <c r="I232" s="670" t="s">
        <v>2262</v>
      </c>
      <c r="J232" s="671">
        <v>46234.0</v>
      </c>
    </row>
    <row r="233">
      <c r="A233" s="670">
        <v>242.0</v>
      </c>
      <c r="B233" s="670" t="s">
        <v>2559</v>
      </c>
      <c r="C233" s="673" t="s">
        <v>2258</v>
      </c>
      <c r="D233" s="670" t="s">
        <v>2674</v>
      </c>
      <c r="E233" s="670" t="s">
        <v>2675</v>
      </c>
      <c r="F233" s="670">
        <v>250.0</v>
      </c>
      <c r="G233" s="670" t="s">
        <v>2442</v>
      </c>
      <c r="H233" s="670" t="s">
        <v>2261</v>
      </c>
      <c r="I233" s="670" t="s">
        <v>2262</v>
      </c>
      <c r="J233" s="671">
        <v>46234.0</v>
      </c>
    </row>
    <row r="234">
      <c r="A234" s="670">
        <v>243.0</v>
      </c>
      <c r="B234" s="670" t="s">
        <v>2559</v>
      </c>
      <c r="C234" s="673" t="s">
        <v>2258</v>
      </c>
      <c r="D234" s="670" t="s">
        <v>2676</v>
      </c>
      <c r="E234" s="670" t="s">
        <v>2675</v>
      </c>
      <c r="F234" s="670">
        <v>25.0</v>
      </c>
      <c r="G234" s="670" t="s">
        <v>755</v>
      </c>
      <c r="H234" s="670" t="s">
        <v>2261</v>
      </c>
      <c r="I234" s="670" t="s">
        <v>2262</v>
      </c>
      <c r="J234" s="671">
        <v>46234.0</v>
      </c>
    </row>
    <row r="235">
      <c r="A235" s="670">
        <v>244.0</v>
      </c>
      <c r="B235" s="670" t="s">
        <v>2559</v>
      </c>
      <c r="C235" s="673" t="s">
        <v>2258</v>
      </c>
      <c r="D235" s="670" t="s">
        <v>2677</v>
      </c>
      <c r="E235" s="670" t="s">
        <v>2678</v>
      </c>
      <c r="F235" s="670">
        <v>1213.0</v>
      </c>
      <c r="G235" s="670" t="s">
        <v>2442</v>
      </c>
      <c r="H235" s="670" t="s">
        <v>2261</v>
      </c>
      <c r="I235" s="670" t="s">
        <v>2262</v>
      </c>
      <c r="J235" s="671">
        <v>46234.0</v>
      </c>
    </row>
    <row r="236">
      <c r="A236" s="670">
        <v>245.0</v>
      </c>
      <c r="B236" s="670" t="s">
        <v>2559</v>
      </c>
      <c r="C236" s="673" t="s">
        <v>2258</v>
      </c>
      <c r="D236" s="670" t="s">
        <v>2679</v>
      </c>
      <c r="E236" s="670" t="s">
        <v>2680</v>
      </c>
      <c r="F236" s="670">
        <v>322.0</v>
      </c>
      <c r="G236" s="670" t="s">
        <v>2442</v>
      </c>
      <c r="H236" s="670" t="s">
        <v>2261</v>
      </c>
      <c r="I236" s="670" t="s">
        <v>2262</v>
      </c>
      <c r="J236" s="671">
        <v>46234.0</v>
      </c>
    </row>
    <row r="237">
      <c r="A237" s="670">
        <v>246.0</v>
      </c>
      <c r="B237" s="670" t="s">
        <v>2559</v>
      </c>
      <c r="C237" s="673" t="s">
        <v>2258</v>
      </c>
      <c r="D237" s="670" t="s">
        <v>2681</v>
      </c>
      <c r="E237" s="670" t="s">
        <v>2682</v>
      </c>
      <c r="F237" s="670">
        <v>358.0</v>
      </c>
      <c r="G237" s="670" t="s">
        <v>2442</v>
      </c>
      <c r="H237" s="670" t="s">
        <v>2261</v>
      </c>
      <c r="I237" s="670" t="s">
        <v>2262</v>
      </c>
      <c r="J237" s="671">
        <v>46234.0</v>
      </c>
    </row>
    <row r="238">
      <c r="A238" s="670">
        <v>247.0</v>
      </c>
      <c r="B238" s="670" t="s">
        <v>2559</v>
      </c>
      <c r="C238" s="673" t="s">
        <v>2258</v>
      </c>
      <c r="D238" s="670" t="s">
        <v>2683</v>
      </c>
      <c r="E238" s="670" t="s">
        <v>2684</v>
      </c>
      <c r="F238" s="670">
        <v>46.0</v>
      </c>
      <c r="G238" s="670" t="s">
        <v>759</v>
      </c>
      <c r="H238" s="670" t="s">
        <v>2261</v>
      </c>
      <c r="I238" s="670" t="s">
        <v>2262</v>
      </c>
      <c r="J238" s="671">
        <v>46234.0</v>
      </c>
    </row>
    <row r="239">
      <c r="A239" s="670">
        <v>248.0</v>
      </c>
      <c r="B239" s="670" t="s">
        <v>2559</v>
      </c>
      <c r="C239" s="673" t="s">
        <v>2258</v>
      </c>
      <c r="D239" s="670" t="s">
        <v>2685</v>
      </c>
      <c r="E239" s="670" t="s">
        <v>2686</v>
      </c>
      <c r="F239" s="670">
        <v>859.0</v>
      </c>
      <c r="G239" s="670" t="s">
        <v>2442</v>
      </c>
      <c r="H239" s="670" t="s">
        <v>2261</v>
      </c>
      <c r="I239" s="670" t="s">
        <v>2262</v>
      </c>
      <c r="J239" s="671">
        <v>46234.0</v>
      </c>
    </row>
    <row r="240">
      <c r="A240" s="670">
        <v>249.0</v>
      </c>
      <c r="B240" s="670" t="s">
        <v>2559</v>
      </c>
      <c r="C240" s="673" t="s">
        <v>2258</v>
      </c>
      <c r="D240" s="670" t="s">
        <v>2687</v>
      </c>
      <c r="E240" s="670" t="s">
        <v>2688</v>
      </c>
      <c r="F240" s="670">
        <v>374.0</v>
      </c>
      <c r="G240" s="670" t="s">
        <v>2442</v>
      </c>
      <c r="H240" s="670" t="s">
        <v>2261</v>
      </c>
      <c r="I240" s="670" t="s">
        <v>2262</v>
      </c>
      <c r="J240" s="671">
        <v>46234.0</v>
      </c>
    </row>
    <row r="241">
      <c r="A241" s="670">
        <v>250.0</v>
      </c>
      <c r="B241" s="670" t="s">
        <v>2559</v>
      </c>
      <c r="C241" s="673" t="s">
        <v>2258</v>
      </c>
      <c r="D241" s="670" t="s">
        <v>2689</v>
      </c>
      <c r="E241" s="670" t="s">
        <v>2690</v>
      </c>
      <c r="F241" s="670">
        <v>322.0</v>
      </c>
      <c r="G241" s="670" t="s">
        <v>2442</v>
      </c>
      <c r="H241" s="670" t="s">
        <v>2261</v>
      </c>
      <c r="I241" s="670" t="s">
        <v>2262</v>
      </c>
      <c r="J241" s="671">
        <v>46234.0</v>
      </c>
    </row>
    <row r="242">
      <c r="A242" s="670">
        <v>251.0</v>
      </c>
      <c r="B242" s="670" t="s">
        <v>2559</v>
      </c>
      <c r="C242" s="673" t="s">
        <v>2258</v>
      </c>
      <c r="D242" s="670" t="s">
        <v>2691</v>
      </c>
      <c r="E242" s="670" t="s">
        <v>2692</v>
      </c>
      <c r="F242" s="670">
        <v>374.0</v>
      </c>
      <c r="G242" s="670" t="s">
        <v>2442</v>
      </c>
      <c r="H242" s="670" t="s">
        <v>2261</v>
      </c>
      <c r="I242" s="670" t="s">
        <v>2262</v>
      </c>
      <c r="J242" s="671">
        <v>46234.0</v>
      </c>
    </row>
    <row r="243">
      <c r="A243" s="670">
        <v>252.0</v>
      </c>
      <c r="B243" s="670" t="s">
        <v>2559</v>
      </c>
      <c r="C243" s="673" t="s">
        <v>2258</v>
      </c>
      <c r="D243" s="670" t="s">
        <v>2693</v>
      </c>
      <c r="E243" s="670" t="s">
        <v>2694</v>
      </c>
      <c r="F243" s="670">
        <v>702.0</v>
      </c>
      <c r="G243" s="670" t="s">
        <v>2442</v>
      </c>
      <c r="H243" s="670" t="s">
        <v>2261</v>
      </c>
      <c r="I243" s="670" t="s">
        <v>2262</v>
      </c>
      <c r="J243" s="671">
        <v>46234.0</v>
      </c>
    </row>
    <row r="244">
      <c r="A244" s="670">
        <v>253.0</v>
      </c>
      <c r="B244" s="670" t="s">
        <v>2559</v>
      </c>
      <c r="C244" s="673" t="s">
        <v>2258</v>
      </c>
      <c r="D244" s="670" t="s">
        <v>2695</v>
      </c>
      <c r="E244" s="670" t="s">
        <v>2696</v>
      </c>
      <c r="F244" s="670">
        <v>702.0</v>
      </c>
      <c r="G244" s="670" t="s">
        <v>2442</v>
      </c>
      <c r="H244" s="670" t="s">
        <v>2261</v>
      </c>
      <c r="I244" s="670" t="s">
        <v>2262</v>
      </c>
      <c r="J244" s="671">
        <v>46234.0</v>
      </c>
    </row>
    <row r="245">
      <c r="A245" s="670">
        <v>254.0</v>
      </c>
      <c r="B245" s="670" t="s">
        <v>2559</v>
      </c>
      <c r="C245" s="673" t="s">
        <v>2258</v>
      </c>
      <c r="D245" s="670" t="s">
        <v>2697</v>
      </c>
      <c r="E245" s="670" t="s">
        <v>2698</v>
      </c>
      <c r="F245" s="670">
        <v>350.0</v>
      </c>
      <c r="G245" s="670" t="s">
        <v>305</v>
      </c>
      <c r="H245" s="670" t="s">
        <v>2261</v>
      </c>
      <c r="I245" s="670" t="s">
        <v>2262</v>
      </c>
      <c r="J245" s="671">
        <v>46234.0</v>
      </c>
    </row>
    <row r="246">
      <c r="A246" s="670">
        <v>255.0</v>
      </c>
      <c r="B246" s="670" t="s">
        <v>2559</v>
      </c>
      <c r="C246" s="673" t="s">
        <v>2258</v>
      </c>
      <c r="D246" s="670" t="s">
        <v>2699</v>
      </c>
      <c r="E246" s="670" t="s">
        <v>2700</v>
      </c>
      <c r="F246" s="670">
        <v>1213.0</v>
      </c>
      <c r="G246" s="670" t="s">
        <v>2442</v>
      </c>
      <c r="H246" s="670" t="s">
        <v>2261</v>
      </c>
      <c r="I246" s="670" t="s">
        <v>2262</v>
      </c>
      <c r="J246" s="671">
        <v>46234.0</v>
      </c>
    </row>
    <row r="247">
      <c r="A247" s="670">
        <v>256.0</v>
      </c>
      <c r="B247" s="670" t="s">
        <v>2559</v>
      </c>
      <c r="C247" s="673" t="s">
        <v>2258</v>
      </c>
      <c r="D247" s="670" t="s">
        <v>2701</v>
      </c>
      <c r="E247" s="670" t="s">
        <v>2702</v>
      </c>
      <c r="F247" s="670">
        <v>365.0</v>
      </c>
      <c r="G247" s="670" t="s">
        <v>2442</v>
      </c>
      <c r="H247" s="670" t="s">
        <v>2261</v>
      </c>
      <c r="I247" s="670" t="s">
        <v>2262</v>
      </c>
      <c r="J247" s="671">
        <v>46234.0</v>
      </c>
    </row>
    <row r="248">
      <c r="A248" s="670">
        <v>257.0</v>
      </c>
      <c r="B248" s="670" t="s">
        <v>2559</v>
      </c>
      <c r="C248" s="673" t="s">
        <v>2258</v>
      </c>
      <c r="D248" s="670" t="s">
        <v>2703</v>
      </c>
      <c r="E248" s="670" t="s">
        <v>2704</v>
      </c>
      <c r="F248" s="670">
        <v>312.0</v>
      </c>
      <c r="G248" s="670" t="s">
        <v>2442</v>
      </c>
      <c r="H248" s="670" t="s">
        <v>2261</v>
      </c>
      <c r="I248" s="670" t="s">
        <v>2262</v>
      </c>
      <c r="J248" s="671">
        <v>46234.0</v>
      </c>
    </row>
    <row r="249">
      <c r="A249" s="670">
        <v>258.0</v>
      </c>
      <c r="B249" s="670" t="s">
        <v>2559</v>
      </c>
      <c r="C249" s="673" t="s">
        <v>2258</v>
      </c>
      <c r="D249" s="670" t="s">
        <v>2705</v>
      </c>
      <c r="E249" s="670" t="s">
        <v>2706</v>
      </c>
      <c r="F249" s="670">
        <v>312.0</v>
      </c>
      <c r="G249" s="670" t="s">
        <v>2442</v>
      </c>
      <c r="H249" s="670" t="s">
        <v>2261</v>
      </c>
      <c r="I249" s="670" t="s">
        <v>2262</v>
      </c>
      <c r="J249" s="671">
        <v>46234.0</v>
      </c>
    </row>
    <row r="250">
      <c r="A250" s="670">
        <v>259.0</v>
      </c>
      <c r="B250" s="670" t="s">
        <v>2559</v>
      </c>
      <c r="C250" s="673" t="s">
        <v>2258</v>
      </c>
      <c r="D250" s="670" t="s">
        <v>2708</v>
      </c>
      <c r="E250" s="670" t="s">
        <v>2709</v>
      </c>
      <c r="F250" s="670">
        <v>312.0</v>
      </c>
      <c r="G250" s="670" t="s">
        <v>2442</v>
      </c>
      <c r="H250" s="670" t="s">
        <v>2261</v>
      </c>
      <c r="I250" s="670" t="s">
        <v>2262</v>
      </c>
      <c r="J250" s="671">
        <v>46234.0</v>
      </c>
    </row>
    <row r="251">
      <c r="A251" s="670">
        <v>260.0</v>
      </c>
      <c r="B251" s="670" t="s">
        <v>2559</v>
      </c>
      <c r="C251" s="673" t="s">
        <v>2258</v>
      </c>
      <c r="D251" s="670" t="s">
        <v>2710</v>
      </c>
      <c r="E251" s="670" t="s">
        <v>2711</v>
      </c>
      <c r="F251" s="670">
        <v>312.0</v>
      </c>
      <c r="G251" s="670" t="s">
        <v>2442</v>
      </c>
      <c r="H251" s="670" t="s">
        <v>2261</v>
      </c>
      <c r="I251" s="670" t="s">
        <v>2262</v>
      </c>
      <c r="J251" s="671">
        <v>46234.0</v>
      </c>
    </row>
    <row r="252">
      <c r="A252" s="670">
        <v>261.0</v>
      </c>
      <c r="B252" s="670" t="s">
        <v>2559</v>
      </c>
      <c r="C252" s="673" t="s">
        <v>2258</v>
      </c>
      <c r="D252" s="670" t="s">
        <v>2713</v>
      </c>
      <c r="E252" s="670" t="s">
        <v>2714</v>
      </c>
      <c r="F252" s="670">
        <v>312.0</v>
      </c>
      <c r="G252" s="670" t="s">
        <v>2442</v>
      </c>
      <c r="H252" s="670" t="s">
        <v>2261</v>
      </c>
      <c r="I252" s="670" t="s">
        <v>2262</v>
      </c>
      <c r="J252" s="671">
        <v>46234.0</v>
      </c>
    </row>
    <row r="253">
      <c r="A253" s="670">
        <v>262.0</v>
      </c>
      <c r="B253" s="670" t="s">
        <v>2257</v>
      </c>
      <c r="C253" s="673" t="s">
        <v>2258</v>
      </c>
      <c r="D253" s="670" t="s">
        <v>2715</v>
      </c>
      <c r="E253" s="670" t="s">
        <v>2716</v>
      </c>
      <c r="F253" s="670">
        <v>123.0</v>
      </c>
      <c r="G253" s="670" t="s">
        <v>824</v>
      </c>
      <c r="H253" s="670" t="s">
        <v>2261</v>
      </c>
      <c r="I253" s="670" t="s">
        <v>2262</v>
      </c>
      <c r="J253" s="671">
        <v>46234.0</v>
      </c>
    </row>
    <row r="254">
      <c r="A254" s="670">
        <v>263.0</v>
      </c>
      <c r="B254" s="670" t="s">
        <v>2257</v>
      </c>
      <c r="C254" s="673" t="s">
        <v>2258</v>
      </c>
      <c r="D254" s="670" t="s">
        <v>2717</v>
      </c>
      <c r="E254" s="670" t="s">
        <v>2718</v>
      </c>
      <c r="F254" s="670">
        <v>4.0</v>
      </c>
      <c r="G254" s="670" t="s">
        <v>1117</v>
      </c>
      <c r="H254" s="670" t="s">
        <v>2261</v>
      </c>
      <c r="I254" s="670" t="s">
        <v>2262</v>
      </c>
      <c r="J254" s="671">
        <v>46234.0</v>
      </c>
    </row>
    <row r="255">
      <c r="A255" s="670">
        <v>264.0</v>
      </c>
      <c r="B255" s="670" t="s">
        <v>2257</v>
      </c>
      <c r="C255" s="673" t="s">
        <v>2258</v>
      </c>
      <c r="D255" s="670" t="s">
        <v>1102</v>
      </c>
      <c r="E255" s="670" t="s">
        <v>1103</v>
      </c>
      <c r="F255" s="670">
        <v>70.0</v>
      </c>
      <c r="G255" s="670" t="s">
        <v>43</v>
      </c>
      <c r="H255" s="670" t="s">
        <v>2261</v>
      </c>
      <c r="I255" s="670" t="s">
        <v>2262</v>
      </c>
      <c r="J255" s="671">
        <v>46234.0</v>
      </c>
    </row>
    <row r="256">
      <c r="A256" s="670">
        <v>265.0</v>
      </c>
      <c r="B256" s="670" t="s">
        <v>2257</v>
      </c>
      <c r="C256" s="673" t="s">
        <v>2258</v>
      </c>
      <c r="D256" s="670" t="s">
        <v>1106</v>
      </c>
      <c r="E256" s="670" t="s">
        <v>1107</v>
      </c>
      <c r="F256" s="670">
        <v>72.0</v>
      </c>
      <c r="G256" s="670" t="s">
        <v>22</v>
      </c>
      <c r="H256" s="670" t="s">
        <v>2261</v>
      </c>
      <c r="I256" s="670" t="s">
        <v>2262</v>
      </c>
      <c r="J256" s="671">
        <v>46234.0</v>
      </c>
    </row>
    <row r="257">
      <c r="A257" s="670">
        <v>266.0</v>
      </c>
      <c r="B257" s="670" t="s">
        <v>2257</v>
      </c>
      <c r="C257" s="673" t="s">
        <v>2258</v>
      </c>
      <c r="D257" s="670" t="s">
        <v>1112</v>
      </c>
      <c r="E257" s="670" t="s">
        <v>1113</v>
      </c>
      <c r="F257" s="670">
        <v>230.0</v>
      </c>
      <c r="G257" s="670" t="s">
        <v>43</v>
      </c>
      <c r="H257" s="670" t="s">
        <v>2261</v>
      </c>
      <c r="I257" s="670" t="s">
        <v>2262</v>
      </c>
      <c r="J257" s="671">
        <v>46234.0</v>
      </c>
    </row>
    <row r="258">
      <c r="A258" s="670">
        <v>267.0</v>
      </c>
      <c r="B258" s="670" t="s">
        <v>2719</v>
      </c>
      <c r="C258" s="673" t="s">
        <v>2258</v>
      </c>
      <c r="D258" s="670" t="s">
        <v>2720</v>
      </c>
      <c r="E258" s="670" t="s">
        <v>2721</v>
      </c>
      <c r="F258" s="670">
        <v>80.0</v>
      </c>
      <c r="G258" s="670" t="s">
        <v>22</v>
      </c>
      <c r="H258" s="670" t="s">
        <v>2261</v>
      </c>
      <c r="I258" s="670" t="s">
        <v>2262</v>
      </c>
      <c r="J258" s="671">
        <v>46234.0</v>
      </c>
    </row>
    <row r="259">
      <c r="A259" s="670">
        <v>268.0</v>
      </c>
      <c r="B259" s="670" t="s">
        <v>2719</v>
      </c>
      <c r="C259" s="673" t="s">
        <v>2258</v>
      </c>
      <c r="D259" s="670" t="s">
        <v>2722</v>
      </c>
      <c r="E259" s="670" t="s">
        <v>2723</v>
      </c>
      <c r="F259" s="670">
        <v>16.0</v>
      </c>
      <c r="G259" s="670" t="s">
        <v>759</v>
      </c>
      <c r="H259" s="670" t="s">
        <v>2261</v>
      </c>
      <c r="I259" s="670" t="s">
        <v>2262</v>
      </c>
      <c r="J259" s="671">
        <v>46234.0</v>
      </c>
    </row>
    <row r="260">
      <c r="A260" s="670">
        <v>269.0</v>
      </c>
      <c r="B260" s="670" t="s">
        <v>2719</v>
      </c>
      <c r="C260" s="673" t="s">
        <v>2258</v>
      </c>
      <c r="D260" s="670" t="s">
        <v>2724</v>
      </c>
      <c r="E260" s="670" t="s">
        <v>2725</v>
      </c>
      <c r="F260" s="670">
        <v>328.0</v>
      </c>
      <c r="G260" s="670" t="s">
        <v>22</v>
      </c>
      <c r="H260" s="670" t="s">
        <v>2261</v>
      </c>
      <c r="I260" s="670" t="s">
        <v>2262</v>
      </c>
      <c r="J260" s="671">
        <v>46234.0</v>
      </c>
    </row>
    <row r="261">
      <c r="A261" s="670">
        <v>270.0</v>
      </c>
      <c r="B261" s="670" t="s">
        <v>2719</v>
      </c>
      <c r="C261" s="673" t="s">
        <v>2258</v>
      </c>
      <c r="D261" s="670" t="s">
        <v>2726</v>
      </c>
      <c r="E261" s="670" t="s">
        <v>2727</v>
      </c>
      <c r="F261" s="670">
        <v>40.0</v>
      </c>
      <c r="G261" s="670" t="s">
        <v>22</v>
      </c>
      <c r="H261" s="670" t="s">
        <v>2261</v>
      </c>
      <c r="I261" s="670" t="s">
        <v>2262</v>
      </c>
      <c r="J261" s="671">
        <v>46234.0</v>
      </c>
    </row>
    <row r="262">
      <c r="A262" s="670">
        <v>271.0</v>
      </c>
      <c r="B262" s="670" t="s">
        <v>2719</v>
      </c>
      <c r="C262" s="673" t="s">
        <v>2258</v>
      </c>
      <c r="D262" s="670" t="s">
        <v>2728</v>
      </c>
      <c r="E262" s="670" t="s">
        <v>2729</v>
      </c>
      <c r="F262" s="670">
        <v>5.0</v>
      </c>
      <c r="G262" s="670" t="s">
        <v>1117</v>
      </c>
      <c r="H262" s="670" t="s">
        <v>2261</v>
      </c>
      <c r="I262" s="670" t="s">
        <v>2262</v>
      </c>
      <c r="J262" s="671">
        <v>46234.0</v>
      </c>
    </row>
    <row r="263">
      <c r="A263" s="670">
        <v>272.0</v>
      </c>
      <c r="B263" s="670" t="s">
        <v>2257</v>
      </c>
      <c r="C263" s="670" t="s">
        <v>2258</v>
      </c>
      <c r="D263" s="670" t="s">
        <v>2730</v>
      </c>
      <c r="E263" s="670" t="s">
        <v>2731</v>
      </c>
      <c r="F263" s="670">
        <v>112.0</v>
      </c>
      <c r="G263" s="670" t="s">
        <v>759</v>
      </c>
      <c r="H263" s="670" t="s">
        <v>2261</v>
      </c>
      <c r="I263" s="670" t="s">
        <v>2262</v>
      </c>
      <c r="J263" s="671">
        <v>46234.0</v>
      </c>
    </row>
    <row r="264">
      <c r="A264" s="670">
        <v>273.0</v>
      </c>
      <c r="B264" s="670" t="s">
        <v>2559</v>
      </c>
      <c r="C264" s="670" t="s">
        <v>2258</v>
      </c>
      <c r="D264" s="670" t="s">
        <v>2732</v>
      </c>
      <c r="E264" s="670" t="s">
        <v>2733</v>
      </c>
      <c r="F264" s="670">
        <v>200.0</v>
      </c>
      <c r="G264" s="670" t="s">
        <v>43</v>
      </c>
      <c r="H264" s="670" t="s">
        <v>2261</v>
      </c>
      <c r="I264" s="670" t="s">
        <v>2262</v>
      </c>
      <c r="J264" s="671">
        <v>46234.0</v>
      </c>
    </row>
    <row r="265">
      <c r="A265" s="670">
        <v>274.0</v>
      </c>
      <c r="B265" s="670" t="s">
        <v>2257</v>
      </c>
      <c r="C265" s="670" t="s">
        <v>2258</v>
      </c>
      <c r="D265" s="670" t="s">
        <v>2734</v>
      </c>
      <c r="E265" s="670" t="s">
        <v>2735</v>
      </c>
      <c r="F265" s="670">
        <v>79.0</v>
      </c>
      <c r="G265" s="670" t="s">
        <v>305</v>
      </c>
      <c r="H265" s="670" t="s">
        <v>2261</v>
      </c>
      <c r="I265" s="670" t="s">
        <v>2262</v>
      </c>
      <c r="J265" s="671">
        <v>46234.0</v>
      </c>
    </row>
    <row r="266">
      <c r="A266" s="670">
        <v>275.0</v>
      </c>
      <c r="B266" s="670" t="s">
        <v>2719</v>
      </c>
      <c r="C266" s="670" t="s">
        <v>2258</v>
      </c>
      <c r="D266" s="670" t="s">
        <v>2736</v>
      </c>
      <c r="E266" s="670" t="s">
        <v>2737</v>
      </c>
      <c r="F266" s="670">
        <v>563.0</v>
      </c>
      <c r="G266" s="670" t="s">
        <v>27</v>
      </c>
      <c r="H266" s="670" t="s">
        <v>2261</v>
      </c>
      <c r="I266" s="670" t="s">
        <v>2262</v>
      </c>
      <c r="J266" s="671">
        <v>46234.0</v>
      </c>
    </row>
    <row r="267">
      <c r="A267" s="670">
        <v>276.0</v>
      </c>
      <c r="B267" s="670" t="s">
        <v>2719</v>
      </c>
      <c r="C267" s="670" t="s">
        <v>2258</v>
      </c>
      <c r="D267" s="670" t="s">
        <v>2738</v>
      </c>
      <c r="E267" s="670" t="s">
        <v>2739</v>
      </c>
      <c r="F267" s="670">
        <v>471.0</v>
      </c>
      <c r="G267" s="670" t="s">
        <v>27</v>
      </c>
      <c r="H267" s="670" t="s">
        <v>2261</v>
      </c>
      <c r="I267" s="670" t="s">
        <v>2262</v>
      </c>
      <c r="J267" s="671">
        <v>46234.0</v>
      </c>
    </row>
    <row r="268">
      <c r="A268" s="670">
        <v>277.0</v>
      </c>
      <c r="B268" s="670" t="s">
        <v>2559</v>
      </c>
      <c r="C268" s="673" t="s">
        <v>2258</v>
      </c>
      <c r="D268" s="670" t="s">
        <v>2740</v>
      </c>
      <c r="E268" s="670" t="s">
        <v>2741</v>
      </c>
      <c r="F268" s="670">
        <v>694.0</v>
      </c>
      <c r="G268" s="670" t="s">
        <v>27</v>
      </c>
      <c r="H268" s="670" t="s">
        <v>2261</v>
      </c>
      <c r="I268" s="670" t="s">
        <v>2262</v>
      </c>
      <c r="J268" s="671">
        <v>46234.0</v>
      </c>
    </row>
    <row r="269">
      <c r="A269" s="670">
        <v>278.0</v>
      </c>
      <c r="B269" s="670" t="s">
        <v>2559</v>
      </c>
      <c r="C269" s="673" t="s">
        <v>2258</v>
      </c>
      <c r="D269" s="670" t="s">
        <v>2742</v>
      </c>
      <c r="E269" s="670" t="s">
        <v>2743</v>
      </c>
      <c r="F269" s="670">
        <v>750.0</v>
      </c>
      <c r="G269" s="670" t="s">
        <v>27</v>
      </c>
      <c r="H269" s="670" t="s">
        <v>2261</v>
      </c>
      <c r="I269" s="670" t="s">
        <v>2262</v>
      </c>
      <c r="J269" s="671">
        <v>46234.0</v>
      </c>
    </row>
    <row r="270">
      <c r="A270" s="670">
        <v>279.0</v>
      </c>
      <c r="B270" s="670" t="s">
        <v>2559</v>
      </c>
      <c r="C270" s="673" t="s">
        <v>2258</v>
      </c>
      <c r="D270" s="670" t="s">
        <v>2744</v>
      </c>
      <c r="E270" s="670" t="s">
        <v>2745</v>
      </c>
      <c r="F270" s="670">
        <v>200.0</v>
      </c>
      <c r="G270" s="670" t="s">
        <v>43</v>
      </c>
      <c r="H270" s="670" t="s">
        <v>2261</v>
      </c>
      <c r="I270" s="670" t="s">
        <v>2262</v>
      </c>
      <c r="J270" s="671">
        <v>46234.0</v>
      </c>
    </row>
    <row r="271">
      <c r="A271" s="670">
        <v>280.0</v>
      </c>
      <c r="B271" s="670" t="s">
        <v>2257</v>
      </c>
      <c r="C271" s="673" t="s">
        <v>2258</v>
      </c>
      <c r="D271" s="670" t="s">
        <v>2746</v>
      </c>
      <c r="E271" s="670" t="s">
        <v>2747</v>
      </c>
      <c r="F271" s="670">
        <v>43643.0</v>
      </c>
      <c r="G271" s="670" t="s">
        <v>824</v>
      </c>
      <c r="H271" s="670" t="s">
        <v>2261</v>
      </c>
      <c r="I271" s="670" t="s">
        <v>2262</v>
      </c>
      <c r="J271" s="671">
        <v>46234.0</v>
      </c>
    </row>
    <row r="272">
      <c r="A272" s="670">
        <v>281.0</v>
      </c>
      <c r="B272" s="670" t="s">
        <v>2559</v>
      </c>
      <c r="C272" s="673" t="s">
        <v>2258</v>
      </c>
      <c r="D272" s="670" t="s">
        <v>2748</v>
      </c>
      <c r="E272" s="670" t="s">
        <v>2749</v>
      </c>
      <c r="F272" s="670">
        <v>7.0</v>
      </c>
      <c r="G272" s="670" t="s">
        <v>107</v>
      </c>
      <c r="H272" s="670" t="s">
        <v>2261</v>
      </c>
      <c r="I272" s="670" t="s">
        <v>2262</v>
      </c>
      <c r="J272" s="671">
        <v>46234.0</v>
      </c>
    </row>
    <row r="273">
      <c r="A273" s="670">
        <v>282.0</v>
      </c>
      <c r="B273" s="670" t="s">
        <v>2257</v>
      </c>
      <c r="C273" s="670" t="s">
        <v>2258</v>
      </c>
      <c r="D273" s="670" t="s">
        <v>2750</v>
      </c>
      <c r="E273" s="670" t="s">
        <v>2751</v>
      </c>
      <c r="F273" s="670">
        <v>1396.0</v>
      </c>
      <c r="G273" s="670" t="s">
        <v>22</v>
      </c>
      <c r="H273" s="670" t="s">
        <v>2261</v>
      </c>
      <c r="I273" s="670" t="s">
        <v>2262</v>
      </c>
      <c r="J273" s="671">
        <v>46234.0</v>
      </c>
    </row>
    <row r="274">
      <c r="A274" s="670">
        <v>283.0</v>
      </c>
      <c r="B274" s="670" t="s">
        <v>2257</v>
      </c>
      <c r="C274" s="673" t="s">
        <v>2258</v>
      </c>
      <c r="D274" s="670" t="s">
        <v>2752</v>
      </c>
      <c r="E274" s="670" t="s">
        <v>2753</v>
      </c>
      <c r="F274" s="670">
        <v>15154.0</v>
      </c>
      <c r="G274" s="670" t="s">
        <v>305</v>
      </c>
      <c r="H274" s="670" t="s">
        <v>2261</v>
      </c>
      <c r="I274" s="670" t="s">
        <v>2262</v>
      </c>
      <c r="J274" s="671">
        <v>46234.0</v>
      </c>
    </row>
    <row r="275">
      <c r="A275" s="670">
        <v>284.0</v>
      </c>
      <c r="B275" s="670" t="s">
        <v>2257</v>
      </c>
      <c r="C275" s="670" t="s">
        <v>2258</v>
      </c>
      <c r="D275" s="670" t="s">
        <v>2754</v>
      </c>
      <c r="E275" s="670" t="s">
        <v>2755</v>
      </c>
      <c r="F275" s="670">
        <v>409.0</v>
      </c>
      <c r="G275" s="670" t="s">
        <v>1117</v>
      </c>
      <c r="H275" s="670" t="s">
        <v>2261</v>
      </c>
      <c r="I275" s="670" t="s">
        <v>2262</v>
      </c>
      <c r="J275" s="671">
        <v>46234.0</v>
      </c>
    </row>
    <row r="276">
      <c r="A276" s="670">
        <v>285.0</v>
      </c>
      <c r="B276" s="670" t="s">
        <v>2257</v>
      </c>
      <c r="C276" s="673" t="s">
        <v>2258</v>
      </c>
      <c r="D276" s="670" t="s">
        <v>2756</v>
      </c>
      <c r="E276" s="670" t="s">
        <v>2757</v>
      </c>
      <c r="F276" s="670">
        <v>429.0</v>
      </c>
      <c r="G276" s="670" t="s">
        <v>1117</v>
      </c>
      <c r="H276" s="670" t="s">
        <v>2261</v>
      </c>
      <c r="I276" s="670" t="s">
        <v>2262</v>
      </c>
      <c r="J276" s="671">
        <v>46234.0</v>
      </c>
    </row>
    <row r="277">
      <c r="A277" s="670">
        <v>286.0</v>
      </c>
      <c r="B277" s="670" t="s">
        <v>2257</v>
      </c>
      <c r="C277" s="673" t="s">
        <v>2258</v>
      </c>
      <c r="D277" s="670" t="s">
        <v>2758</v>
      </c>
      <c r="E277" s="670" t="s">
        <v>2759</v>
      </c>
      <c r="F277" s="670">
        <v>454.0</v>
      </c>
      <c r="G277" s="670" t="s">
        <v>1117</v>
      </c>
      <c r="H277" s="670" t="s">
        <v>2261</v>
      </c>
      <c r="I277" s="670" t="s">
        <v>2262</v>
      </c>
      <c r="J277" s="671">
        <v>46234.0</v>
      </c>
    </row>
    <row r="278">
      <c r="A278" s="670">
        <v>287.0</v>
      </c>
      <c r="B278" s="670" t="s">
        <v>2257</v>
      </c>
      <c r="C278" s="673" t="s">
        <v>2258</v>
      </c>
      <c r="D278" s="670" t="s">
        <v>2760</v>
      </c>
      <c r="E278" s="670" t="s">
        <v>2761</v>
      </c>
      <c r="F278" s="670">
        <v>431.0</v>
      </c>
      <c r="G278" s="670" t="s">
        <v>1117</v>
      </c>
      <c r="H278" s="670" t="s">
        <v>2261</v>
      </c>
      <c r="I278" s="670" t="s">
        <v>2262</v>
      </c>
      <c r="J278" s="671">
        <v>46234.0</v>
      </c>
    </row>
    <row r="279">
      <c r="A279" s="670">
        <v>288.0</v>
      </c>
      <c r="B279" s="670" t="s">
        <v>2257</v>
      </c>
      <c r="C279" s="673" t="s">
        <v>2258</v>
      </c>
      <c r="D279" s="670" t="s">
        <v>2762</v>
      </c>
      <c r="E279" s="670" t="s">
        <v>2763</v>
      </c>
      <c r="F279" s="670">
        <v>443.0</v>
      </c>
      <c r="G279" s="670" t="s">
        <v>1117</v>
      </c>
      <c r="H279" s="670" t="s">
        <v>2261</v>
      </c>
      <c r="I279" s="670" t="s">
        <v>2262</v>
      </c>
      <c r="J279" s="671">
        <v>46234.0</v>
      </c>
    </row>
    <row r="280">
      <c r="A280" s="670">
        <v>289.0</v>
      </c>
      <c r="B280" s="670" t="s">
        <v>2257</v>
      </c>
      <c r="C280" s="673" t="s">
        <v>2258</v>
      </c>
      <c r="D280" s="670" t="s">
        <v>2764</v>
      </c>
      <c r="E280" s="670" t="s">
        <v>2765</v>
      </c>
      <c r="F280" s="670">
        <v>435.0</v>
      </c>
      <c r="G280" s="670" t="s">
        <v>1117</v>
      </c>
      <c r="H280" s="670" t="s">
        <v>2261</v>
      </c>
      <c r="I280" s="670" t="s">
        <v>2262</v>
      </c>
      <c r="J280" s="671">
        <v>46234.0</v>
      </c>
    </row>
    <row r="281">
      <c r="A281" s="670">
        <v>290.0</v>
      </c>
      <c r="B281" s="670" t="s">
        <v>2257</v>
      </c>
      <c r="C281" s="670" t="s">
        <v>2258</v>
      </c>
      <c r="D281" s="670" t="s">
        <v>2766</v>
      </c>
      <c r="E281" s="670" t="s">
        <v>2767</v>
      </c>
      <c r="F281" s="670">
        <v>441.0</v>
      </c>
      <c r="G281" s="670" t="s">
        <v>1117</v>
      </c>
      <c r="H281" s="670" t="s">
        <v>2261</v>
      </c>
      <c r="I281" s="670" t="s">
        <v>2262</v>
      </c>
      <c r="J281" s="671">
        <v>46234.0</v>
      </c>
    </row>
    <row r="282">
      <c r="A282" s="670">
        <v>291.0</v>
      </c>
      <c r="B282" s="670" t="s">
        <v>2257</v>
      </c>
      <c r="C282" s="673" t="s">
        <v>2258</v>
      </c>
      <c r="D282" s="670" t="s">
        <v>2768</v>
      </c>
      <c r="E282" s="670" t="s">
        <v>2769</v>
      </c>
      <c r="F282" s="670">
        <v>414.0</v>
      </c>
      <c r="G282" s="670" t="s">
        <v>1117</v>
      </c>
      <c r="H282" s="670" t="s">
        <v>2261</v>
      </c>
      <c r="I282" s="670" t="s">
        <v>2262</v>
      </c>
      <c r="J282" s="671">
        <v>46234.0</v>
      </c>
    </row>
    <row r="283">
      <c r="A283" s="670">
        <v>292.0</v>
      </c>
      <c r="B283" s="670" t="s">
        <v>2257</v>
      </c>
      <c r="C283" s="670" t="s">
        <v>2258</v>
      </c>
      <c r="D283" s="670" t="s">
        <v>2770</v>
      </c>
      <c r="E283" s="670" t="s">
        <v>2771</v>
      </c>
      <c r="F283" s="670">
        <v>165.0</v>
      </c>
      <c r="G283" s="670" t="s">
        <v>1117</v>
      </c>
      <c r="H283" s="670" t="s">
        <v>2261</v>
      </c>
      <c r="I283" s="670" t="s">
        <v>2262</v>
      </c>
      <c r="J283" s="671">
        <v>46234.0</v>
      </c>
    </row>
    <row r="284">
      <c r="A284" s="670">
        <v>293.0</v>
      </c>
      <c r="B284" s="670" t="s">
        <v>2257</v>
      </c>
      <c r="C284" s="670" t="s">
        <v>2258</v>
      </c>
      <c r="D284" s="670" t="s">
        <v>2772</v>
      </c>
      <c r="E284" s="670" t="s">
        <v>2773</v>
      </c>
      <c r="F284" s="670">
        <v>520.0</v>
      </c>
      <c r="G284" s="670" t="s">
        <v>1117</v>
      </c>
      <c r="H284" s="670" t="s">
        <v>2261</v>
      </c>
      <c r="I284" s="670" t="s">
        <v>2262</v>
      </c>
      <c r="J284" s="671">
        <v>46234.0</v>
      </c>
    </row>
    <row r="285">
      <c r="A285" s="670">
        <v>294.0</v>
      </c>
      <c r="B285" s="670" t="s">
        <v>2257</v>
      </c>
      <c r="C285" s="670" t="s">
        <v>2258</v>
      </c>
      <c r="D285" s="670" t="s">
        <v>2774</v>
      </c>
      <c r="E285" s="670" t="s">
        <v>2775</v>
      </c>
      <c r="F285" s="670">
        <v>554.0</v>
      </c>
      <c r="G285" s="670" t="s">
        <v>1117</v>
      </c>
      <c r="H285" s="670" t="s">
        <v>2261</v>
      </c>
      <c r="I285" s="670" t="s">
        <v>2262</v>
      </c>
      <c r="J285" s="671">
        <v>46234.0</v>
      </c>
    </row>
    <row r="286">
      <c r="A286" s="670">
        <v>295.0</v>
      </c>
      <c r="B286" s="670" t="s">
        <v>2257</v>
      </c>
      <c r="C286" s="670" t="s">
        <v>2258</v>
      </c>
      <c r="D286" s="670" t="s">
        <v>2776</v>
      </c>
      <c r="E286" s="670" t="s">
        <v>2777</v>
      </c>
      <c r="F286" s="670">
        <v>595.0</v>
      </c>
      <c r="G286" s="670" t="s">
        <v>1117</v>
      </c>
      <c r="H286" s="670" t="s">
        <v>2261</v>
      </c>
      <c r="I286" s="670" t="s">
        <v>2262</v>
      </c>
      <c r="J286" s="671">
        <v>46234.0</v>
      </c>
    </row>
    <row r="287">
      <c r="A287" s="670">
        <v>296.0</v>
      </c>
      <c r="B287" s="670" t="s">
        <v>2257</v>
      </c>
      <c r="C287" s="670" t="s">
        <v>2258</v>
      </c>
      <c r="D287" s="670" t="s">
        <v>2778</v>
      </c>
      <c r="E287" s="670" t="s">
        <v>2779</v>
      </c>
      <c r="F287" s="670">
        <v>556.0</v>
      </c>
      <c r="G287" s="670" t="s">
        <v>1117</v>
      </c>
      <c r="H287" s="670" t="s">
        <v>2261</v>
      </c>
      <c r="I287" s="670" t="s">
        <v>2262</v>
      </c>
      <c r="J287" s="671">
        <v>46234.0</v>
      </c>
    </row>
    <row r="288">
      <c r="A288" s="670">
        <v>297.0</v>
      </c>
      <c r="B288" s="670" t="s">
        <v>2257</v>
      </c>
      <c r="C288" s="670" t="s">
        <v>2258</v>
      </c>
      <c r="D288" s="670" t="s">
        <v>2780</v>
      </c>
      <c r="E288" s="670" t="s">
        <v>2781</v>
      </c>
      <c r="F288" s="670">
        <v>576.0</v>
      </c>
      <c r="G288" s="670" t="s">
        <v>1117</v>
      </c>
      <c r="H288" s="670" t="s">
        <v>2261</v>
      </c>
      <c r="I288" s="670" t="s">
        <v>2262</v>
      </c>
      <c r="J288" s="671">
        <v>46234.0</v>
      </c>
    </row>
    <row r="289">
      <c r="A289" s="670">
        <v>298.0</v>
      </c>
      <c r="B289" s="670" t="s">
        <v>2257</v>
      </c>
      <c r="C289" s="670" t="s">
        <v>2258</v>
      </c>
      <c r="D289" s="670" t="s">
        <v>2782</v>
      </c>
      <c r="E289" s="670" t="s">
        <v>2784</v>
      </c>
      <c r="F289" s="670">
        <v>563.0</v>
      </c>
      <c r="G289" s="670" t="s">
        <v>1117</v>
      </c>
      <c r="H289" s="670" t="s">
        <v>2261</v>
      </c>
      <c r="I289" s="670" t="s">
        <v>2262</v>
      </c>
      <c r="J289" s="671">
        <v>46234.0</v>
      </c>
    </row>
    <row r="290">
      <c r="A290" s="670">
        <v>299.0</v>
      </c>
      <c r="B290" s="670" t="s">
        <v>2257</v>
      </c>
      <c r="C290" s="670" t="s">
        <v>2258</v>
      </c>
      <c r="D290" s="670" t="s">
        <v>2785</v>
      </c>
      <c r="E290" s="670" t="s">
        <v>2786</v>
      </c>
      <c r="F290" s="670">
        <v>572.0</v>
      </c>
      <c r="G290" s="670" t="s">
        <v>1117</v>
      </c>
      <c r="H290" s="670" t="s">
        <v>2261</v>
      </c>
      <c r="I290" s="670" t="s">
        <v>2262</v>
      </c>
      <c r="J290" s="671">
        <v>46234.0</v>
      </c>
    </row>
    <row r="291">
      <c r="A291" s="670">
        <v>300.0</v>
      </c>
      <c r="B291" s="670" t="s">
        <v>2257</v>
      </c>
      <c r="C291" s="670" t="s">
        <v>2258</v>
      </c>
      <c r="D291" s="670" t="s">
        <v>2788</v>
      </c>
      <c r="E291" s="670" t="s">
        <v>2789</v>
      </c>
      <c r="F291" s="670">
        <v>528.0</v>
      </c>
      <c r="G291" s="670" t="s">
        <v>1117</v>
      </c>
      <c r="H291" s="670" t="s">
        <v>2261</v>
      </c>
      <c r="I291" s="670" t="s">
        <v>2262</v>
      </c>
      <c r="J291" s="671">
        <v>46234.0</v>
      </c>
    </row>
    <row r="292">
      <c r="A292" s="670">
        <v>301.0</v>
      </c>
      <c r="B292" s="670" t="s">
        <v>2257</v>
      </c>
      <c r="C292" s="670" t="s">
        <v>2258</v>
      </c>
      <c r="D292" s="670" t="s">
        <v>2790</v>
      </c>
      <c r="E292" s="670" t="s">
        <v>2791</v>
      </c>
      <c r="F292" s="670">
        <v>276.0</v>
      </c>
      <c r="G292" s="670" t="s">
        <v>1117</v>
      </c>
      <c r="H292" s="670" t="s">
        <v>2261</v>
      </c>
      <c r="I292" s="670" t="s">
        <v>2262</v>
      </c>
      <c r="J292" s="671">
        <v>46234.0</v>
      </c>
    </row>
    <row r="293">
      <c r="A293" s="670">
        <v>302.0</v>
      </c>
      <c r="B293" s="670" t="s">
        <v>2559</v>
      </c>
      <c r="C293" s="670" t="s">
        <v>2258</v>
      </c>
      <c r="D293" s="670" t="s">
        <v>2792</v>
      </c>
      <c r="E293" s="670" t="s">
        <v>2793</v>
      </c>
      <c r="F293" s="670">
        <v>15319.0</v>
      </c>
      <c r="G293" s="670" t="s">
        <v>27</v>
      </c>
      <c r="H293" s="670" t="s">
        <v>2261</v>
      </c>
      <c r="I293" s="670" t="s">
        <v>2262</v>
      </c>
      <c r="J293" s="671">
        <v>46234.0</v>
      </c>
    </row>
    <row r="294">
      <c r="A294" s="670">
        <v>303.0</v>
      </c>
      <c r="B294" s="670" t="s">
        <v>2257</v>
      </c>
      <c r="C294" s="670" t="s">
        <v>2258</v>
      </c>
      <c r="D294" s="670" t="s">
        <v>2794</v>
      </c>
      <c r="E294" s="670" t="s">
        <v>2795</v>
      </c>
      <c r="F294" s="670">
        <v>2060.0</v>
      </c>
      <c r="G294" s="670" t="s">
        <v>824</v>
      </c>
      <c r="H294" s="670" t="s">
        <v>2261</v>
      </c>
      <c r="I294" s="670" t="s">
        <v>2262</v>
      </c>
      <c r="J294" s="671">
        <v>46234.0</v>
      </c>
    </row>
    <row r="295">
      <c r="A295" s="670">
        <v>304.0</v>
      </c>
      <c r="B295" s="670" t="s">
        <v>2257</v>
      </c>
      <c r="C295" s="670" t="s">
        <v>2258</v>
      </c>
      <c r="D295" s="670" t="s">
        <v>2796</v>
      </c>
      <c r="E295" s="670" t="s">
        <v>2797</v>
      </c>
      <c r="F295" s="670">
        <v>2364.0</v>
      </c>
      <c r="G295" s="670" t="s">
        <v>824</v>
      </c>
      <c r="H295" s="670" t="s">
        <v>2261</v>
      </c>
      <c r="I295" s="670" t="s">
        <v>2262</v>
      </c>
      <c r="J295" s="671">
        <v>46234.0</v>
      </c>
    </row>
    <row r="296">
      <c r="A296" s="670">
        <v>305.0</v>
      </c>
      <c r="B296" s="670" t="s">
        <v>2257</v>
      </c>
      <c r="C296" s="670" t="s">
        <v>2258</v>
      </c>
      <c r="D296" s="670" t="s">
        <v>2798</v>
      </c>
      <c r="E296" s="670" t="s">
        <v>2799</v>
      </c>
      <c r="F296" s="670">
        <v>2581.0</v>
      </c>
      <c r="G296" s="670" t="s">
        <v>824</v>
      </c>
      <c r="H296" s="670" t="s">
        <v>2261</v>
      </c>
      <c r="I296" s="670" t="s">
        <v>2262</v>
      </c>
      <c r="J296" s="671">
        <v>46234.0</v>
      </c>
    </row>
    <row r="297">
      <c r="A297" s="670">
        <v>306.0</v>
      </c>
      <c r="B297" s="670" t="s">
        <v>2257</v>
      </c>
      <c r="C297" s="670" t="s">
        <v>2258</v>
      </c>
      <c r="D297" s="670" t="s">
        <v>2800</v>
      </c>
      <c r="E297" s="670" t="s">
        <v>2801</v>
      </c>
      <c r="F297" s="670">
        <v>2376.0</v>
      </c>
      <c r="G297" s="670" t="s">
        <v>824</v>
      </c>
      <c r="H297" s="670" t="s">
        <v>2261</v>
      </c>
      <c r="I297" s="670" t="s">
        <v>2262</v>
      </c>
      <c r="J297" s="671">
        <v>46234.0</v>
      </c>
    </row>
    <row r="298">
      <c r="A298" s="670">
        <v>307.0</v>
      </c>
      <c r="B298" s="670" t="s">
        <v>2257</v>
      </c>
      <c r="C298" s="670" t="s">
        <v>2258</v>
      </c>
      <c r="D298" s="670" t="s">
        <v>2802</v>
      </c>
      <c r="E298" s="670" t="s">
        <v>2803</v>
      </c>
      <c r="F298" s="670">
        <v>2482.0</v>
      </c>
      <c r="G298" s="670" t="s">
        <v>824</v>
      </c>
      <c r="H298" s="670" t="s">
        <v>2261</v>
      </c>
      <c r="I298" s="670" t="s">
        <v>2262</v>
      </c>
      <c r="J298" s="671">
        <v>46234.0</v>
      </c>
    </row>
    <row r="299">
      <c r="A299" s="670">
        <v>308.0</v>
      </c>
      <c r="B299" s="670" t="s">
        <v>2257</v>
      </c>
      <c r="C299" s="670" t="s">
        <v>2258</v>
      </c>
      <c r="D299" s="670" t="s">
        <v>2804</v>
      </c>
      <c r="E299" s="670" t="s">
        <v>2805</v>
      </c>
      <c r="F299" s="670">
        <v>2215.0</v>
      </c>
      <c r="G299" s="670" t="s">
        <v>824</v>
      </c>
      <c r="H299" s="670" t="s">
        <v>2261</v>
      </c>
      <c r="I299" s="670" t="s">
        <v>2262</v>
      </c>
      <c r="J299" s="671">
        <v>46234.0</v>
      </c>
    </row>
    <row r="300">
      <c r="A300" s="670">
        <v>309.0</v>
      </c>
      <c r="B300" s="670" t="s">
        <v>2257</v>
      </c>
      <c r="C300" s="670" t="s">
        <v>2258</v>
      </c>
      <c r="D300" s="670" t="s">
        <v>2806</v>
      </c>
      <c r="E300" s="670" t="s">
        <v>2807</v>
      </c>
      <c r="F300" s="670">
        <v>2462.0</v>
      </c>
      <c r="G300" s="670" t="s">
        <v>824</v>
      </c>
      <c r="H300" s="670" t="s">
        <v>2261</v>
      </c>
      <c r="I300" s="670" t="s">
        <v>2262</v>
      </c>
      <c r="J300" s="671">
        <v>46234.0</v>
      </c>
    </row>
    <row r="301">
      <c r="A301" s="670">
        <v>310.0</v>
      </c>
      <c r="B301" s="670" t="s">
        <v>2257</v>
      </c>
      <c r="C301" s="670" t="s">
        <v>2258</v>
      </c>
      <c r="D301" s="670" t="s">
        <v>2808</v>
      </c>
      <c r="E301" s="670" t="s">
        <v>2809</v>
      </c>
      <c r="F301" s="670">
        <v>2226.0</v>
      </c>
      <c r="G301" s="670" t="s">
        <v>824</v>
      </c>
      <c r="H301" s="670" t="s">
        <v>2572</v>
      </c>
      <c r="I301" s="670" t="s">
        <v>2573</v>
      </c>
      <c r="J301" s="671">
        <v>46234.0</v>
      </c>
    </row>
    <row r="302">
      <c r="A302" s="670">
        <v>311.0</v>
      </c>
      <c r="B302" s="670" t="s">
        <v>2257</v>
      </c>
      <c r="C302" s="670" t="s">
        <v>2258</v>
      </c>
      <c r="D302" s="670" t="s">
        <v>2810</v>
      </c>
      <c r="E302" s="670" t="s">
        <v>2811</v>
      </c>
      <c r="F302" s="670">
        <v>2107.0</v>
      </c>
      <c r="G302" s="670" t="s">
        <v>824</v>
      </c>
      <c r="H302" s="670" t="s">
        <v>2261</v>
      </c>
      <c r="I302" s="670" t="s">
        <v>2262</v>
      </c>
      <c r="J302" s="671">
        <v>46234.0</v>
      </c>
    </row>
    <row r="303">
      <c r="A303" s="670">
        <v>312.0</v>
      </c>
      <c r="B303" s="670" t="s">
        <v>2559</v>
      </c>
      <c r="C303" s="673" t="s">
        <v>2258</v>
      </c>
      <c r="D303" s="670" t="s">
        <v>2812</v>
      </c>
      <c r="E303" s="670" t="s">
        <v>2793</v>
      </c>
      <c r="F303" s="670">
        <v>53500.0</v>
      </c>
      <c r="G303" s="670" t="s">
        <v>27</v>
      </c>
      <c r="H303" s="670" t="s">
        <v>2261</v>
      </c>
      <c r="I303" s="670" t="s">
        <v>2262</v>
      </c>
      <c r="J303" s="671">
        <v>46234.0</v>
      </c>
    </row>
    <row r="304">
      <c r="A304" s="670">
        <v>313.0</v>
      </c>
      <c r="B304" s="670" t="s">
        <v>2257</v>
      </c>
      <c r="C304" s="670" t="s">
        <v>2258</v>
      </c>
      <c r="D304" s="670" t="s">
        <v>2813</v>
      </c>
      <c r="E304" s="670" t="s">
        <v>2814</v>
      </c>
      <c r="F304" s="670">
        <v>371.0</v>
      </c>
      <c r="G304" s="670" t="s">
        <v>824</v>
      </c>
      <c r="H304" s="670" t="s">
        <v>2261</v>
      </c>
      <c r="I304" s="670" t="s">
        <v>2262</v>
      </c>
      <c r="J304" s="671">
        <v>46234.0</v>
      </c>
    </row>
    <row r="305">
      <c r="A305" s="670">
        <v>314.0</v>
      </c>
      <c r="B305" s="670" t="s">
        <v>2257</v>
      </c>
      <c r="C305" s="670" t="s">
        <v>2258</v>
      </c>
      <c r="D305" s="670" t="s">
        <v>2815</v>
      </c>
      <c r="E305" s="670" t="s">
        <v>2816</v>
      </c>
      <c r="F305" s="670">
        <v>452.0</v>
      </c>
      <c r="G305" s="670" t="s">
        <v>824</v>
      </c>
      <c r="H305" s="670" t="s">
        <v>2261</v>
      </c>
      <c r="I305" s="670" t="s">
        <v>2262</v>
      </c>
      <c r="J305" s="671">
        <v>46234.0</v>
      </c>
    </row>
    <row r="306">
      <c r="A306" s="670">
        <v>315.0</v>
      </c>
      <c r="B306" s="670" t="s">
        <v>2257</v>
      </c>
      <c r="C306" s="670" t="s">
        <v>2258</v>
      </c>
      <c r="D306" s="670" t="s">
        <v>2817</v>
      </c>
      <c r="E306" s="670" t="s">
        <v>2818</v>
      </c>
      <c r="F306" s="670">
        <v>436.0</v>
      </c>
      <c r="G306" s="670" t="s">
        <v>824</v>
      </c>
      <c r="H306" s="670" t="s">
        <v>2261</v>
      </c>
      <c r="I306" s="670" t="s">
        <v>2262</v>
      </c>
      <c r="J306" s="671">
        <v>46234.0</v>
      </c>
    </row>
    <row r="307">
      <c r="A307" s="670">
        <v>316.0</v>
      </c>
      <c r="B307" s="670" t="s">
        <v>2257</v>
      </c>
      <c r="C307" s="670" t="s">
        <v>2258</v>
      </c>
      <c r="D307" s="670" t="s">
        <v>2819</v>
      </c>
      <c r="E307" s="670" t="s">
        <v>2820</v>
      </c>
      <c r="F307" s="670">
        <v>447.0</v>
      </c>
      <c r="G307" s="670" t="s">
        <v>824</v>
      </c>
      <c r="H307" s="670" t="s">
        <v>2261</v>
      </c>
      <c r="I307" s="670" t="s">
        <v>2262</v>
      </c>
      <c r="J307" s="671">
        <v>46234.0</v>
      </c>
    </row>
    <row r="308">
      <c r="A308" s="670">
        <v>317.0</v>
      </c>
      <c r="B308" s="670" t="s">
        <v>2257</v>
      </c>
      <c r="C308" s="670" t="s">
        <v>2258</v>
      </c>
      <c r="D308" s="670" t="s">
        <v>2821</v>
      </c>
      <c r="E308" s="670" t="s">
        <v>2822</v>
      </c>
      <c r="F308" s="670">
        <v>428.0</v>
      </c>
      <c r="G308" s="670" t="s">
        <v>824</v>
      </c>
      <c r="H308" s="670" t="s">
        <v>2261</v>
      </c>
      <c r="I308" s="670" t="s">
        <v>2262</v>
      </c>
      <c r="J308" s="671">
        <v>46234.0</v>
      </c>
    </row>
    <row r="309">
      <c r="A309" s="670">
        <v>318.0</v>
      </c>
      <c r="B309" s="670" t="s">
        <v>2257</v>
      </c>
      <c r="C309" s="670" t="s">
        <v>2258</v>
      </c>
      <c r="D309" s="670" t="s">
        <v>2823</v>
      </c>
      <c r="E309" s="670" t="s">
        <v>2824</v>
      </c>
      <c r="F309" s="670">
        <v>447.0</v>
      </c>
      <c r="G309" s="670" t="s">
        <v>824</v>
      </c>
      <c r="H309" s="670" t="s">
        <v>2261</v>
      </c>
      <c r="I309" s="670" t="s">
        <v>2262</v>
      </c>
      <c r="J309" s="671">
        <v>46234.0</v>
      </c>
    </row>
    <row r="310">
      <c r="A310" s="670">
        <v>319.0</v>
      </c>
      <c r="B310" s="670" t="s">
        <v>2257</v>
      </c>
      <c r="C310" s="670" t="s">
        <v>2258</v>
      </c>
      <c r="D310" s="670" t="s">
        <v>2825</v>
      </c>
      <c r="E310" s="670" t="s">
        <v>2826</v>
      </c>
      <c r="F310" s="670">
        <v>523.0</v>
      </c>
      <c r="G310" s="670" t="s">
        <v>824</v>
      </c>
      <c r="H310" s="670" t="s">
        <v>2261</v>
      </c>
      <c r="I310" s="670" t="s">
        <v>2262</v>
      </c>
      <c r="J310" s="671">
        <v>46234.0</v>
      </c>
    </row>
    <row r="311">
      <c r="A311" s="670">
        <v>320.0</v>
      </c>
      <c r="B311" s="670" t="s">
        <v>2257</v>
      </c>
      <c r="C311" s="670" t="s">
        <v>2258</v>
      </c>
      <c r="D311" s="670" t="s">
        <v>2827</v>
      </c>
      <c r="E311" s="670" t="s">
        <v>2828</v>
      </c>
      <c r="F311" s="670">
        <v>485.0</v>
      </c>
      <c r="G311" s="670" t="s">
        <v>824</v>
      </c>
      <c r="H311" s="670" t="s">
        <v>2261</v>
      </c>
      <c r="I311" s="670" t="s">
        <v>2262</v>
      </c>
      <c r="J311" s="671">
        <v>46234.0</v>
      </c>
    </row>
    <row r="312">
      <c r="A312" s="670">
        <v>321.0</v>
      </c>
      <c r="B312" s="670" t="s">
        <v>2257</v>
      </c>
      <c r="C312" s="670" t="s">
        <v>2258</v>
      </c>
      <c r="D312" s="670" t="s">
        <v>2829</v>
      </c>
      <c r="E312" s="670" t="s">
        <v>2830</v>
      </c>
      <c r="F312" s="670">
        <v>447.0</v>
      </c>
      <c r="G312" s="670" t="s">
        <v>824</v>
      </c>
      <c r="H312" s="670" t="s">
        <v>2261</v>
      </c>
      <c r="I312" s="670" t="s">
        <v>2262</v>
      </c>
      <c r="J312" s="671">
        <v>46234.0</v>
      </c>
    </row>
    <row r="313">
      <c r="A313" s="670">
        <v>322.0</v>
      </c>
      <c r="B313" s="670" t="s">
        <v>2257</v>
      </c>
      <c r="C313" s="673" t="s">
        <v>2258</v>
      </c>
      <c r="D313" s="670" t="s">
        <v>2831</v>
      </c>
      <c r="E313" s="670" t="s">
        <v>2832</v>
      </c>
      <c r="F313" s="670">
        <v>2032.0</v>
      </c>
      <c r="G313" s="670" t="s">
        <v>824</v>
      </c>
      <c r="H313" s="670" t="s">
        <v>2261</v>
      </c>
      <c r="I313" s="670" t="s">
        <v>2262</v>
      </c>
      <c r="J313" s="671">
        <v>46234.0</v>
      </c>
    </row>
    <row r="314">
      <c r="A314" s="670">
        <v>323.0</v>
      </c>
      <c r="B314" s="670" t="s">
        <v>2257</v>
      </c>
      <c r="C314" s="670" t="s">
        <v>2258</v>
      </c>
      <c r="D314" s="670" t="s">
        <v>2833</v>
      </c>
      <c r="E314" s="670" t="s">
        <v>2834</v>
      </c>
      <c r="F314" s="670">
        <v>2331.0</v>
      </c>
      <c r="G314" s="670" t="s">
        <v>824</v>
      </c>
      <c r="H314" s="670" t="s">
        <v>2261</v>
      </c>
      <c r="I314" s="670" t="s">
        <v>2262</v>
      </c>
      <c r="J314" s="671">
        <v>46234.0</v>
      </c>
    </row>
    <row r="315">
      <c r="A315" s="670">
        <v>324.0</v>
      </c>
      <c r="B315" s="670" t="s">
        <v>2257</v>
      </c>
      <c r="C315" s="670" t="s">
        <v>2258</v>
      </c>
      <c r="D315" s="670" t="s">
        <v>2835</v>
      </c>
      <c r="E315" s="670" t="s">
        <v>2836</v>
      </c>
      <c r="F315" s="670">
        <v>2543.0</v>
      </c>
      <c r="G315" s="670" t="s">
        <v>824</v>
      </c>
      <c r="H315" s="670" t="s">
        <v>2261</v>
      </c>
      <c r="I315" s="670" t="s">
        <v>2262</v>
      </c>
      <c r="J315" s="671">
        <v>46234.0</v>
      </c>
    </row>
    <row r="316">
      <c r="A316" s="670">
        <v>325.0</v>
      </c>
      <c r="B316" s="670" t="s">
        <v>2257</v>
      </c>
      <c r="C316" s="670" t="s">
        <v>2258</v>
      </c>
      <c r="D316" s="670" t="s">
        <v>2837</v>
      </c>
      <c r="E316" s="670" t="s">
        <v>2838</v>
      </c>
      <c r="F316" s="670">
        <v>2342.0</v>
      </c>
      <c r="G316" s="670" t="s">
        <v>824</v>
      </c>
      <c r="H316" s="670" t="s">
        <v>2261</v>
      </c>
      <c r="I316" s="670" t="s">
        <v>2262</v>
      </c>
      <c r="J316" s="671">
        <v>46234.0</v>
      </c>
    </row>
    <row r="317">
      <c r="A317" s="670">
        <v>326.0</v>
      </c>
      <c r="B317" s="670" t="s">
        <v>2257</v>
      </c>
      <c r="C317" s="670" t="s">
        <v>2258</v>
      </c>
      <c r="D317" s="670" t="s">
        <v>2839</v>
      </c>
      <c r="E317" s="670" t="s">
        <v>2840</v>
      </c>
      <c r="F317" s="670">
        <v>2446.0</v>
      </c>
      <c r="G317" s="670" t="s">
        <v>824</v>
      </c>
      <c r="H317" s="670" t="s">
        <v>2261</v>
      </c>
      <c r="I317" s="670" t="s">
        <v>2262</v>
      </c>
      <c r="J317" s="671">
        <v>46234.0</v>
      </c>
    </row>
    <row r="318">
      <c r="A318" s="670">
        <v>327.0</v>
      </c>
      <c r="B318" s="670" t="s">
        <v>2257</v>
      </c>
      <c r="C318" s="670" t="s">
        <v>2258</v>
      </c>
      <c r="D318" s="670" t="s">
        <v>2841</v>
      </c>
      <c r="E318" s="670" t="s">
        <v>2842</v>
      </c>
      <c r="F318" s="670">
        <v>2184.0</v>
      </c>
      <c r="G318" s="670" t="s">
        <v>824</v>
      </c>
      <c r="H318" s="670" t="s">
        <v>2261</v>
      </c>
      <c r="I318" s="670" t="s">
        <v>2262</v>
      </c>
      <c r="J318" s="671">
        <v>46234.0</v>
      </c>
    </row>
    <row r="319">
      <c r="A319" s="670">
        <v>328.0</v>
      </c>
      <c r="B319" s="670" t="s">
        <v>2257</v>
      </c>
      <c r="C319" s="670" t="s">
        <v>2258</v>
      </c>
      <c r="D319" s="670" t="s">
        <v>2843</v>
      </c>
      <c r="E319" s="670" t="s">
        <v>2844</v>
      </c>
      <c r="F319" s="670">
        <v>2427.0</v>
      </c>
      <c r="G319" s="670" t="s">
        <v>824</v>
      </c>
      <c r="H319" s="670" t="s">
        <v>2261</v>
      </c>
      <c r="I319" s="670" t="s">
        <v>2262</v>
      </c>
      <c r="J319" s="671">
        <v>46234.0</v>
      </c>
    </row>
    <row r="320">
      <c r="A320" s="670">
        <v>329.0</v>
      </c>
      <c r="B320" s="670" t="s">
        <v>2257</v>
      </c>
      <c r="C320" s="670" t="s">
        <v>2258</v>
      </c>
      <c r="D320" s="670" t="s">
        <v>2845</v>
      </c>
      <c r="E320" s="670" t="s">
        <v>2846</v>
      </c>
      <c r="F320" s="670">
        <v>2195.0</v>
      </c>
      <c r="G320" s="670" t="s">
        <v>824</v>
      </c>
      <c r="H320" s="670" t="s">
        <v>2261</v>
      </c>
      <c r="I320" s="670" t="s">
        <v>2262</v>
      </c>
      <c r="J320" s="671">
        <v>46234.0</v>
      </c>
    </row>
    <row r="321">
      <c r="A321" s="670">
        <v>330.0</v>
      </c>
      <c r="B321" s="670" t="s">
        <v>2257</v>
      </c>
      <c r="C321" s="670" t="s">
        <v>2258</v>
      </c>
      <c r="D321" s="670" t="s">
        <v>2847</v>
      </c>
      <c r="E321" s="670" t="s">
        <v>2848</v>
      </c>
      <c r="F321" s="670">
        <v>2079.0</v>
      </c>
      <c r="G321" s="670" t="s">
        <v>824</v>
      </c>
      <c r="H321" s="670" t="s">
        <v>2261</v>
      </c>
      <c r="I321" s="670" t="s">
        <v>2262</v>
      </c>
      <c r="J321" s="671">
        <v>46234.0</v>
      </c>
    </row>
    <row r="322">
      <c r="A322" s="670">
        <v>331.0</v>
      </c>
      <c r="B322" s="670" t="s">
        <v>2559</v>
      </c>
      <c r="C322" s="670" t="s">
        <v>2258</v>
      </c>
      <c r="D322" s="670" t="s">
        <v>2849</v>
      </c>
      <c r="E322" s="670" t="s">
        <v>2850</v>
      </c>
      <c r="F322" s="670">
        <v>1213.0</v>
      </c>
      <c r="G322" s="670" t="s">
        <v>2442</v>
      </c>
      <c r="H322" s="670" t="s">
        <v>2261</v>
      </c>
      <c r="I322" s="670" t="s">
        <v>2262</v>
      </c>
      <c r="J322" s="671">
        <v>46234.0</v>
      </c>
    </row>
    <row r="323">
      <c r="A323" s="670">
        <v>332.0</v>
      </c>
      <c r="B323" s="670" t="s">
        <v>2559</v>
      </c>
      <c r="C323" s="670" t="s">
        <v>2258</v>
      </c>
      <c r="D323" s="670" t="s">
        <v>2851</v>
      </c>
      <c r="E323" s="670" t="s">
        <v>2852</v>
      </c>
      <c r="F323" s="670">
        <v>3.0</v>
      </c>
      <c r="G323" s="670" t="s">
        <v>2655</v>
      </c>
      <c r="H323" s="670" t="s">
        <v>2261</v>
      </c>
      <c r="I323" s="670" t="s">
        <v>2262</v>
      </c>
      <c r="J323" s="671">
        <v>46234.0</v>
      </c>
    </row>
    <row r="324">
      <c r="A324" s="670">
        <v>333.0</v>
      </c>
      <c r="B324" s="670" t="s">
        <v>2559</v>
      </c>
      <c r="C324" s="670" t="s">
        <v>2258</v>
      </c>
      <c r="D324" s="670" t="s">
        <v>2853</v>
      </c>
      <c r="E324" s="670" t="s">
        <v>2854</v>
      </c>
      <c r="F324" s="670">
        <v>20508.0</v>
      </c>
      <c r="G324" s="670" t="s">
        <v>2442</v>
      </c>
      <c r="H324" s="670" t="s">
        <v>2261</v>
      </c>
      <c r="I324" s="670" t="s">
        <v>2262</v>
      </c>
      <c r="J324" s="671">
        <v>46234.0</v>
      </c>
    </row>
    <row r="325">
      <c r="A325" s="670">
        <v>334.0</v>
      </c>
      <c r="B325" s="670" t="s">
        <v>2559</v>
      </c>
      <c r="C325" s="670" t="s">
        <v>2258</v>
      </c>
      <c r="D325" s="670" t="s">
        <v>2855</v>
      </c>
      <c r="E325" s="670" t="s">
        <v>2856</v>
      </c>
      <c r="F325" s="670">
        <v>312.0</v>
      </c>
      <c r="G325" s="670" t="s">
        <v>2442</v>
      </c>
      <c r="H325" s="670" t="s">
        <v>2261</v>
      </c>
      <c r="I325" s="670" t="s">
        <v>2262</v>
      </c>
      <c r="J325" s="671">
        <v>46234.0</v>
      </c>
    </row>
    <row r="326">
      <c r="A326" s="670">
        <v>335.0</v>
      </c>
      <c r="B326" s="670" t="s">
        <v>2559</v>
      </c>
      <c r="C326" s="670" t="s">
        <v>2258</v>
      </c>
      <c r="D326" s="670" t="s">
        <v>2857</v>
      </c>
      <c r="E326" s="670" t="s">
        <v>2858</v>
      </c>
      <c r="F326" s="670">
        <v>2694.0</v>
      </c>
      <c r="G326" s="670" t="s">
        <v>2442</v>
      </c>
      <c r="H326" s="670" t="s">
        <v>2261</v>
      </c>
      <c r="I326" s="670" t="s">
        <v>2262</v>
      </c>
      <c r="J326" s="671">
        <v>46234.0</v>
      </c>
    </row>
    <row r="327">
      <c r="A327" s="670">
        <v>336.0</v>
      </c>
      <c r="B327" s="670" t="s">
        <v>2559</v>
      </c>
      <c r="C327" s="670" t="s">
        <v>2258</v>
      </c>
      <c r="D327" s="670" t="s">
        <v>2859</v>
      </c>
      <c r="E327" s="670" t="s">
        <v>2860</v>
      </c>
      <c r="F327" s="670">
        <v>2413.0</v>
      </c>
      <c r="G327" s="670" t="s">
        <v>2442</v>
      </c>
      <c r="H327" s="670" t="s">
        <v>2261</v>
      </c>
      <c r="I327" s="670" t="s">
        <v>2262</v>
      </c>
      <c r="J327" s="671">
        <v>46234.0</v>
      </c>
    </row>
    <row r="328">
      <c r="A328" s="670">
        <v>337.0</v>
      </c>
      <c r="B328" s="670" t="s">
        <v>2257</v>
      </c>
      <c r="C328" s="670" t="s">
        <v>2258</v>
      </c>
      <c r="D328" s="670" t="s">
        <v>2861</v>
      </c>
      <c r="E328" s="670" t="s">
        <v>2862</v>
      </c>
      <c r="F328" s="670">
        <v>3495.0</v>
      </c>
      <c r="G328" s="670" t="s">
        <v>305</v>
      </c>
      <c r="H328" s="670" t="s">
        <v>2261</v>
      </c>
      <c r="I328" s="670" t="s">
        <v>2262</v>
      </c>
      <c r="J328" s="671">
        <v>46234.0</v>
      </c>
    </row>
    <row r="329">
      <c r="A329" s="670">
        <v>338.0</v>
      </c>
      <c r="B329" s="670" t="s">
        <v>2257</v>
      </c>
      <c r="C329" s="670" t="s">
        <v>2258</v>
      </c>
      <c r="D329" s="670" t="s">
        <v>2864</v>
      </c>
      <c r="E329" s="670" t="s">
        <v>2865</v>
      </c>
      <c r="F329" s="670">
        <v>3495.0</v>
      </c>
      <c r="G329" s="670" t="s">
        <v>305</v>
      </c>
      <c r="H329" s="670" t="s">
        <v>2572</v>
      </c>
      <c r="I329" s="670" t="s">
        <v>2573</v>
      </c>
      <c r="J329" s="671">
        <v>46234.0</v>
      </c>
    </row>
    <row r="330">
      <c r="A330" s="670">
        <v>339.0</v>
      </c>
      <c r="B330" s="670" t="s">
        <v>2257</v>
      </c>
      <c r="C330" s="670" t="s">
        <v>2258</v>
      </c>
      <c r="D330" s="670" t="s">
        <v>2866</v>
      </c>
      <c r="E330" s="670" t="s">
        <v>2867</v>
      </c>
      <c r="F330" s="670">
        <v>3495.0</v>
      </c>
      <c r="G330" s="670" t="s">
        <v>305</v>
      </c>
      <c r="H330" s="670" t="s">
        <v>2261</v>
      </c>
      <c r="I330" s="670" t="s">
        <v>2262</v>
      </c>
      <c r="J330" s="671">
        <v>46234.0</v>
      </c>
    </row>
    <row r="331">
      <c r="A331" s="670">
        <v>340.0</v>
      </c>
      <c r="B331" s="670" t="s">
        <v>2559</v>
      </c>
      <c r="C331" s="670" t="s">
        <v>2258</v>
      </c>
      <c r="D331" s="670" t="s">
        <v>2869</v>
      </c>
      <c r="E331" s="670" t="s">
        <v>2870</v>
      </c>
      <c r="F331" s="670">
        <v>27.0</v>
      </c>
      <c r="G331" s="670" t="s">
        <v>2442</v>
      </c>
      <c r="H331" s="670" t="s">
        <v>2261</v>
      </c>
      <c r="I331" s="670" t="s">
        <v>2262</v>
      </c>
      <c r="J331" s="671">
        <v>46234.0</v>
      </c>
    </row>
    <row r="332">
      <c r="A332" s="670">
        <v>341.0</v>
      </c>
      <c r="B332" s="670" t="s">
        <v>2559</v>
      </c>
      <c r="C332" s="673" t="s">
        <v>2258</v>
      </c>
      <c r="D332" s="670" t="s">
        <v>2871</v>
      </c>
      <c r="E332" s="670" t="s">
        <v>2872</v>
      </c>
      <c r="F332" s="670">
        <v>1.0</v>
      </c>
      <c r="G332" s="670" t="s">
        <v>2442</v>
      </c>
      <c r="H332" s="670" t="s">
        <v>2261</v>
      </c>
      <c r="I332" s="670" t="s">
        <v>2262</v>
      </c>
      <c r="J332" s="671">
        <v>46234.0</v>
      </c>
    </row>
    <row r="333">
      <c r="A333" s="670">
        <v>342.0</v>
      </c>
      <c r="B333" s="670" t="s">
        <v>2559</v>
      </c>
      <c r="C333" s="673" t="s">
        <v>2258</v>
      </c>
      <c r="D333" s="670" t="s">
        <v>2874</v>
      </c>
      <c r="E333" s="670" t="s">
        <v>2875</v>
      </c>
      <c r="F333" s="670">
        <v>2694.0</v>
      </c>
      <c r="G333" s="670" t="s">
        <v>2442</v>
      </c>
      <c r="H333" s="670" t="s">
        <v>2261</v>
      </c>
      <c r="I333" s="670" t="s">
        <v>2262</v>
      </c>
      <c r="J333" s="671">
        <v>46234.0</v>
      </c>
    </row>
    <row r="334">
      <c r="A334" s="670">
        <v>343.0</v>
      </c>
      <c r="B334" s="670" t="s">
        <v>2559</v>
      </c>
      <c r="C334" s="673" t="s">
        <v>2258</v>
      </c>
      <c r="D334" s="670" t="s">
        <v>2876</v>
      </c>
      <c r="E334" s="670" t="s">
        <v>2877</v>
      </c>
      <c r="F334" s="670">
        <v>234.0</v>
      </c>
      <c r="G334" s="670" t="s">
        <v>2442</v>
      </c>
      <c r="H334" s="670" t="s">
        <v>2261</v>
      </c>
      <c r="I334" s="670" t="s">
        <v>2262</v>
      </c>
      <c r="J334" s="671">
        <v>46234.0</v>
      </c>
    </row>
    <row r="335">
      <c r="A335" s="670">
        <v>344.0</v>
      </c>
      <c r="B335" s="670" t="s">
        <v>2559</v>
      </c>
      <c r="C335" s="673" t="s">
        <v>2258</v>
      </c>
      <c r="D335" s="670" t="s">
        <v>2878</v>
      </c>
      <c r="E335" s="670" t="s">
        <v>2879</v>
      </c>
      <c r="F335" s="670">
        <v>1250.0</v>
      </c>
      <c r="G335" s="670" t="s">
        <v>2442</v>
      </c>
      <c r="H335" s="670" t="s">
        <v>2261</v>
      </c>
      <c r="I335" s="670" t="s">
        <v>2262</v>
      </c>
      <c r="J335" s="671">
        <v>46234.0</v>
      </c>
    </row>
    <row r="336">
      <c r="A336" s="670">
        <v>345.0</v>
      </c>
      <c r="B336" s="670" t="s">
        <v>2559</v>
      </c>
      <c r="C336" s="673" t="s">
        <v>2258</v>
      </c>
      <c r="D336" s="670" t="s">
        <v>2880</v>
      </c>
      <c r="E336" s="670" t="s">
        <v>2881</v>
      </c>
      <c r="F336" s="670">
        <v>20508.0</v>
      </c>
      <c r="G336" s="670" t="s">
        <v>2442</v>
      </c>
      <c r="H336" s="670" t="s">
        <v>2261</v>
      </c>
      <c r="I336" s="670" t="s">
        <v>2262</v>
      </c>
      <c r="J336" s="671">
        <v>46234.0</v>
      </c>
    </row>
    <row r="337">
      <c r="A337" s="670">
        <v>346.0</v>
      </c>
      <c r="B337" s="670" t="s">
        <v>2559</v>
      </c>
      <c r="C337" s="673" t="s">
        <v>2258</v>
      </c>
      <c r="D337" s="670" t="s">
        <v>2882</v>
      </c>
      <c r="E337" s="670" t="s">
        <v>2883</v>
      </c>
      <c r="F337" s="670">
        <v>1213.0</v>
      </c>
      <c r="G337" s="670" t="s">
        <v>2442</v>
      </c>
      <c r="H337" s="670" t="s">
        <v>2261</v>
      </c>
      <c r="I337" s="670" t="s">
        <v>2262</v>
      </c>
      <c r="J337" s="671">
        <v>46234.0</v>
      </c>
    </row>
    <row r="338">
      <c r="A338" s="670">
        <v>347.0</v>
      </c>
      <c r="B338" s="670" t="s">
        <v>2559</v>
      </c>
      <c r="C338" s="670" t="s">
        <v>2258</v>
      </c>
      <c r="D338" s="670" t="s">
        <v>2884</v>
      </c>
      <c r="E338" s="670" t="s">
        <v>2885</v>
      </c>
      <c r="F338" s="670">
        <v>3.0</v>
      </c>
      <c r="G338" s="670" t="s">
        <v>2655</v>
      </c>
      <c r="H338" s="670" t="s">
        <v>2261</v>
      </c>
      <c r="I338" s="670" t="s">
        <v>2262</v>
      </c>
      <c r="J338" s="671">
        <v>46234.0</v>
      </c>
    </row>
    <row r="339">
      <c r="A339" s="670">
        <v>348.0</v>
      </c>
      <c r="B339" s="670" t="s">
        <v>2559</v>
      </c>
      <c r="C339" s="670" t="s">
        <v>2258</v>
      </c>
      <c r="D339" s="670" t="s">
        <v>2886</v>
      </c>
      <c r="E339" s="670" t="s">
        <v>2879</v>
      </c>
      <c r="F339" s="670">
        <v>1250.0</v>
      </c>
      <c r="G339" s="670" t="s">
        <v>2442</v>
      </c>
      <c r="H339" s="670" t="s">
        <v>2261</v>
      </c>
      <c r="I339" s="670" t="s">
        <v>2262</v>
      </c>
      <c r="J339" s="671">
        <v>46234.0</v>
      </c>
    </row>
    <row r="340">
      <c r="A340" s="670">
        <v>349.0</v>
      </c>
      <c r="B340" s="670" t="s">
        <v>2559</v>
      </c>
      <c r="C340" s="670" t="s">
        <v>2258</v>
      </c>
      <c r="D340" s="670" t="s">
        <v>2887</v>
      </c>
      <c r="E340" s="670" t="s">
        <v>2888</v>
      </c>
      <c r="F340" s="670">
        <v>3.0</v>
      </c>
      <c r="G340" s="670" t="s">
        <v>2655</v>
      </c>
      <c r="H340" s="670" t="s">
        <v>2261</v>
      </c>
      <c r="I340" s="670" t="s">
        <v>2262</v>
      </c>
      <c r="J340" s="671">
        <v>46234.0</v>
      </c>
    </row>
    <row r="341">
      <c r="A341" s="670">
        <v>350.0</v>
      </c>
      <c r="B341" s="670" t="s">
        <v>2559</v>
      </c>
      <c r="C341" s="673" t="s">
        <v>2258</v>
      </c>
      <c r="D341" s="670" t="s">
        <v>2889</v>
      </c>
      <c r="E341" s="670" t="s">
        <v>2890</v>
      </c>
      <c r="F341" s="670">
        <v>20508.0</v>
      </c>
      <c r="G341" s="670" t="s">
        <v>2442</v>
      </c>
      <c r="H341" s="670" t="s">
        <v>2261</v>
      </c>
      <c r="I341" s="670" t="s">
        <v>2262</v>
      </c>
      <c r="J341" s="671">
        <v>46234.0</v>
      </c>
    </row>
    <row r="342">
      <c r="A342" s="670">
        <v>351.0</v>
      </c>
      <c r="B342" s="670" t="s">
        <v>2559</v>
      </c>
      <c r="C342" s="673" t="s">
        <v>2258</v>
      </c>
      <c r="D342" s="670" t="s">
        <v>2891</v>
      </c>
      <c r="E342" s="670" t="s">
        <v>2892</v>
      </c>
      <c r="F342" s="670">
        <v>358.0</v>
      </c>
      <c r="G342" s="670" t="s">
        <v>2442</v>
      </c>
      <c r="H342" s="670" t="s">
        <v>2261</v>
      </c>
      <c r="I342" s="670" t="s">
        <v>2262</v>
      </c>
      <c r="J342" s="671">
        <v>46234.0</v>
      </c>
    </row>
    <row r="343">
      <c r="A343" s="670">
        <v>352.0</v>
      </c>
      <c r="B343" s="670" t="s">
        <v>2559</v>
      </c>
      <c r="C343" s="673" t="s">
        <v>2258</v>
      </c>
      <c r="D343" s="670" t="s">
        <v>2893</v>
      </c>
      <c r="E343" s="670" t="s">
        <v>2894</v>
      </c>
      <c r="F343" s="670">
        <v>4375.0</v>
      </c>
      <c r="G343" s="670" t="s">
        <v>2442</v>
      </c>
      <c r="H343" s="670" t="s">
        <v>2261</v>
      </c>
      <c r="I343" s="670" t="s">
        <v>2262</v>
      </c>
      <c r="J343" s="671">
        <v>46234.0</v>
      </c>
    </row>
    <row r="344">
      <c r="A344" s="670">
        <v>353.0</v>
      </c>
      <c r="B344" s="670" t="s">
        <v>2559</v>
      </c>
      <c r="C344" s="673" t="s">
        <v>2258</v>
      </c>
      <c r="D344" s="670" t="s">
        <v>2895</v>
      </c>
      <c r="E344" s="670" t="s">
        <v>2896</v>
      </c>
      <c r="F344" s="670">
        <v>4250.0</v>
      </c>
      <c r="G344" s="670" t="s">
        <v>2442</v>
      </c>
      <c r="H344" s="670" t="s">
        <v>2261</v>
      </c>
      <c r="I344" s="670" t="s">
        <v>2262</v>
      </c>
      <c r="J344" s="671">
        <v>46234.0</v>
      </c>
    </row>
    <row r="345">
      <c r="A345" s="670">
        <v>354.0</v>
      </c>
      <c r="B345" s="670" t="s">
        <v>2559</v>
      </c>
      <c r="C345" s="673" t="s">
        <v>2258</v>
      </c>
      <c r="D345" s="670" t="s">
        <v>2897</v>
      </c>
      <c r="E345" s="670" t="s">
        <v>2898</v>
      </c>
      <c r="F345" s="670">
        <v>137.0</v>
      </c>
      <c r="G345" s="670" t="s">
        <v>2442</v>
      </c>
      <c r="H345" s="670" t="s">
        <v>2261</v>
      </c>
      <c r="I345" s="670" t="s">
        <v>2262</v>
      </c>
      <c r="J345" s="671">
        <v>46234.0</v>
      </c>
    </row>
    <row r="346">
      <c r="A346" s="670">
        <v>355.0</v>
      </c>
      <c r="B346" s="670" t="s">
        <v>2559</v>
      </c>
      <c r="C346" s="673" t="s">
        <v>2258</v>
      </c>
      <c r="D346" s="670" t="s">
        <v>2899</v>
      </c>
      <c r="E346" s="670" t="s">
        <v>2900</v>
      </c>
      <c r="F346" s="670">
        <v>115.0</v>
      </c>
      <c r="G346" s="670" t="s">
        <v>2442</v>
      </c>
      <c r="H346" s="670" t="s">
        <v>2261</v>
      </c>
      <c r="I346" s="670" t="s">
        <v>2262</v>
      </c>
      <c r="J346" s="671">
        <v>46234.0</v>
      </c>
    </row>
    <row r="347">
      <c r="A347" s="670">
        <v>356.0</v>
      </c>
      <c r="B347" s="670" t="s">
        <v>2559</v>
      </c>
      <c r="C347" s="673" t="s">
        <v>2258</v>
      </c>
      <c r="D347" s="670" t="s">
        <v>2901</v>
      </c>
      <c r="E347" s="670" t="s">
        <v>2902</v>
      </c>
      <c r="F347" s="670">
        <v>1250.0</v>
      </c>
      <c r="G347" s="670" t="s">
        <v>2442</v>
      </c>
      <c r="H347" s="670" t="s">
        <v>2261</v>
      </c>
      <c r="I347" s="670" t="s">
        <v>2262</v>
      </c>
      <c r="J347" s="671">
        <v>46234.0</v>
      </c>
    </row>
    <row r="348">
      <c r="A348" s="670">
        <v>357.0</v>
      </c>
      <c r="B348" s="670" t="s">
        <v>2559</v>
      </c>
      <c r="C348" s="673" t="s">
        <v>2258</v>
      </c>
      <c r="D348" s="670" t="s">
        <v>2903</v>
      </c>
      <c r="E348" s="670" t="s">
        <v>2904</v>
      </c>
      <c r="F348" s="670">
        <v>1162.0</v>
      </c>
      <c r="G348" s="670" t="s">
        <v>2442</v>
      </c>
      <c r="H348" s="670" t="s">
        <v>2261</v>
      </c>
      <c r="I348" s="670" t="s">
        <v>2262</v>
      </c>
      <c r="J348" s="671">
        <v>46234.0</v>
      </c>
    </row>
    <row r="349">
      <c r="A349" s="670">
        <v>358.0</v>
      </c>
      <c r="B349" s="670" t="s">
        <v>2559</v>
      </c>
      <c r="C349" s="673" t="s">
        <v>2258</v>
      </c>
      <c r="D349" s="670" t="s">
        <v>2905</v>
      </c>
      <c r="E349" s="670" t="s">
        <v>2870</v>
      </c>
      <c r="F349" s="670">
        <v>27.0</v>
      </c>
      <c r="G349" s="670" t="s">
        <v>2442</v>
      </c>
      <c r="H349" s="670" t="s">
        <v>2261</v>
      </c>
      <c r="I349" s="670" t="s">
        <v>2262</v>
      </c>
      <c r="J349" s="671">
        <v>46234.0</v>
      </c>
    </row>
    <row r="350">
      <c r="A350" s="670">
        <v>359.0</v>
      </c>
      <c r="B350" s="670" t="s">
        <v>2257</v>
      </c>
      <c r="C350" s="673" t="s">
        <v>2258</v>
      </c>
      <c r="D350" s="670" t="s">
        <v>2906</v>
      </c>
      <c r="E350" s="670" t="s">
        <v>2907</v>
      </c>
      <c r="F350" s="670">
        <v>3495.0</v>
      </c>
      <c r="G350" s="670" t="s">
        <v>305</v>
      </c>
      <c r="H350" s="670" t="s">
        <v>2261</v>
      </c>
      <c r="I350" s="670" t="s">
        <v>2262</v>
      </c>
      <c r="J350" s="671">
        <v>46234.0</v>
      </c>
    </row>
    <row r="351">
      <c r="A351" s="670">
        <v>360.0</v>
      </c>
      <c r="B351" s="670" t="s">
        <v>2257</v>
      </c>
      <c r="C351" s="673" t="s">
        <v>2258</v>
      </c>
      <c r="D351" s="670" t="s">
        <v>2908</v>
      </c>
      <c r="E351" s="670" t="s">
        <v>2909</v>
      </c>
      <c r="F351" s="670">
        <v>47.0</v>
      </c>
      <c r="G351" s="670" t="s">
        <v>22</v>
      </c>
      <c r="H351" s="670" t="s">
        <v>2261</v>
      </c>
      <c r="I351" s="670" t="s">
        <v>2262</v>
      </c>
      <c r="J351" s="671">
        <v>46234.0</v>
      </c>
    </row>
    <row r="352">
      <c r="A352" s="670">
        <v>361.0</v>
      </c>
      <c r="B352" s="670" t="s">
        <v>2257</v>
      </c>
      <c r="C352" s="673" t="s">
        <v>2258</v>
      </c>
      <c r="D352" s="670" t="s">
        <v>2910</v>
      </c>
      <c r="E352" s="670" t="s">
        <v>2911</v>
      </c>
      <c r="F352" s="670">
        <v>1.0</v>
      </c>
      <c r="G352" s="670" t="s">
        <v>2467</v>
      </c>
      <c r="H352" s="670" t="s">
        <v>2261</v>
      </c>
      <c r="I352" s="670" t="s">
        <v>2262</v>
      </c>
      <c r="J352" s="671">
        <v>46234.0</v>
      </c>
    </row>
    <row r="353">
      <c r="A353" s="670">
        <v>362.0</v>
      </c>
      <c r="B353" s="670" t="s">
        <v>2257</v>
      </c>
      <c r="C353" s="673" t="s">
        <v>2258</v>
      </c>
      <c r="D353" s="670" t="s">
        <v>2912</v>
      </c>
      <c r="E353" s="670" t="s">
        <v>2913</v>
      </c>
      <c r="F353" s="670">
        <v>160.0</v>
      </c>
      <c r="G353" s="670" t="s">
        <v>2467</v>
      </c>
      <c r="H353" s="670" t="s">
        <v>2261</v>
      </c>
      <c r="I353" s="670" t="s">
        <v>2262</v>
      </c>
      <c r="J353" s="671">
        <v>46234.0</v>
      </c>
    </row>
    <row r="354">
      <c r="A354" s="670">
        <v>363.0</v>
      </c>
      <c r="B354" s="670" t="s">
        <v>2257</v>
      </c>
      <c r="C354" s="673" t="s">
        <v>2258</v>
      </c>
      <c r="D354" s="670" t="s">
        <v>2914</v>
      </c>
      <c r="E354" s="670" t="s">
        <v>2915</v>
      </c>
      <c r="F354" s="670">
        <v>1.0</v>
      </c>
      <c r="G354" s="670" t="s">
        <v>305</v>
      </c>
      <c r="H354" s="670" t="s">
        <v>2261</v>
      </c>
      <c r="I354" s="670" t="s">
        <v>2262</v>
      </c>
      <c r="J354" s="671">
        <v>46234.0</v>
      </c>
    </row>
    <row r="355">
      <c r="A355" s="670">
        <v>364.0</v>
      </c>
      <c r="B355" s="670" t="s">
        <v>2257</v>
      </c>
      <c r="C355" s="673" t="s">
        <v>2258</v>
      </c>
      <c r="D355" s="670" t="s">
        <v>2916</v>
      </c>
      <c r="E355" s="670" t="s">
        <v>2917</v>
      </c>
      <c r="F355" s="670">
        <v>90.0</v>
      </c>
      <c r="G355" s="670" t="s">
        <v>22</v>
      </c>
      <c r="H355" s="670" t="s">
        <v>2261</v>
      </c>
      <c r="I355" s="670" t="s">
        <v>2262</v>
      </c>
      <c r="J355" s="671">
        <v>46234.0</v>
      </c>
    </row>
    <row r="356">
      <c r="A356" s="670">
        <v>365.0</v>
      </c>
      <c r="B356" s="670" t="s">
        <v>2257</v>
      </c>
      <c r="C356" s="673" t="s">
        <v>2258</v>
      </c>
      <c r="D356" s="670" t="s">
        <v>2918</v>
      </c>
      <c r="E356" s="670" t="s">
        <v>2919</v>
      </c>
      <c r="F356" s="670">
        <v>137.0</v>
      </c>
      <c r="G356" s="670" t="s">
        <v>2442</v>
      </c>
      <c r="H356" s="670" t="s">
        <v>2572</v>
      </c>
      <c r="I356" s="670" t="s">
        <v>2573</v>
      </c>
      <c r="J356" s="671">
        <v>46234.0</v>
      </c>
    </row>
    <row r="357">
      <c r="A357" s="670">
        <v>366.0</v>
      </c>
      <c r="B357" s="670" t="s">
        <v>2257</v>
      </c>
      <c r="C357" s="673" t="s">
        <v>2258</v>
      </c>
      <c r="D357" s="670" t="s">
        <v>2920</v>
      </c>
      <c r="E357" s="670" t="s">
        <v>2921</v>
      </c>
      <c r="F357" s="670">
        <v>337.0</v>
      </c>
      <c r="G357" s="670" t="s">
        <v>43</v>
      </c>
      <c r="H357" s="670" t="s">
        <v>2261</v>
      </c>
      <c r="I357" s="670" t="s">
        <v>2262</v>
      </c>
      <c r="J357" s="671">
        <v>46234.0</v>
      </c>
    </row>
    <row r="358">
      <c r="A358" s="670">
        <v>367.0</v>
      </c>
      <c r="B358" s="670" t="s">
        <v>2257</v>
      </c>
      <c r="C358" s="673" t="s">
        <v>2258</v>
      </c>
      <c r="D358" s="670" t="s">
        <v>2922</v>
      </c>
      <c r="E358" s="670" t="s">
        <v>2923</v>
      </c>
      <c r="F358" s="670">
        <v>25.0</v>
      </c>
      <c r="G358" s="670" t="s">
        <v>22</v>
      </c>
      <c r="H358" s="670" t="s">
        <v>2261</v>
      </c>
      <c r="I358" s="670" t="s">
        <v>2262</v>
      </c>
      <c r="J358" s="671">
        <v>46234.0</v>
      </c>
    </row>
    <row r="359">
      <c r="A359" s="670">
        <v>368.0</v>
      </c>
      <c r="B359" s="670" t="s">
        <v>2257</v>
      </c>
      <c r="C359" s="673" t="s">
        <v>2258</v>
      </c>
      <c r="D359" s="670" t="s">
        <v>2924</v>
      </c>
      <c r="E359" s="670" t="s">
        <v>2925</v>
      </c>
      <c r="F359" s="670">
        <v>115.0</v>
      </c>
      <c r="G359" s="670" t="s">
        <v>2442</v>
      </c>
      <c r="H359" s="670" t="s">
        <v>2261</v>
      </c>
      <c r="I359" s="670" t="s">
        <v>2262</v>
      </c>
      <c r="J359" s="671">
        <v>46234.0</v>
      </c>
    </row>
    <row r="360">
      <c r="A360" s="670">
        <v>369.0</v>
      </c>
      <c r="B360" s="670" t="s">
        <v>2559</v>
      </c>
      <c r="C360" s="670" t="s">
        <v>2258</v>
      </c>
      <c r="D360" s="670" t="s">
        <v>2926</v>
      </c>
      <c r="E360" s="670" t="s">
        <v>2927</v>
      </c>
      <c r="F360" s="670">
        <v>20508.0</v>
      </c>
      <c r="G360" s="670" t="s">
        <v>2442</v>
      </c>
      <c r="H360" s="670" t="s">
        <v>2261</v>
      </c>
      <c r="I360" s="670" t="s">
        <v>2262</v>
      </c>
      <c r="J360" s="671">
        <v>46234.0</v>
      </c>
    </row>
    <row r="361">
      <c r="A361" s="670">
        <v>370.0</v>
      </c>
      <c r="B361" s="670" t="s">
        <v>2559</v>
      </c>
      <c r="C361" s="670" t="s">
        <v>2258</v>
      </c>
      <c r="D361" s="670" t="s">
        <v>2928</v>
      </c>
      <c r="E361" s="670" t="s">
        <v>2929</v>
      </c>
      <c r="F361" s="670">
        <v>1.0</v>
      </c>
      <c r="G361" s="670" t="s">
        <v>2442</v>
      </c>
      <c r="H361" s="670" t="s">
        <v>2261</v>
      </c>
      <c r="I361" s="670" t="s">
        <v>2262</v>
      </c>
      <c r="J361" s="671">
        <v>46234.0</v>
      </c>
    </row>
    <row r="362">
      <c r="A362" s="670">
        <v>371.0</v>
      </c>
      <c r="B362" s="670" t="s">
        <v>2559</v>
      </c>
      <c r="C362" s="670" t="s">
        <v>2258</v>
      </c>
      <c r="D362" s="670" t="s">
        <v>2930</v>
      </c>
      <c r="E362" s="670" t="s">
        <v>2931</v>
      </c>
      <c r="F362" s="670">
        <v>2249.0</v>
      </c>
      <c r="G362" s="670" t="s">
        <v>824</v>
      </c>
      <c r="H362" s="670" t="s">
        <v>2261</v>
      </c>
      <c r="I362" s="670" t="s">
        <v>2262</v>
      </c>
      <c r="J362" s="671">
        <v>46234.0</v>
      </c>
    </row>
    <row r="363">
      <c r="A363" s="670">
        <v>372.0</v>
      </c>
      <c r="B363" s="670" t="s">
        <v>2257</v>
      </c>
      <c r="C363" s="670" t="s">
        <v>2258</v>
      </c>
      <c r="D363" s="670" t="s">
        <v>2932</v>
      </c>
      <c r="E363" s="670" t="s">
        <v>2933</v>
      </c>
      <c r="F363" s="670">
        <v>6216.0</v>
      </c>
      <c r="G363" s="670" t="s">
        <v>305</v>
      </c>
      <c r="H363" s="670" t="s">
        <v>2261</v>
      </c>
      <c r="I363" s="670" t="s">
        <v>2262</v>
      </c>
      <c r="J363" s="671">
        <v>46234.0</v>
      </c>
    </row>
    <row r="364">
      <c r="A364" s="670">
        <v>373.0</v>
      </c>
      <c r="B364" s="670" t="s">
        <v>2559</v>
      </c>
      <c r="C364" s="670" t="s">
        <v>2258</v>
      </c>
      <c r="D364" s="670" t="s">
        <v>2934</v>
      </c>
      <c r="E364" s="670" t="s">
        <v>2935</v>
      </c>
      <c r="F364" s="670">
        <v>702.0</v>
      </c>
      <c r="G364" s="670" t="s">
        <v>2442</v>
      </c>
      <c r="H364" s="670" t="s">
        <v>2261</v>
      </c>
      <c r="I364" s="670" t="s">
        <v>2262</v>
      </c>
      <c r="J364" s="671">
        <v>46234.0</v>
      </c>
    </row>
    <row r="365">
      <c r="A365" s="670">
        <v>374.0</v>
      </c>
      <c r="B365" s="670" t="s">
        <v>2257</v>
      </c>
      <c r="C365" s="670" t="s">
        <v>2258</v>
      </c>
      <c r="D365" s="670" t="s">
        <v>2936</v>
      </c>
      <c r="E365" s="670" t="s">
        <v>2937</v>
      </c>
      <c r="F365" s="670">
        <v>14.0</v>
      </c>
      <c r="G365" s="670" t="s">
        <v>43</v>
      </c>
      <c r="H365" s="670" t="s">
        <v>2261</v>
      </c>
      <c r="I365" s="670" t="s">
        <v>2262</v>
      </c>
      <c r="J365" s="671">
        <v>46234.0</v>
      </c>
    </row>
    <row r="366">
      <c r="A366" s="670">
        <v>375.0</v>
      </c>
      <c r="B366" s="670" t="s">
        <v>2257</v>
      </c>
      <c r="C366" s="670" t="s">
        <v>2258</v>
      </c>
      <c r="D366" s="670" t="s">
        <v>2938</v>
      </c>
      <c r="E366" s="670" t="s">
        <v>2939</v>
      </c>
      <c r="F366" s="670">
        <v>2900.0</v>
      </c>
      <c r="G366" s="670" t="s">
        <v>43</v>
      </c>
      <c r="H366" s="670" t="s">
        <v>2261</v>
      </c>
      <c r="I366" s="670" t="s">
        <v>2262</v>
      </c>
      <c r="J366" s="671">
        <v>46234.0</v>
      </c>
    </row>
    <row r="367">
      <c r="A367" s="670">
        <v>376.0</v>
      </c>
      <c r="B367" s="670" t="s">
        <v>2257</v>
      </c>
      <c r="C367" s="670" t="s">
        <v>2258</v>
      </c>
      <c r="D367" s="670" t="s">
        <v>2940</v>
      </c>
      <c r="E367" s="670" t="s">
        <v>2941</v>
      </c>
      <c r="F367" s="670">
        <v>6216.0</v>
      </c>
      <c r="G367" s="670" t="s">
        <v>305</v>
      </c>
      <c r="H367" s="670" t="s">
        <v>2261</v>
      </c>
      <c r="I367" s="670" t="s">
        <v>2262</v>
      </c>
      <c r="J367" s="671">
        <v>46234.0</v>
      </c>
    </row>
    <row r="368">
      <c r="A368" s="670">
        <v>377.0</v>
      </c>
      <c r="B368" s="670" t="s">
        <v>2559</v>
      </c>
      <c r="C368" s="670" t="s">
        <v>2258</v>
      </c>
      <c r="D368" s="670" t="s">
        <v>2942</v>
      </c>
      <c r="E368" s="670" t="s">
        <v>2943</v>
      </c>
      <c r="F368" s="670">
        <v>312.0</v>
      </c>
      <c r="G368" s="670" t="s">
        <v>2442</v>
      </c>
      <c r="H368" s="670" t="s">
        <v>2261</v>
      </c>
      <c r="I368" s="670" t="s">
        <v>2262</v>
      </c>
      <c r="J368" s="671">
        <v>46234.0</v>
      </c>
    </row>
    <row r="369">
      <c r="A369" s="670">
        <v>378.0</v>
      </c>
      <c r="B369" s="670" t="s">
        <v>2257</v>
      </c>
      <c r="C369" s="670" t="s">
        <v>2258</v>
      </c>
      <c r="D369" s="670" t="s">
        <v>2944</v>
      </c>
      <c r="E369" s="670" t="s">
        <v>2945</v>
      </c>
      <c r="F369" s="670">
        <v>74.0</v>
      </c>
      <c r="G369" s="670" t="s">
        <v>759</v>
      </c>
      <c r="H369" s="670" t="s">
        <v>2261</v>
      </c>
      <c r="I369" s="670" t="s">
        <v>2262</v>
      </c>
      <c r="J369" s="671">
        <v>46234.0</v>
      </c>
    </row>
    <row r="370">
      <c r="A370" s="670">
        <v>379.0</v>
      </c>
      <c r="B370" s="670" t="s">
        <v>2559</v>
      </c>
      <c r="C370" s="673" t="s">
        <v>2258</v>
      </c>
      <c r="D370" s="670" t="s">
        <v>2946</v>
      </c>
      <c r="E370" s="670" t="s">
        <v>2947</v>
      </c>
      <c r="F370" s="670">
        <v>312.0</v>
      </c>
      <c r="G370" s="670" t="s">
        <v>2442</v>
      </c>
      <c r="H370" s="670" t="s">
        <v>2261</v>
      </c>
      <c r="I370" s="670" t="s">
        <v>2262</v>
      </c>
      <c r="J370" s="671">
        <v>46234.0</v>
      </c>
    </row>
    <row r="371">
      <c r="A371" s="670">
        <v>380.0</v>
      </c>
      <c r="B371" s="670" t="s">
        <v>2257</v>
      </c>
      <c r="C371" s="673" t="s">
        <v>2258</v>
      </c>
      <c r="D371" s="670" t="s">
        <v>2948</v>
      </c>
      <c r="E371" s="670" t="s">
        <v>2949</v>
      </c>
      <c r="F371" s="670">
        <v>57.0</v>
      </c>
      <c r="G371" s="670" t="s">
        <v>759</v>
      </c>
      <c r="H371" s="670" t="s">
        <v>2261</v>
      </c>
      <c r="I371" s="670" t="s">
        <v>2262</v>
      </c>
      <c r="J371" s="671">
        <v>46234.0</v>
      </c>
    </row>
    <row r="372">
      <c r="A372" s="670">
        <v>381.0</v>
      </c>
      <c r="B372" s="670" t="s">
        <v>2559</v>
      </c>
      <c r="C372" s="673" t="s">
        <v>2258</v>
      </c>
      <c r="D372" s="670" t="s">
        <v>2950</v>
      </c>
      <c r="E372" s="670" t="s">
        <v>2951</v>
      </c>
      <c r="F372" s="670">
        <v>2413.0</v>
      </c>
      <c r="G372" s="670" t="s">
        <v>2442</v>
      </c>
      <c r="H372" s="670" t="s">
        <v>2261</v>
      </c>
      <c r="I372" s="670" t="s">
        <v>2262</v>
      </c>
      <c r="J372" s="671">
        <v>46234.0</v>
      </c>
    </row>
    <row r="373">
      <c r="A373" s="670">
        <v>382.0</v>
      </c>
      <c r="B373" s="670" t="s">
        <v>2559</v>
      </c>
      <c r="C373" s="670" t="s">
        <v>2258</v>
      </c>
      <c r="D373" s="670" t="s">
        <v>2953</v>
      </c>
      <c r="E373" s="670" t="s">
        <v>2954</v>
      </c>
      <c r="F373" s="670">
        <v>1.0</v>
      </c>
      <c r="G373" s="670" t="s">
        <v>2442</v>
      </c>
      <c r="H373" s="670" t="s">
        <v>2261</v>
      </c>
      <c r="I373" s="670" t="s">
        <v>2262</v>
      </c>
      <c r="J373" s="671">
        <v>46234.0</v>
      </c>
    </row>
    <row r="374">
      <c r="A374" s="670">
        <v>383.0</v>
      </c>
      <c r="B374" s="670" t="s">
        <v>2559</v>
      </c>
      <c r="C374" s="673" t="s">
        <v>2258</v>
      </c>
      <c r="D374" s="670" t="s">
        <v>2955</v>
      </c>
      <c r="E374" s="670" t="s">
        <v>2956</v>
      </c>
      <c r="F374" s="670">
        <v>1.0</v>
      </c>
      <c r="G374" s="670" t="s">
        <v>2442</v>
      </c>
      <c r="H374" s="670" t="s">
        <v>2261</v>
      </c>
      <c r="I374" s="670" t="s">
        <v>2262</v>
      </c>
      <c r="J374" s="671">
        <v>46234.0</v>
      </c>
    </row>
    <row r="375">
      <c r="A375" s="670">
        <v>384.0</v>
      </c>
      <c r="B375" s="670" t="s">
        <v>2559</v>
      </c>
      <c r="C375" s="670" t="s">
        <v>2258</v>
      </c>
      <c r="D375" s="670" t="s">
        <v>2957</v>
      </c>
      <c r="E375" s="670" t="s">
        <v>2959</v>
      </c>
      <c r="F375" s="670">
        <v>100000.0</v>
      </c>
      <c r="G375" s="670" t="s">
        <v>107</v>
      </c>
      <c r="H375" s="670" t="s">
        <v>2261</v>
      </c>
      <c r="I375" s="670" t="s">
        <v>2262</v>
      </c>
      <c r="J375" s="671">
        <v>46234.0</v>
      </c>
    </row>
    <row r="376">
      <c r="A376" s="670">
        <v>385.0</v>
      </c>
      <c r="B376" s="670" t="s">
        <v>2559</v>
      </c>
      <c r="C376" s="670" t="s">
        <v>2258</v>
      </c>
      <c r="D376" s="670" t="s">
        <v>2960</v>
      </c>
      <c r="E376" s="670" t="s">
        <v>2961</v>
      </c>
      <c r="F376" s="670">
        <v>150000.0</v>
      </c>
      <c r="G376" s="670" t="s">
        <v>107</v>
      </c>
      <c r="H376" s="670" t="s">
        <v>2261</v>
      </c>
      <c r="I376" s="670" t="s">
        <v>2262</v>
      </c>
      <c r="J376" s="671">
        <v>46234.0</v>
      </c>
    </row>
    <row r="377">
      <c r="A377" s="670">
        <v>386.0</v>
      </c>
      <c r="B377" s="670" t="s">
        <v>2559</v>
      </c>
      <c r="C377" s="670" t="s">
        <v>2258</v>
      </c>
      <c r="D377" s="670" t="s">
        <v>2963</v>
      </c>
      <c r="E377" s="670" t="s">
        <v>2964</v>
      </c>
      <c r="F377" s="670">
        <v>1.0</v>
      </c>
      <c r="G377" s="670" t="s">
        <v>2442</v>
      </c>
      <c r="H377" s="670" t="s">
        <v>2261</v>
      </c>
      <c r="I377" s="670" t="s">
        <v>2262</v>
      </c>
      <c r="J377" s="671">
        <v>46234.0</v>
      </c>
    </row>
    <row r="378">
      <c r="A378" s="670">
        <v>387.0</v>
      </c>
      <c r="B378" s="670" t="s">
        <v>2559</v>
      </c>
      <c r="C378" s="673" t="s">
        <v>2258</v>
      </c>
      <c r="D378" s="670" t="s">
        <v>2965</v>
      </c>
      <c r="E378" s="670" t="s">
        <v>2904</v>
      </c>
      <c r="F378" s="670">
        <v>1162.0</v>
      </c>
      <c r="G378" s="670" t="s">
        <v>2442</v>
      </c>
      <c r="H378" s="670" t="s">
        <v>2261</v>
      </c>
      <c r="I378" s="670" t="s">
        <v>2262</v>
      </c>
      <c r="J378" s="671">
        <v>46234.0</v>
      </c>
    </row>
    <row r="379">
      <c r="A379" s="670">
        <v>388.0</v>
      </c>
      <c r="B379" s="670" t="s">
        <v>2559</v>
      </c>
      <c r="C379" s="670" t="s">
        <v>2258</v>
      </c>
      <c r="D379" s="670" t="s">
        <v>2966</v>
      </c>
      <c r="E379" s="670" t="s">
        <v>2894</v>
      </c>
      <c r="F379" s="670">
        <v>4375.0</v>
      </c>
      <c r="G379" s="670" t="s">
        <v>2442</v>
      </c>
      <c r="H379" s="670" t="s">
        <v>2261</v>
      </c>
      <c r="I379" s="670" t="s">
        <v>2262</v>
      </c>
      <c r="J379" s="671">
        <v>46234.0</v>
      </c>
    </row>
    <row r="380">
      <c r="A380" s="670">
        <v>389.0</v>
      </c>
      <c r="B380" s="670" t="s">
        <v>2559</v>
      </c>
      <c r="C380" s="673" t="s">
        <v>2258</v>
      </c>
      <c r="D380" s="670" t="s">
        <v>2967</v>
      </c>
      <c r="E380" s="670" t="s">
        <v>2892</v>
      </c>
      <c r="F380" s="670">
        <v>1.0</v>
      </c>
      <c r="G380" s="670" t="s">
        <v>2442</v>
      </c>
      <c r="H380" s="670" t="s">
        <v>2261</v>
      </c>
      <c r="I380" s="670" t="s">
        <v>2262</v>
      </c>
      <c r="J380" s="671">
        <v>46234.0</v>
      </c>
    </row>
    <row r="381">
      <c r="A381" s="670">
        <v>390.0</v>
      </c>
      <c r="B381" s="670" t="s">
        <v>2559</v>
      </c>
      <c r="C381" s="670" t="s">
        <v>2258</v>
      </c>
      <c r="D381" s="670" t="s">
        <v>2968</v>
      </c>
      <c r="E381" s="670" t="s">
        <v>2969</v>
      </c>
      <c r="F381" s="670">
        <v>1.0</v>
      </c>
      <c r="G381" s="670" t="s">
        <v>2442</v>
      </c>
      <c r="H381" s="670" t="s">
        <v>2261</v>
      </c>
      <c r="I381" s="670" t="s">
        <v>2262</v>
      </c>
      <c r="J381" s="671">
        <v>46234.0</v>
      </c>
    </row>
    <row r="382">
      <c r="A382" s="670">
        <v>391.0</v>
      </c>
      <c r="B382" s="670" t="s">
        <v>2559</v>
      </c>
      <c r="C382" s="673" t="s">
        <v>2258</v>
      </c>
      <c r="D382" s="670" t="s">
        <v>2970</v>
      </c>
      <c r="E382" s="670" t="s">
        <v>2971</v>
      </c>
      <c r="F382" s="670">
        <v>1.0</v>
      </c>
      <c r="G382" s="670" t="s">
        <v>27</v>
      </c>
      <c r="H382" s="670" t="s">
        <v>2261</v>
      </c>
      <c r="I382" s="670" t="s">
        <v>2262</v>
      </c>
      <c r="J382" s="671">
        <v>46234.0</v>
      </c>
    </row>
    <row r="383">
      <c r="A383" s="670">
        <v>392.0</v>
      </c>
      <c r="B383" s="670" t="s">
        <v>2257</v>
      </c>
      <c r="C383" s="673" t="s">
        <v>2258</v>
      </c>
      <c r="D383" s="670" t="s">
        <v>2972</v>
      </c>
      <c r="E383" s="670" t="s">
        <v>2973</v>
      </c>
      <c r="F383" s="670">
        <v>1.0</v>
      </c>
      <c r="G383" s="670" t="s">
        <v>759</v>
      </c>
      <c r="H383" s="670" t="s">
        <v>2261</v>
      </c>
      <c r="I383" s="670" t="s">
        <v>2262</v>
      </c>
      <c r="J383" s="671">
        <v>46234.0</v>
      </c>
    </row>
    <row r="384">
      <c r="A384" s="670">
        <v>393.0</v>
      </c>
      <c r="B384" s="670" t="s">
        <v>2257</v>
      </c>
      <c r="C384" s="673" t="s">
        <v>2258</v>
      </c>
      <c r="D384" s="670" t="s">
        <v>2974</v>
      </c>
      <c r="E384" s="670" t="s">
        <v>2975</v>
      </c>
      <c r="F384" s="670">
        <v>1.0</v>
      </c>
      <c r="G384" s="670" t="s">
        <v>305</v>
      </c>
      <c r="H384" s="670" t="s">
        <v>2261</v>
      </c>
      <c r="I384" s="670" t="s">
        <v>2262</v>
      </c>
      <c r="J384" s="671">
        <v>46234.0</v>
      </c>
    </row>
    <row r="385">
      <c r="A385" s="670">
        <v>394.0</v>
      </c>
      <c r="B385" s="670" t="s">
        <v>2257</v>
      </c>
      <c r="C385" s="673" t="s">
        <v>2258</v>
      </c>
      <c r="D385" s="670" t="s">
        <v>2976</v>
      </c>
      <c r="E385" s="670" t="s">
        <v>2977</v>
      </c>
      <c r="F385" s="670">
        <v>437.0</v>
      </c>
      <c r="G385" s="670" t="s">
        <v>107</v>
      </c>
      <c r="H385" s="670" t="s">
        <v>2261</v>
      </c>
      <c r="I385" s="670" t="s">
        <v>2262</v>
      </c>
      <c r="J385" s="671">
        <v>46234.0</v>
      </c>
    </row>
    <row r="386">
      <c r="A386" s="670">
        <v>395.0</v>
      </c>
      <c r="B386" s="670" t="s">
        <v>2257</v>
      </c>
      <c r="C386" s="673" t="s">
        <v>2258</v>
      </c>
      <c r="D386" s="670" t="s">
        <v>2978</v>
      </c>
      <c r="E386" s="670" t="s">
        <v>2979</v>
      </c>
      <c r="F386" s="670">
        <v>543.0</v>
      </c>
      <c r="G386" s="670" t="s">
        <v>107</v>
      </c>
      <c r="H386" s="670" t="s">
        <v>2261</v>
      </c>
      <c r="I386" s="670" t="s">
        <v>2262</v>
      </c>
      <c r="J386" s="671">
        <v>46234.0</v>
      </c>
    </row>
    <row r="387">
      <c r="A387" s="670">
        <v>396.0</v>
      </c>
      <c r="B387" s="670" t="s">
        <v>2257</v>
      </c>
      <c r="C387" s="673" t="s">
        <v>2258</v>
      </c>
      <c r="D387" s="670" t="s">
        <v>2980</v>
      </c>
      <c r="E387" s="670" t="s">
        <v>2981</v>
      </c>
      <c r="F387" s="670">
        <v>1.0</v>
      </c>
      <c r="G387" s="670" t="s">
        <v>43</v>
      </c>
      <c r="H387" s="670" t="s">
        <v>2261</v>
      </c>
      <c r="I387" s="670" t="s">
        <v>2262</v>
      </c>
      <c r="J387" s="671">
        <v>46234.0</v>
      </c>
    </row>
    <row r="388">
      <c r="A388" s="670">
        <v>397.0</v>
      </c>
      <c r="B388" s="670" t="s">
        <v>2559</v>
      </c>
      <c r="C388" s="673" t="s">
        <v>2258</v>
      </c>
      <c r="D388" s="670" t="s">
        <v>2982</v>
      </c>
      <c r="E388" s="670" t="s">
        <v>2983</v>
      </c>
      <c r="F388" s="670">
        <v>4.0</v>
      </c>
      <c r="G388" s="670" t="s">
        <v>2984</v>
      </c>
      <c r="H388" s="670" t="s">
        <v>2261</v>
      </c>
      <c r="I388" s="670" t="s">
        <v>2262</v>
      </c>
      <c r="J388" s="671">
        <v>46234.0</v>
      </c>
    </row>
    <row r="389">
      <c r="A389" s="670">
        <v>398.0</v>
      </c>
      <c r="B389" s="670" t="s">
        <v>2559</v>
      </c>
      <c r="C389" s="673" t="s">
        <v>2258</v>
      </c>
      <c r="D389" s="670" t="s">
        <v>2985</v>
      </c>
      <c r="E389" s="670" t="s">
        <v>2986</v>
      </c>
      <c r="F389" s="670">
        <v>1.0</v>
      </c>
      <c r="G389" s="670" t="s">
        <v>2655</v>
      </c>
      <c r="H389" s="670" t="s">
        <v>2261</v>
      </c>
      <c r="I389" s="670" t="s">
        <v>2262</v>
      </c>
      <c r="J389" s="671">
        <v>46234.0</v>
      </c>
    </row>
    <row r="390">
      <c r="A390" s="670">
        <v>399.0</v>
      </c>
      <c r="B390" s="670" t="s">
        <v>2559</v>
      </c>
      <c r="C390" s="673" t="s">
        <v>2258</v>
      </c>
      <c r="D390" s="670" t="s">
        <v>2987</v>
      </c>
      <c r="E390" s="670" t="s">
        <v>2951</v>
      </c>
      <c r="F390" s="670">
        <v>2413.0</v>
      </c>
      <c r="G390" s="670" t="s">
        <v>2442</v>
      </c>
      <c r="H390" s="670" t="s">
        <v>2261</v>
      </c>
      <c r="I390" s="670" t="s">
        <v>2262</v>
      </c>
      <c r="J390" s="671">
        <v>46234.0</v>
      </c>
    </row>
    <row r="391">
      <c r="A391" s="670">
        <v>400.0</v>
      </c>
      <c r="B391" s="670" t="s">
        <v>2559</v>
      </c>
      <c r="C391" s="673" t="s">
        <v>2258</v>
      </c>
      <c r="D391" s="670" t="s">
        <v>2988</v>
      </c>
      <c r="E391" s="670" t="s">
        <v>2989</v>
      </c>
      <c r="F391" s="670">
        <v>7400.0</v>
      </c>
      <c r="G391" s="670" t="s">
        <v>2442</v>
      </c>
      <c r="H391" s="670" t="s">
        <v>2261</v>
      </c>
      <c r="I391" s="670" t="s">
        <v>2262</v>
      </c>
      <c r="J391" s="671">
        <v>46234.0</v>
      </c>
    </row>
    <row r="392">
      <c r="A392" s="670">
        <v>401.0</v>
      </c>
      <c r="B392" s="670" t="s">
        <v>2559</v>
      </c>
      <c r="C392" s="673" t="s">
        <v>2258</v>
      </c>
      <c r="D392" s="670" t="s">
        <v>2990</v>
      </c>
      <c r="E392" s="670" t="s">
        <v>2991</v>
      </c>
      <c r="F392" s="670">
        <v>70.0</v>
      </c>
      <c r="G392" s="670" t="s">
        <v>2442</v>
      </c>
      <c r="H392" s="670" t="s">
        <v>2261</v>
      </c>
      <c r="I392" s="670" t="s">
        <v>2262</v>
      </c>
      <c r="J392" s="671">
        <v>46234.0</v>
      </c>
    </row>
    <row r="393">
      <c r="A393" s="670">
        <v>403.0</v>
      </c>
      <c r="B393" s="670" t="s">
        <v>2559</v>
      </c>
      <c r="C393" s="670" t="s">
        <v>2258</v>
      </c>
      <c r="D393" s="670" t="s">
        <v>2992</v>
      </c>
      <c r="E393" s="670" t="s">
        <v>2993</v>
      </c>
      <c r="F393" s="670">
        <v>7400.0</v>
      </c>
      <c r="G393" s="670" t="s">
        <v>2442</v>
      </c>
      <c r="H393" s="670" t="s">
        <v>2261</v>
      </c>
      <c r="I393" s="670" t="s">
        <v>2262</v>
      </c>
      <c r="J393" s="671">
        <v>46234.0</v>
      </c>
    </row>
    <row r="394">
      <c r="A394" s="670">
        <v>404.0</v>
      </c>
      <c r="B394" s="670" t="s">
        <v>2559</v>
      </c>
      <c r="C394" s="670" t="s">
        <v>2258</v>
      </c>
      <c r="D394" s="670" t="s">
        <v>2994</v>
      </c>
      <c r="E394" s="670" t="s">
        <v>2995</v>
      </c>
      <c r="F394" s="670">
        <v>1213.0</v>
      </c>
      <c r="G394" s="670" t="s">
        <v>2442</v>
      </c>
      <c r="H394" s="670" t="s">
        <v>2261</v>
      </c>
      <c r="I394" s="670" t="s">
        <v>2262</v>
      </c>
      <c r="J394" s="671">
        <v>46234.0</v>
      </c>
    </row>
    <row r="395">
      <c r="A395" s="670">
        <v>405.0</v>
      </c>
      <c r="B395" s="670" t="s">
        <v>2559</v>
      </c>
      <c r="C395" s="670" t="s">
        <v>2258</v>
      </c>
      <c r="D395" s="670" t="s">
        <v>2996</v>
      </c>
      <c r="E395" s="670" t="s">
        <v>2997</v>
      </c>
      <c r="F395" s="670">
        <v>2222.0</v>
      </c>
      <c r="G395" s="670" t="s">
        <v>2442</v>
      </c>
      <c r="H395" s="670" t="s">
        <v>2261</v>
      </c>
      <c r="I395" s="670" t="s">
        <v>2262</v>
      </c>
      <c r="J395" s="671">
        <v>46234.0</v>
      </c>
    </row>
    <row r="396">
      <c r="A396" s="670">
        <v>406.0</v>
      </c>
      <c r="B396" s="670" t="s">
        <v>2559</v>
      </c>
      <c r="C396" s="670" t="s">
        <v>2258</v>
      </c>
      <c r="D396" s="670" t="s">
        <v>2998</v>
      </c>
      <c r="E396" s="670" t="s">
        <v>2999</v>
      </c>
      <c r="F396" s="670">
        <v>312.0</v>
      </c>
      <c r="G396" s="670" t="s">
        <v>2442</v>
      </c>
      <c r="H396" s="670" t="s">
        <v>2261</v>
      </c>
      <c r="I396" s="670" t="s">
        <v>2262</v>
      </c>
      <c r="J396" s="671">
        <v>46234.0</v>
      </c>
    </row>
    <row r="397">
      <c r="A397" s="670">
        <v>407.0</v>
      </c>
      <c r="B397" s="670" t="s">
        <v>2559</v>
      </c>
      <c r="C397" s="670" t="s">
        <v>2258</v>
      </c>
      <c r="D397" s="670" t="s">
        <v>3000</v>
      </c>
      <c r="E397" s="670" t="s">
        <v>3001</v>
      </c>
      <c r="F397" s="670">
        <v>5.0</v>
      </c>
      <c r="G397" s="670" t="s">
        <v>2442</v>
      </c>
      <c r="H397" s="670" t="s">
        <v>2261</v>
      </c>
      <c r="I397" s="670" t="s">
        <v>2262</v>
      </c>
      <c r="J397" s="671">
        <v>46234.0</v>
      </c>
    </row>
    <row r="398">
      <c r="A398" s="670">
        <v>408.0</v>
      </c>
      <c r="B398" s="670" t="s">
        <v>2257</v>
      </c>
      <c r="C398" s="673" t="s">
        <v>2258</v>
      </c>
      <c r="D398" s="670" t="s">
        <v>3002</v>
      </c>
      <c r="E398" s="670" t="s">
        <v>3003</v>
      </c>
      <c r="F398" s="670">
        <v>919.0</v>
      </c>
      <c r="G398" s="670" t="s">
        <v>3004</v>
      </c>
      <c r="H398" s="670" t="s">
        <v>2261</v>
      </c>
      <c r="I398" s="670" t="s">
        <v>2262</v>
      </c>
      <c r="J398" s="671">
        <v>46234.0</v>
      </c>
    </row>
    <row r="399">
      <c r="A399" s="670">
        <v>409.0</v>
      </c>
      <c r="B399" s="670" t="s">
        <v>2559</v>
      </c>
      <c r="C399" s="673" t="s">
        <v>2258</v>
      </c>
      <c r="D399" s="670" t="s">
        <v>3005</v>
      </c>
      <c r="E399" s="670" t="s">
        <v>3006</v>
      </c>
      <c r="F399" s="670">
        <v>195.0</v>
      </c>
      <c r="G399" s="670" t="s">
        <v>2442</v>
      </c>
      <c r="H399" s="670" t="s">
        <v>2261</v>
      </c>
      <c r="I399" s="670" t="s">
        <v>2262</v>
      </c>
      <c r="J399" s="671">
        <v>46234.0</v>
      </c>
    </row>
    <row r="400">
      <c r="A400" s="670">
        <v>410.0</v>
      </c>
      <c r="B400" s="670" t="s">
        <v>2257</v>
      </c>
      <c r="C400" s="673" t="s">
        <v>2258</v>
      </c>
      <c r="D400" s="670" t="s">
        <v>3007</v>
      </c>
      <c r="E400" s="670" t="s">
        <v>3008</v>
      </c>
      <c r="F400" s="670">
        <v>220.0</v>
      </c>
      <c r="G400" s="670" t="s">
        <v>759</v>
      </c>
      <c r="H400" s="670" t="s">
        <v>2261</v>
      </c>
      <c r="I400" s="670" t="s">
        <v>2262</v>
      </c>
      <c r="J400" s="671">
        <v>46234.0</v>
      </c>
    </row>
    <row r="401">
      <c r="A401" s="670">
        <v>411.0</v>
      </c>
      <c r="B401" s="670" t="s">
        <v>2257</v>
      </c>
      <c r="C401" s="673" t="s">
        <v>2258</v>
      </c>
      <c r="D401" s="670" t="s">
        <v>3009</v>
      </c>
      <c r="E401" s="670" t="s">
        <v>3010</v>
      </c>
      <c r="F401" s="670">
        <v>27.0</v>
      </c>
      <c r="G401" s="670" t="s">
        <v>1117</v>
      </c>
      <c r="H401" s="670" t="s">
        <v>2261</v>
      </c>
      <c r="I401" s="670" t="s">
        <v>2262</v>
      </c>
      <c r="J401" s="671">
        <v>46234.0</v>
      </c>
    </row>
    <row r="402">
      <c r="A402" s="670">
        <v>412.0</v>
      </c>
      <c r="B402" s="670" t="s">
        <v>2257</v>
      </c>
      <c r="C402" s="673" t="s">
        <v>2258</v>
      </c>
      <c r="D402" s="670" t="s">
        <v>3011</v>
      </c>
      <c r="E402" s="670" t="s">
        <v>3012</v>
      </c>
      <c r="F402" s="670">
        <v>700.0</v>
      </c>
      <c r="G402" s="670" t="s">
        <v>824</v>
      </c>
      <c r="H402" s="670" t="s">
        <v>2261</v>
      </c>
      <c r="I402" s="670" t="s">
        <v>2262</v>
      </c>
      <c r="J402" s="671">
        <v>46234.0</v>
      </c>
    </row>
    <row r="403">
      <c r="A403" s="670">
        <v>413.0</v>
      </c>
      <c r="B403" s="670" t="s">
        <v>2257</v>
      </c>
      <c r="C403" s="670" t="s">
        <v>2258</v>
      </c>
      <c r="D403" s="670" t="s">
        <v>3013</v>
      </c>
      <c r="E403" s="670" t="s">
        <v>3014</v>
      </c>
      <c r="F403" s="670">
        <v>50.0</v>
      </c>
      <c r="G403" s="670" t="s">
        <v>305</v>
      </c>
      <c r="H403" s="670" t="s">
        <v>2261</v>
      </c>
      <c r="I403" s="670" t="s">
        <v>2262</v>
      </c>
      <c r="J403" s="671">
        <v>46234.0</v>
      </c>
    </row>
    <row r="404">
      <c r="A404" s="670">
        <v>414.0</v>
      </c>
      <c r="B404" s="670" t="s">
        <v>2257</v>
      </c>
      <c r="C404" s="673" t="s">
        <v>2258</v>
      </c>
      <c r="D404" s="670" t="s">
        <v>3015</v>
      </c>
      <c r="E404" s="670" t="s">
        <v>3016</v>
      </c>
      <c r="F404" s="670">
        <v>63.0</v>
      </c>
      <c r="G404" s="670" t="s">
        <v>1117</v>
      </c>
      <c r="H404" s="670" t="s">
        <v>2261</v>
      </c>
      <c r="I404" s="670" t="s">
        <v>2262</v>
      </c>
      <c r="J404" s="671">
        <v>46234.0</v>
      </c>
    </row>
    <row r="405">
      <c r="A405" s="670">
        <v>415.0</v>
      </c>
      <c r="B405" s="670" t="s">
        <v>2257</v>
      </c>
      <c r="C405" s="673" t="s">
        <v>2258</v>
      </c>
      <c r="D405" s="670" t="s">
        <v>3017</v>
      </c>
      <c r="E405" s="670" t="s">
        <v>2420</v>
      </c>
      <c r="F405" s="670">
        <v>280.0</v>
      </c>
      <c r="G405" s="670" t="s">
        <v>2467</v>
      </c>
      <c r="H405" s="670" t="s">
        <v>2261</v>
      </c>
      <c r="I405" s="670" t="s">
        <v>2262</v>
      </c>
      <c r="J405" s="671">
        <v>46234.0</v>
      </c>
    </row>
    <row r="406">
      <c r="A406" s="670">
        <v>419.0</v>
      </c>
      <c r="B406" s="670" t="s">
        <v>2559</v>
      </c>
      <c r="C406" s="673" t="s">
        <v>2258</v>
      </c>
      <c r="D406" s="670" t="s">
        <v>3018</v>
      </c>
      <c r="E406" s="670" t="s">
        <v>3019</v>
      </c>
      <c r="F406" s="670">
        <v>2411.0</v>
      </c>
      <c r="G406" s="670" t="s">
        <v>2442</v>
      </c>
      <c r="H406" s="670" t="s">
        <v>2572</v>
      </c>
      <c r="I406" s="670" t="s">
        <v>2573</v>
      </c>
      <c r="J406" s="671">
        <v>46234.0</v>
      </c>
    </row>
    <row r="407">
      <c r="A407" s="670">
        <v>420.0</v>
      </c>
      <c r="B407" s="670" t="s">
        <v>2257</v>
      </c>
      <c r="C407" s="673" t="s">
        <v>2258</v>
      </c>
      <c r="D407" s="670" t="s">
        <v>3020</v>
      </c>
      <c r="E407" s="670" t="s">
        <v>3021</v>
      </c>
      <c r="F407" s="670">
        <v>12000.0</v>
      </c>
      <c r="G407" s="670" t="s">
        <v>22</v>
      </c>
      <c r="H407" s="670" t="s">
        <v>2261</v>
      </c>
      <c r="I407" s="670" t="s">
        <v>2262</v>
      </c>
      <c r="J407" s="671">
        <v>46234.0</v>
      </c>
    </row>
    <row r="408">
      <c r="A408" s="670">
        <v>421.0</v>
      </c>
      <c r="B408" s="670" t="s">
        <v>2257</v>
      </c>
      <c r="C408" s="673" t="s">
        <v>2258</v>
      </c>
      <c r="D408" s="670" t="s">
        <v>3022</v>
      </c>
      <c r="E408" s="670" t="s">
        <v>3023</v>
      </c>
      <c r="F408" s="670">
        <v>80.0</v>
      </c>
      <c r="G408" s="670" t="s">
        <v>759</v>
      </c>
      <c r="H408" s="670" t="s">
        <v>2261</v>
      </c>
      <c r="I408" s="670" t="s">
        <v>2262</v>
      </c>
      <c r="J408" s="671">
        <v>46234.0</v>
      </c>
    </row>
    <row r="409">
      <c r="A409" s="670">
        <v>422.0</v>
      </c>
      <c r="B409" s="670" t="s">
        <v>2257</v>
      </c>
      <c r="C409" s="670" t="s">
        <v>2258</v>
      </c>
      <c r="D409" s="670" t="s">
        <v>3024</v>
      </c>
      <c r="E409" s="670" t="s">
        <v>3025</v>
      </c>
      <c r="F409" s="670">
        <v>4500.0</v>
      </c>
      <c r="G409" s="670" t="s">
        <v>22</v>
      </c>
      <c r="H409" s="670" t="s">
        <v>2261</v>
      </c>
      <c r="I409" s="670" t="s">
        <v>2262</v>
      </c>
      <c r="J409" s="671">
        <v>46234.0</v>
      </c>
    </row>
    <row r="410">
      <c r="A410" s="670">
        <v>423.0</v>
      </c>
      <c r="B410" s="670" t="s">
        <v>2257</v>
      </c>
      <c r="C410" s="673" t="s">
        <v>2258</v>
      </c>
      <c r="D410" s="670" t="s">
        <v>3026</v>
      </c>
      <c r="E410" s="670" t="s">
        <v>3027</v>
      </c>
      <c r="F410" s="670">
        <v>350.0</v>
      </c>
      <c r="G410" s="670" t="s">
        <v>305</v>
      </c>
      <c r="H410" s="670" t="s">
        <v>2261</v>
      </c>
      <c r="I410" s="670" t="s">
        <v>2262</v>
      </c>
      <c r="J410" s="671">
        <v>46234.0</v>
      </c>
    </row>
    <row r="411">
      <c r="A411" s="670">
        <v>425.0</v>
      </c>
      <c r="B411" s="670" t="s">
        <v>2257</v>
      </c>
      <c r="C411" s="670" t="s">
        <v>2258</v>
      </c>
      <c r="D411" s="670" t="s">
        <v>3028</v>
      </c>
      <c r="E411" s="670" t="s">
        <v>3029</v>
      </c>
      <c r="F411" s="670">
        <v>22000.0</v>
      </c>
      <c r="G411" s="670" t="s">
        <v>249</v>
      </c>
      <c r="H411" s="670" t="s">
        <v>2261</v>
      </c>
      <c r="I411" s="670" t="s">
        <v>2262</v>
      </c>
      <c r="J411" s="671">
        <v>46234.0</v>
      </c>
    </row>
    <row r="412">
      <c r="A412" s="670">
        <v>428.0</v>
      </c>
      <c r="B412" s="670" t="s">
        <v>2257</v>
      </c>
      <c r="C412" s="670" t="s">
        <v>2258</v>
      </c>
      <c r="D412" s="670" t="s">
        <v>3030</v>
      </c>
      <c r="E412" s="670" t="s">
        <v>3031</v>
      </c>
      <c r="F412" s="670">
        <v>2060.0</v>
      </c>
      <c r="G412" s="670" t="s">
        <v>824</v>
      </c>
      <c r="H412" s="670" t="s">
        <v>2261</v>
      </c>
      <c r="I412" s="670" t="s">
        <v>2262</v>
      </c>
      <c r="J412" s="671">
        <v>46234.0</v>
      </c>
    </row>
    <row r="413">
      <c r="A413" s="670">
        <v>429.0</v>
      </c>
      <c r="B413" s="670" t="s">
        <v>2257</v>
      </c>
      <c r="C413" s="670" t="s">
        <v>2258</v>
      </c>
      <c r="D413" s="670" t="s">
        <v>3033</v>
      </c>
      <c r="E413" s="670" t="s">
        <v>3034</v>
      </c>
      <c r="F413" s="670">
        <v>2364.0</v>
      </c>
      <c r="G413" s="670" t="s">
        <v>824</v>
      </c>
      <c r="H413" s="670" t="s">
        <v>2261</v>
      </c>
      <c r="I413" s="670" t="s">
        <v>2262</v>
      </c>
      <c r="J413" s="671">
        <v>46234.0</v>
      </c>
    </row>
    <row r="414">
      <c r="A414" s="670">
        <v>430.0</v>
      </c>
      <c r="B414" s="670" t="s">
        <v>2257</v>
      </c>
      <c r="C414" s="670" t="s">
        <v>2258</v>
      </c>
      <c r="D414" s="670" t="s">
        <v>3035</v>
      </c>
      <c r="E414" s="670" t="s">
        <v>3036</v>
      </c>
      <c r="F414" s="670">
        <v>2581.0</v>
      </c>
      <c r="G414" s="670" t="s">
        <v>824</v>
      </c>
      <c r="H414" s="670" t="s">
        <v>2261</v>
      </c>
      <c r="I414" s="670" t="s">
        <v>2262</v>
      </c>
      <c r="J414" s="671">
        <v>46234.0</v>
      </c>
    </row>
    <row r="415">
      <c r="A415" s="670">
        <v>431.0</v>
      </c>
      <c r="B415" s="670" t="s">
        <v>2257</v>
      </c>
      <c r="C415" s="670" t="s">
        <v>2258</v>
      </c>
      <c r="D415" s="670" t="s">
        <v>3038</v>
      </c>
      <c r="E415" s="670" t="s">
        <v>3039</v>
      </c>
      <c r="F415" s="670">
        <v>2376.0</v>
      </c>
      <c r="G415" s="670" t="s">
        <v>824</v>
      </c>
      <c r="H415" s="670" t="s">
        <v>2261</v>
      </c>
      <c r="I415" s="670" t="s">
        <v>2262</v>
      </c>
      <c r="J415" s="671">
        <v>46234.0</v>
      </c>
    </row>
    <row r="416">
      <c r="A416" s="670">
        <v>432.0</v>
      </c>
      <c r="B416" s="670" t="s">
        <v>2257</v>
      </c>
      <c r="C416" s="670" t="s">
        <v>2258</v>
      </c>
      <c r="D416" s="670" t="s">
        <v>3040</v>
      </c>
      <c r="E416" s="670" t="s">
        <v>3041</v>
      </c>
      <c r="F416" s="670">
        <v>2482.0</v>
      </c>
      <c r="G416" s="670" t="s">
        <v>824</v>
      </c>
      <c r="H416" s="670" t="s">
        <v>2261</v>
      </c>
      <c r="I416" s="670" t="s">
        <v>2262</v>
      </c>
      <c r="J416" s="671">
        <v>46234.0</v>
      </c>
    </row>
    <row r="417">
      <c r="A417" s="670">
        <v>433.0</v>
      </c>
      <c r="B417" s="670" t="s">
        <v>2257</v>
      </c>
      <c r="C417" s="670" t="s">
        <v>2258</v>
      </c>
      <c r="D417" s="670" t="s">
        <v>3042</v>
      </c>
      <c r="E417" s="670" t="s">
        <v>3043</v>
      </c>
      <c r="F417" s="670">
        <v>2215.0</v>
      </c>
      <c r="G417" s="670" t="s">
        <v>824</v>
      </c>
      <c r="H417" s="670" t="s">
        <v>2261</v>
      </c>
      <c r="I417" s="670" t="s">
        <v>2262</v>
      </c>
      <c r="J417" s="671">
        <v>46234.0</v>
      </c>
    </row>
    <row r="418">
      <c r="A418" s="670">
        <v>434.0</v>
      </c>
      <c r="B418" s="670" t="s">
        <v>2257</v>
      </c>
      <c r="C418" s="670" t="s">
        <v>2258</v>
      </c>
      <c r="D418" s="670" t="s">
        <v>3044</v>
      </c>
      <c r="E418" s="670" t="s">
        <v>3045</v>
      </c>
      <c r="F418" s="670">
        <v>2462.0</v>
      </c>
      <c r="G418" s="670" t="s">
        <v>824</v>
      </c>
      <c r="H418" s="670" t="s">
        <v>2261</v>
      </c>
      <c r="I418" s="670" t="s">
        <v>2262</v>
      </c>
      <c r="J418" s="671">
        <v>46234.0</v>
      </c>
    </row>
    <row r="419">
      <c r="A419" s="670">
        <v>435.0</v>
      </c>
      <c r="B419" s="670" t="s">
        <v>2257</v>
      </c>
      <c r="C419" s="670" t="s">
        <v>2258</v>
      </c>
      <c r="D419" s="670" t="s">
        <v>3046</v>
      </c>
      <c r="E419" s="670" t="s">
        <v>3047</v>
      </c>
      <c r="F419" s="670">
        <v>2226.0</v>
      </c>
      <c r="G419" s="670" t="s">
        <v>824</v>
      </c>
      <c r="H419" s="670" t="s">
        <v>2261</v>
      </c>
      <c r="I419" s="670" t="s">
        <v>2262</v>
      </c>
      <c r="J419" s="671">
        <v>46234.0</v>
      </c>
    </row>
    <row r="420">
      <c r="A420" s="670">
        <v>436.0</v>
      </c>
      <c r="B420" s="670" t="s">
        <v>2257</v>
      </c>
      <c r="C420" s="673" t="s">
        <v>2258</v>
      </c>
      <c r="D420" s="670" t="s">
        <v>3048</v>
      </c>
      <c r="E420" s="670" t="s">
        <v>3049</v>
      </c>
      <c r="F420" s="670">
        <v>2107.0</v>
      </c>
      <c r="G420" s="670" t="s">
        <v>824</v>
      </c>
      <c r="H420" s="670" t="s">
        <v>2261</v>
      </c>
      <c r="I420" s="670" t="s">
        <v>2262</v>
      </c>
      <c r="J420" s="671">
        <v>46234.0</v>
      </c>
    </row>
    <row r="421">
      <c r="A421" s="670">
        <v>437.0</v>
      </c>
      <c r="B421" s="670" t="s">
        <v>2257</v>
      </c>
      <c r="C421" s="670" t="s">
        <v>2258</v>
      </c>
      <c r="D421" s="670" t="s">
        <v>3050</v>
      </c>
      <c r="E421" s="670" t="s">
        <v>3051</v>
      </c>
      <c r="F421" s="670">
        <v>92.0</v>
      </c>
      <c r="G421" s="670" t="s">
        <v>759</v>
      </c>
      <c r="H421" s="670" t="s">
        <v>2261</v>
      </c>
      <c r="I421" s="670" t="s">
        <v>2262</v>
      </c>
      <c r="J421" s="671">
        <v>46234.0</v>
      </c>
    </row>
    <row r="422">
      <c r="A422" s="670">
        <v>438.0</v>
      </c>
      <c r="B422" s="670" t="s">
        <v>2257</v>
      </c>
      <c r="C422" s="670" t="s">
        <v>2258</v>
      </c>
      <c r="D422" s="670" t="s">
        <v>3052</v>
      </c>
      <c r="E422" s="670" t="s">
        <v>3053</v>
      </c>
      <c r="F422" s="670">
        <v>2156.0</v>
      </c>
      <c r="G422" s="670" t="s">
        <v>824</v>
      </c>
      <c r="H422" s="670" t="s">
        <v>2261</v>
      </c>
      <c r="I422" s="670" t="s">
        <v>2262</v>
      </c>
      <c r="J422" s="671">
        <v>46234.0</v>
      </c>
    </row>
    <row r="423">
      <c r="A423" s="670">
        <v>439.0</v>
      </c>
      <c r="B423" s="670" t="s">
        <v>2257</v>
      </c>
      <c r="C423" s="670" t="s">
        <v>2258</v>
      </c>
      <c r="D423" s="670" t="s">
        <v>3054</v>
      </c>
      <c r="E423" s="670" t="s">
        <v>3055</v>
      </c>
      <c r="F423" s="670">
        <v>2417.0</v>
      </c>
      <c r="G423" s="670" t="s">
        <v>824</v>
      </c>
      <c r="H423" s="670" t="s">
        <v>2261</v>
      </c>
      <c r="I423" s="670" t="s">
        <v>2262</v>
      </c>
      <c r="J423" s="671">
        <v>46234.0</v>
      </c>
    </row>
    <row r="424">
      <c r="A424" s="670">
        <v>440.0</v>
      </c>
      <c r="B424" s="670" t="s">
        <v>2257</v>
      </c>
      <c r="C424" s="670" t="s">
        <v>2258</v>
      </c>
      <c r="D424" s="670" t="s">
        <v>3056</v>
      </c>
      <c r="E424" s="670" t="s">
        <v>3057</v>
      </c>
      <c r="F424" s="670">
        <v>2651.0</v>
      </c>
      <c r="G424" s="670" t="s">
        <v>824</v>
      </c>
      <c r="H424" s="670" t="s">
        <v>2261</v>
      </c>
      <c r="I424" s="670" t="s">
        <v>2262</v>
      </c>
      <c r="J424" s="671">
        <v>46234.0</v>
      </c>
    </row>
    <row r="425">
      <c r="A425" s="670">
        <v>441.0</v>
      </c>
      <c r="B425" s="670" t="s">
        <v>2257</v>
      </c>
      <c r="C425" s="670" t="s">
        <v>2258</v>
      </c>
      <c r="D425" s="670" t="s">
        <v>3058</v>
      </c>
      <c r="E425" s="670" t="s">
        <v>3059</v>
      </c>
      <c r="F425" s="670">
        <v>2429.0</v>
      </c>
      <c r="G425" s="670" t="s">
        <v>824</v>
      </c>
      <c r="H425" s="670" t="s">
        <v>2261</v>
      </c>
      <c r="I425" s="670" t="s">
        <v>2262</v>
      </c>
      <c r="J425" s="671">
        <v>46234.0</v>
      </c>
    </row>
    <row r="426">
      <c r="A426" s="670">
        <v>442.0</v>
      </c>
      <c r="B426" s="670" t="s">
        <v>2257</v>
      </c>
      <c r="C426" s="670" t="s">
        <v>2258</v>
      </c>
      <c r="D426" s="670" t="s">
        <v>3060</v>
      </c>
      <c r="E426" s="670" t="s">
        <v>3061</v>
      </c>
      <c r="F426" s="670">
        <v>2544.0</v>
      </c>
      <c r="G426" s="670" t="s">
        <v>824</v>
      </c>
      <c r="H426" s="670" t="s">
        <v>2261</v>
      </c>
      <c r="I426" s="670" t="s">
        <v>2262</v>
      </c>
      <c r="J426" s="671">
        <v>46234.0</v>
      </c>
    </row>
    <row r="427">
      <c r="A427" s="670">
        <v>443.0</v>
      </c>
      <c r="B427" s="670" t="s">
        <v>2257</v>
      </c>
      <c r="C427" s="670" t="s">
        <v>2258</v>
      </c>
      <c r="D427" s="670" t="s">
        <v>3062</v>
      </c>
      <c r="E427" s="670" t="s">
        <v>3063</v>
      </c>
      <c r="F427" s="670">
        <v>2255.0</v>
      </c>
      <c r="G427" s="670" t="s">
        <v>824</v>
      </c>
      <c r="H427" s="670" t="s">
        <v>2261</v>
      </c>
      <c r="I427" s="670" t="s">
        <v>2262</v>
      </c>
      <c r="J427" s="671">
        <v>46234.0</v>
      </c>
    </row>
    <row r="428">
      <c r="A428" s="670">
        <v>444.0</v>
      </c>
      <c r="B428" s="670" t="s">
        <v>2257</v>
      </c>
      <c r="C428" s="670" t="s">
        <v>2258</v>
      </c>
      <c r="D428" s="670" t="s">
        <v>3064</v>
      </c>
      <c r="E428" s="670" t="s">
        <v>3065</v>
      </c>
      <c r="F428" s="670">
        <v>2523.0</v>
      </c>
      <c r="G428" s="670" t="s">
        <v>824</v>
      </c>
      <c r="H428" s="670" t="s">
        <v>2261</v>
      </c>
      <c r="I428" s="670" t="s">
        <v>2262</v>
      </c>
      <c r="J428" s="671">
        <v>46234.0</v>
      </c>
    </row>
    <row r="429">
      <c r="A429" s="670">
        <v>445.0</v>
      </c>
      <c r="B429" s="670" t="s">
        <v>2257</v>
      </c>
      <c r="C429" s="670" t="s">
        <v>2258</v>
      </c>
      <c r="D429" s="670" t="s">
        <v>3066</v>
      </c>
      <c r="E429" s="670" t="s">
        <v>3067</v>
      </c>
      <c r="F429" s="670">
        <v>2267.0</v>
      </c>
      <c r="G429" s="670" t="s">
        <v>824</v>
      </c>
      <c r="H429" s="670" t="s">
        <v>2261</v>
      </c>
      <c r="I429" s="670" t="s">
        <v>2262</v>
      </c>
      <c r="J429" s="671">
        <v>46234.0</v>
      </c>
    </row>
    <row r="430">
      <c r="A430" s="670">
        <v>446.0</v>
      </c>
      <c r="B430" s="670" t="s">
        <v>2257</v>
      </c>
      <c r="C430" s="670" t="s">
        <v>2258</v>
      </c>
      <c r="D430" s="670" t="s">
        <v>3068</v>
      </c>
      <c r="E430" s="670" t="s">
        <v>3069</v>
      </c>
      <c r="F430" s="670">
        <v>2139.0</v>
      </c>
      <c r="G430" s="670" t="s">
        <v>824</v>
      </c>
      <c r="H430" s="670" t="s">
        <v>2261</v>
      </c>
      <c r="I430" s="670" t="s">
        <v>2262</v>
      </c>
      <c r="J430" s="671">
        <v>46234.0</v>
      </c>
    </row>
    <row r="431">
      <c r="A431" s="670">
        <v>447.0</v>
      </c>
      <c r="B431" s="670" t="s">
        <v>2559</v>
      </c>
      <c r="C431" s="670" t="s">
        <v>2258</v>
      </c>
      <c r="D431" s="670" t="s">
        <v>3070</v>
      </c>
      <c r="E431" s="670" t="s">
        <v>3071</v>
      </c>
      <c r="F431" s="670">
        <v>85.0</v>
      </c>
      <c r="G431" s="670" t="s">
        <v>27</v>
      </c>
      <c r="H431" s="670" t="s">
        <v>2261</v>
      </c>
      <c r="I431" s="670" t="s">
        <v>2262</v>
      </c>
      <c r="J431" s="671">
        <v>46234.0</v>
      </c>
    </row>
    <row r="432">
      <c r="A432" s="670">
        <v>448.0</v>
      </c>
      <c r="B432" s="670" t="s">
        <v>2257</v>
      </c>
      <c r="C432" s="670" t="s">
        <v>2258</v>
      </c>
      <c r="D432" s="670" t="s">
        <v>3072</v>
      </c>
      <c r="E432" s="670" t="s">
        <v>3073</v>
      </c>
      <c r="F432" s="670">
        <v>2228.0</v>
      </c>
      <c r="G432" s="670" t="s">
        <v>824</v>
      </c>
      <c r="H432" s="670" t="s">
        <v>2261</v>
      </c>
      <c r="I432" s="670" t="s">
        <v>2262</v>
      </c>
      <c r="J432" s="671">
        <v>46234.0</v>
      </c>
    </row>
    <row r="433">
      <c r="A433" s="670">
        <v>449.0</v>
      </c>
      <c r="B433" s="670" t="s">
        <v>2257</v>
      </c>
      <c r="C433" s="670" t="s">
        <v>2258</v>
      </c>
      <c r="D433" s="670" t="s">
        <v>3074</v>
      </c>
      <c r="E433" s="670" t="s">
        <v>3075</v>
      </c>
      <c r="F433" s="670">
        <v>2463.0</v>
      </c>
      <c r="G433" s="670" t="s">
        <v>824</v>
      </c>
      <c r="H433" s="670" t="s">
        <v>2261</v>
      </c>
      <c r="I433" s="670" t="s">
        <v>2262</v>
      </c>
      <c r="J433" s="671">
        <v>46234.0</v>
      </c>
    </row>
    <row r="434">
      <c r="A434" s="670">
        <v>450.0</v>
      </c>
      <c r="B434" s="670" t="s">
        <v>2257</v>
      </c>
      <c r="C434" s="670" t="s">
        <v>2258</v>
      </c>
      <c r="D434" s="670" t="s">
        <v>3076</v>
      </c>
      <c r="E434" s="670" t="s">
        <v>3077</v>
      </c>
      <c r="F434" s="670">
        <v>2749.0</v>
      </c>
      <c r="G434" s="670" t="s">
        <v>824</v>
      </c>
      <c r="H434" s="670" t="s">
        <v>2261</v>
      </c>
      <c r="I434" s="670" t="s">
        <v>2262</v>
      </c>
      <c r="J434" s="671">
        <v>46234.0</v>
      </c>
    </row>
    <row r="435">
      <c r="A435" s="670">
        <v>451.0</v>
      </c>
      <c r="B435" s="670" t="s">
        <v>2257</v>
      </c>
      <c r="C435" s="670" t="s">
        <v>2258</v>
      </c>
      <c r="D435" s="670" t="s">
        <v>3078</v>
      </c>
      <c r="E435" s="670" t="s">
        <v>3079</v>
      </c>
      <c r="F435" s="670">
        <v>2478.0</v>
      </c>
      <c r="G435" s="670" t="s">
        <v>824</v>
      </c>
      <c r="H435" s="670" t="s">
        <v>2261</v>
      </c>
      <c r="I435" s="670" t="s">
        <v>2262</v>
      </c>
      <c r="J435" s="671">
        <v>46234.0</v>
      </c>
    </row>
    <row r="436">
      <c r="A436" s="670">
        <v>452.0</v>
      </c>
      <c r="B436" s="670" t="s">
        <v>2257</v>
      </c>
      <c r="C436" s="670" t="s">
        <v>2258</v>
      </c>
      <c r="D436" s="670" t="s">
        <v>3080</v>
      </c>
      <c r="E436" s="670" t="s">
        <v>3081</v>
      </c>
      <c r="F436" s="670">
        <v>2619.0</v>
      </c>
      <c r="G436" s="670" t="s">
        <v>824</v>
      </c>
      <c r="H436" s="670" t="s">
        <v>2261</v>
      </c>
      <c r="I436" s="670" t="s">
        <v>2262</v>
      </c>
      <c r="J436" s="671">
        <v>46234.0</v>
      </c>
    </row>
    <row r="437">
      <c r="A437" s="670">
        <v>453.0</v>
      </c>
      <c r="B437" s="670" t="s">
        <v>2257</v>
      </c>
      <c r="C437" s="670" t="s">
        <v>2258</v>
      </c>
      <c r="D437" s="670" t="s">
        <v>3082</v>
      </c>
      <c r="E437" s="670" t="s">
        <v>3083</v>
      </c>
      <c r="F437" s="670">
        <v>2266.0</v>
      </c>
      <c r="G437" s="670" t="s">
        <v>824</v>
      </c>
      <c r="H437" s="670" t="s">
        <v>2261</v>
      </c>
      <c r="I437" s="670" t="s">
        <v>2262</v>
      </c>
      <c r="J437" s="671">
        <v>46234.0</v>
      </c>
    </row>
    <row r="438">
      <c r="A438" s="670">
        <v>454.0</v>
      </c>
      <c r="B438" s="670" t="s">
        <v>2257</v>
      </c>
      <c r="C438" s="670" t="s">
        <v>2258</v>
      </c>
      <c r="D438" s="670" t="s">
        <v>3084</v>
      </c>
      <c r="E438" s="670" t="s">
        <v>3085</v>
      </c>
      <c r="F438" s="670">
        <v>2593.0</v>
      </c>
      <c r="G438" s="670" t="s">
        <v>824</v>
      </c>
      <c r="H438" s="670" t="s">
        <v>2261</v>
      </c>
      <c r="I438" s="670" t="s">
        <v>2262</v>
      </c>
      <c r="J438" s="671">
        <v>46234.0</v>
      </c>
    </row>
    <row r="439">
      <c r="A439" s="670">
        <v>455.0</v>
      </c>
      <c r="B439" s="670" t="s">
        <v>2257</v>
      </c>
      <c r="C439" s="670" t="s">
        <v>2258</v>
      </c>
      <c r="D439" s="670" t="s">
        <v>3086</v>
      </c>
      <c r="E439" s="670" t="s">
        <v>3087</v>
      </c>
      <c r="F439" s="670">
        <v>2280.0</v>
      </c>
      <c r="G439" s="670" t="s">
        <v>824</v>
      </c>
      <c r="H439" s="670" t="s">
        <v>2261</v>
      </c>
      <c r="I439" s="670" t="s">
        <v>2262</v>
      </c>
      <c r="J439" s="671">
        <v>46234.0</v>
      </c>
    </row>
    <row r="440">
      <c r="A440" s="670">
        <v>456.0</v>
      </c>
      <c r="B440" s="670" t="s">
        <v>2257</v>
      </c>
      <c r="C440" s="670" t="s">
        <v>2258</v>
      </c>
      <c r="D440" s="670" t="s">
        <v>3088</v>
      </c>
      <c r="E440" s="670" t="s">
        <v>3089</v>
      </c>
      <c r="F440" s="670">
        <v>2123.0</v>
      </c>
      <c r="G440" s="670" t="s">
        <v>824</v>
      </c>
      <c r="H440" s="670" t="s">
        <v>2261</v>
      </c>
      <c r="I440" s="670" t="s">
        <v>2262</v>
      </c>
      <c r="J440" s="671">
        <v>46234.0</v>
      </c>
    </row>
    <row r="441">
      <c r="A441" s="670">
        <v>457.0</v>
      </c>
      <c r="B441" s="670" t="s">
        <v>2257</v>
      </c>
      <c r="C441" s="670" t="s">
        <v>2258</v>
      </c>
      <c r="D441" s="670" t="s">
        <v>3090</v>
      </c>
      <c r="E441" s="670" t="s">
        <v>3091</v>
      </c>
      <c r="F441" s="670">
        <v>825.0</v>
      </c>
      <c r="G441" s="670" t="s">
        <v>43</v>
      </c>
      <c r="H441" s="670" t="s">
        <v>2261</v>
      </c>
      <c r="I441" s="670" t="s">
        <v>2262</v>
      </c>
      <c r="J441" s="671">
        <v>46234.0</v>
      </c>
    </row>
    <row r="442">
      <c r="A442" s="670">
        <v>458.0</v>
      </c>
      <c r="B442" s="670" t="s">
        <v>2257</v>
      </c>
      <c r="C442" s="670" t="s">
        <v>2258</v>
      </c>
      <c r="D442" s="670" t="s">
        <v>3092</v>
      </c>
      <c r="E442" s="670" t="s">
        <v>3093</v>
      </c>
      <c r="F442" s="670">
        <v>7500.0</v>
      </c>
      <c r="G442" s="670" t="s">
        <v>22</v>
      </c>
      <c r="H442" s="670" t="s">
        <v>2261</v>
      </c>
      <c r="I442" s="670" t="s">
        <v>2262</v>
      </c>
      <c r="J442" s="671">
        <v>46234.0</v>
      </c>
    </row>
    <row r="443">
      <c r="A443" s="670">
        <v>459.0</v>
      </c>
      <c r="B443" s="670" t="s">
        <v>2257</v>
      </c>
      <c r="C443" s="670" t="s">
        <v>2258</v>
      </c>
      <c r="D443" s="670" t="s">
        <v>3094</v>
      </c>
      <c r="E443" s="670" t="s">
        <v>3095</v>
      </c>
      <c r="F443" s="670">
        <v>35000.0</v>
      </c>
      <c r="G443" s="670" t="s">
        <v>27</v>
      </c>
      <c r="H443" s="670" t="s">
        <v>2261</v>
      </c>
      <c r="I443" s="670" t="s">
        <v>2262</v>
      </c>
      <c r="J443" s="671">
        <v>46234.0</v>
      </c>
    </row>
    <row r="444">
      <c r="A444" s="670">
        <v>460.0</v>
      </c>
      <c r="B444" s="670" t="s">
        <v>2257</v>
      </c>
      <c r="C444" s="670" t="s">
        <v>2258</v>
      </c>
      <c r="D444" s="670" t="s">
        <v>3096</v>
      </c>
      <c r="E444" s="670" t="s">
        <v>3097</v>
      </c>
      <c r="F444" s="670">
        <v>65000.0</v>
      </c>
      <c r="G444" s="670" t="s">
        <v>27</v>
      </c>
      <c r="H444" s="670" t="s">
        <v>2261</v>
      </c>
      <c r="I444" s="670" t="s">
        <v>2262</v>
      </c>
      <c r="J444" s="671">
        <v>46234.0</v>
      </c>
    </row>
    <row r="445">
      <c r="A445" s="670">
        <v>461.0</v>
      </c>
      <c r="B445" s="670" t="s">
        <v>2559</v>
      </c>
      <c r="C445" s="670" t="s">
        <v>2258</v>
      </c>
      <c r="D445" s="670" t="s">
        <v>3098</v>
      </c>
      <c r="E445" s="670" t="s">
        <v>3099</v>
      </c>
      <c r="F445" s="670">
        <v>151.0</v>
      </c>
      <c r="G445" s="670" t="s">
        <v>27</v>
      </c>
      <c r="H445" s="670" t="s">
        <v>2261</v>
      </c>
      <c r="I445" s="670" t="s">
        <v>2262</v>
      </c>
      <c r="J445" s="671">
        <v>46234.0</v>
      </c>
    </row>
    <row r="446">
      <c r="A446" s="670">
        <v>462.0</v>
      </c>
      <c r="B446" s="670" t="s">
        <v>2559</v>
      </c>
      <c r="C446" s="670" t="s">
        <v>2258</v>
      </c>
      <c r="D446" s="670" t="s">
        <v>3100</v>
      </c>
      <c r="E446" s="670" t="s">
        <v>3101</v>
      </c>
      <c r="F446" s="670">
        <v>163.0</v>
      </c>
      <c r="G446" s="670" t="s">
        <v>27</v>
      </c>
      <c r="H446" s="670" t="s">
        <v>2261</v>
      </c>
      <c r="I446" s="670" t="s">
        <v>2262</v>
      </c>
      <c r="J446" s="671">
        <v>46234.0</v>
      </c>
    </row>
    <row r="447">
      <c r="A447" s="670">
        <v>463.0</v>
      </c>
      <c r="B447" s="670" t="s">
        <v>2559</v>
      </c>
      <c r="C447" s="670" t="s">
        <v>2258</v>
      </c>
      <c r="D447" s="670" t="s">
        <v>3102</v>
      </c>
      <c r="E447" s="670" t="s">
        <v>3103</v>
      </c>
      <c r="F447" s="670">
        <v>229.0</v>
      </c>
      <c r="G447" s="670" t="s">
        <v>27</v>
      </c>
      <c r="H447" s="670" t="s">
        <v>2261</v>
      </c>
      <c r="I447" s="670" t="s">
        <v>2262</v>
      </c>
      <c r="J447" s="671">
        <v>46234.0</v>
      </c>
    </row>
    <row r="448">
      <c r="A448" s="670">
        <v>464.0</v>
      </c>
      <c r="B448" s="670" t="s">
        <v>2257</v>
      </c>
      <c r="C448" s="673" t="s">
        <v>2258</v>
      </c>
      <c r="D448" s="670" t="s">
        <v>3104</v>
      </c>
      <c r="E448" s="670" t="s">
        <v>3105</v>
      </c>
      <c r="F448" s="670">
        <v>2032.0</v>
      </c>
      <c r="G448" s="670" t="s">
        <v>824</v>
      </c>
      <c r="H448" s="670" t="s">
        <v>2261</v>
      </c>
      <c r="I448" s="670" t="s">
        <v>2262</v>
      </c>
      <c r="J448" s="671">
        <v>46234.0</v>
      </c>
    </row>
    <row r="449">
      <c r="A449" s="670">
        <v>465.0</v>
      </c>
      <c r="B449" s="670" t="s">
        <v>2257</v>
      </c>
      <c r="C449" s="670" t="s">
        <v>2258</v>
      </c>
      <c r="D449" s="670" t="s">
        <v>3106</v>
      </c>
      <c r="E449" s="670" t="s">
        <v>3107</v>
      </c>
      <c r="F449" s="670">
        <v>2331.0</v>
      </c>
      <c r="G449" s="670" t="s">
        <v>824</v>
      </c>
      <c r="H449" s="670" t="s">
        <v>2261</v>
      </c>
      <c r="I449" s="670" t="s">
        <v>2262</v>
      </c>
      <c r="J449" s="671">
        <v>46234.0</v>
      </c>
    </row>
    <row r="450">
      <c r="A450" s="670">
        <v>466.0</v>
      </c>
      <c r="B450" s="670" t="s">
        <v>2257</v>
      </c>
      <c r="C450" s="670" t="s">
        <v>2258</v>
      </c>
      <c r="D450" s="670" t="s">
        <v>3108</v>
      </c>
      <c r="E450" s="670" t="s">
        <v>3109</v>
      </c>
      <c r="F450" s="670">
        <v>2543.0</v>
      </c>
      <c r="G450" s="670" t="s">
        <v>824</v>
      </c>
      <c r="H450" s="670" t="s">
        <v>2261</v>
      </c>
      <c r="I450" s="670" t="s">
        <v>2262</v>
      </c>
      <c r="J450" s="671">
        <v>46234.0</v>
      </c>
    </row>
    <row r="451">
      <c r="A451" s="670">
        <v>467.0</v>
      </c>
      <c r="B451" s="670" t="s">
        <v>2257</v>
      </c>
      <c r="C451" s="670" t="s">
        <v>2258</v>
      </c>
      <c r="D451" s="670" t="s">
        <v>3110</v>
      </c>
      <c r="E451" s="670" t="s">
        <v>3111</v>
      </c>
      <c r="F451" s="670">
        <v>2342.0</v>
      </c>
      <c r="G451" s="670" t="s">
        <v>824</v>
      </c>
      <c r="H451" s="670" t="s">
        <v>2261</v>
      </c>
      <c r="I451" s="670" t="s">
        <v>2262</v>
      </c>
      <c r="J451" s="671">
        <v>46234.0</v>
      </c>
    </row>
    <row r="452">
      <c r="A452" s="670">
        <v>468.0</v>
      </c>
      <c r="B452" s="670" t="s">
        <v>2257</v>
      </c>
      <c r="C452" s="670" t="s">
        <v>2258</v>
      </c>
      <c r="D452" s="670" t="s">
        <v>3112</v>
      </c>
      <c r="E452" s="670" t="s">
        <v>3113</v>
      </c>
      <c r="F452" s="670">
        <v>2446.0</v>
      </c>
      <c r="G452" s="670" t="s">
        <v>824</v>
      </c>
      <c r="H452" s="670" t="s">
        <v>2261</v>
      </c>
      <c r="I452" s="670" t="s">
        <v>2262</v>
      </c>
      <c r="J452" s="671">
        <v>46234.0</v>
      </c>
    </row>
    <row r="453">
      <c r="A453" s="670">
        <v>469.0</v>
      </c>
      <c r="B453" s="670" t="s">
        <v>2257</v>
      </c>
      <c r="C453" s="670" t="s">
        <v>2258</v>
      </c>
      <c r="D453" s="670" t="s">
        <v>3114</v>
      </c>
      <c r="E453" s="670" t="s">
        <v>3115</v>
      </c>
      <c r="F453" s="670">
        <v>2184.0</v>
      </c>
      <c r="G453" s="670" t="s">
        <v>824</v>
      </c>
      <c r="H453" s="670" t="s">
        <v>2261</v>
      </c>
      <c r="I453" s="670" t="s">
        <v>2262</v>
      </c>
      <c r="J453" s="671">
        <v>46234.0</v>
      </c>
    </row>
    <row r="454">
      <c r="A454" s="670">
        <v>470.0</v>
      </c>
      <c r="B454" s="670" t="s">
        <v>2257</v>
      </c>
      <c r="C454" s="670" t="s">
        <v>2258</v>
      </c>
      <c r="D454" s="670" t="s">
        <v>3116</v>
      </c>
      <c r="E454" s="670" t="s">
        <v>3117</v>
      </c>
      <c r="F454" s="670">
        <v>2427.0</v>
      </c>
      <c r="G454" s="670" t="s">
        <v>824</v>
      </c>
      <c r="H454" s="670" t="s">
        <v>2261</v>
      </c>
      <c r="I454" s="670" t="s">
        <v>2262</v>
      </c>
      <c r="J454" s="671">
        <v>46234.0</v>
      </c>
    </row>
    <row r="455">
      <c r="A455" s="670">
        <v>471.0</v>
      </c>
      <c r="B455" s="670" t="s">
        <v>2257</v>
      </c>
      <c r="C455" s="670" t="s">
        <v>2258</v>
      </c>
      <c r="D455" s="670" t="s">
        <v>3118</v>
      </c>
      <c r="E455" s="670" t="s">
        <v>3119</v>
      </c>
      <c r="F455" s="670">
        <v>2195.0</v>
      </c>
      <c r="G455" s="670" t="s">
        <v>824</v>
      </c>
      <c r="H455" s="670" t="s">
        <v>2261</v>
      </c>
      <c r="I455" s="670" t="s">
        <v>2262</v>
      </c>
      <c r="J455" s="671">
        <v>46234.0</v>
      </c>
    </row>
    <row r="456">
      <c r="A456" s="670">
        <v>472.0</v>
      </c>
      <c r="B456" s="670" t="s">
        <v>2257</v>
      </c>
      <c r="C456" s="670" t="s">
        <v>2258</v>
      </c>
      <c r="D456" s="670" t="s">
        <v>3120</v>
      </c>
      <c r="E456" s="670" t="s">
        <v>3121</v>
      </c>
      <c r="F456" s="670">
        <v>2079.0</v>
      </c>
      <c r="G456" s="670" t="s">
        <v>824</v>
      </c>
      <c r="H456" s="670" t="s">
        <v>2261</v>
      </c>
      <c r="I456" s="670" t="s">
        <v>2262</v>
      </c>
      <c r="J456" s="671">
        <v>46234.0</v>
      </c>
    </row>
    <row r="457">
      <c r="A457" s="670">
        <v>473.0</v>
      </c>
      <c r="B457" s="670" t="s">
        <v>2257</v>
      </c>
      <c r="C457" s="670" t="s">
        <v>2258</v>
      </c>
      <c r="D457" s="670" t="s">
        <v>3122</v>
      </c>
      <c r="E457" s="670" t="s">
        <v>3123</v>
      </c>
      <c r="F457" s="670">
        <v>631.0</v>
      </c>
      <c r="G457" s="670" t="s">
        <v>1117</v>
      </c>
      <c r="H457" s="670" t="s">
        <v>2261</v>
      </c>
      <c r="I457" s="670" t="s">
        <v>2262</v>
      </c>
      <c r="J457" s="671">
        <v>46234.0</v>
      </c>
    </row>
    <row r="458">
      <c r="A458" s="670">
        <v>474.0</v>
      </c>
      <c r="B458" s="670" t="s">
        <v>2257</v>
      </c>
      <c r="C458" s="670" t="s">
        <v>2258</v>
      </c>
      <c r="D458" s="670" t="s">
        <v>3124</v>
      </c>
      <c r="E458" s="670" t="s">
        <v>3125</v>
      </c>
      <c r="F458" s="670">
        <v>678.0</v>
      </c>
      <c r="G458" s="670" t="s">
        <v>1117</v>
      </c>
      <c r="H458" s="670" t="s">
        <v>2261</v>
      </c>
      <c r="I458" s="670" t="s">
        <v>2262</v>
      </c>
      <c r="J458" s="671">
        <v>46234.0</v>
      </c>
    </row>
    <row r="459">
      <c r="A459" s="670">
        <v>475.0</v>
      </c>
      <c r="B459" s="670" t="s">
        <v>2257</v>
      </c>
      <c r="C459" s="670" t="s">
        <v>2258</v>
      </c>
      <c r="D459" s="670" t="s">
        <v>3126</v>
      </c>
      <c r="E459" s="670" t="s">
        <v>3127</v>
      </c>
      <c r="F459" s="670">
        <v>735.0</v>
      </c>
      <c r="G459" s="670" t="s">
        <v>1117</v>
      </c>
      <c r="H459" s="670" t="s">
        <v>2261</v>
      </c>
      <c r="I459" s="670" t="s">
        <v>2262</v>
      </c>
      <c r="J459" s="671">
        <v>46234.0</v>
      </c>
    </row>
    <row r="460">
      <c r="A460" s="670">
        <v>476.0</v>
      </c>
      <c r="B460" s="670" t="s">
        <v>2257</v>
      </c>
      <c r="C460" s="670" t="s">
        <v>2258</v>
      </c>
      <c r="D460" s="670" t="s">
        <v>3128</v>
      </c>
      <c r="E460" s="670" t="s">
        <v>3129</v>
      </c>
      <c r="F460" s="670">
        <v>681.0</v>
      </c>
      <c r="G460" s="670" t="s">
        <v>1117</v>
      </c>
      <c r="H460" s="670" t="s">
        <v>2261</v>
      </c>
      <c r="I460" s="670" t="s">
        <v>2262</v>
      </c>
      <c r="J460" s="671">
        <v>46234.0</v>
      </c>
    </row>
    <row r="461">
      <c r="A461" s="670">
        <v>477.0</v>
      </c>
      <c r="B461" s="670" t="s">
        <v>2257</v>
      </c>
      <c r="C461" s="670" t="s">
        <v>2258</v>
      </c>
      <c r="D461" s="670" t="s">
        <v>3130</v>
      </c>
      <c r="E461" s="670" t="s">
        <v>3131</v>
      </c>
      <c r="F461" s="670">
        <v>709.0</v>
      </c>
      <c r="G461" s="670" t="s">
        <v>1117</v>
      </c>
      <c r="H461" s="670" t="s">
        <v>2261</v>
      </c>
      <c r="I461" s="670" t="s">
        <v>2262</v>
      </c>
      <c r="J461" s="671">
        <v>46234.0</v>
      </c>
    </row>
    <row r="462">
      <c r="A462" s="670">
        <v>478.0</v>
      </c>
      <c r="B462" s="670" t="s">
        <v>2257</v>
      </c>
      <c r="C462" s="673" t="s">
        <v>2258</v>
      </c>
      <c r="D462" s="670" t="s">
        <v>3132</v>
      </c>
      <c r="E462" s="670" t="s">
        <v>3133</v>
      </c>
      <c r="F462" s="670">
        <v>691.0</v>
      </c>
      <c r="G462" s="670" t="s">
        <v>1117</v>
      </c>
      <c r="H462" s="670" t="s">
        <v>2261</v>
      </c>
      <c r="I462" s="670" t="s">
        <v>2262</v>
      </c>
      <c r="J462" s="671">
        <v>46234.0</v>
      </c>
    </row>
    <row r="463">
      <c r="A463" s="670">
        <v>479.0</v>
      </c>
      <c r="B463" s="670" t="s">
        <v>2257</v>
      </c>
      <c r="C463" s="673" t="s">
        <v>2258</v>
      </c>
      <c r="D463" s="670" t="s">
        <v>3134</v>
      </c>
      <c r="E463" s="670" t="s">
        <v>3135</v>
      </c>
      <c r="F463" s="670">
        <v>704.0</v>
      </c>
      <c r="G463" s="670" t="s">
        <v>1117</v>
      </c>
      <c r="H463" s="670" t="s">
        <v>2261</v>
      </c>
      <c r="I463" s="670" t="s">
        <v>2262</v>
      </c>
      <c r="J463" s="671">
        <v>46234.0</v>
      </c>
    </row>
    <row r="464">
      <c r="A464" s="670">
        <v>480.0</v>
      </c>
      <c r="B464" s="670" t="s">
        <v>2257</v>
      </c>
      <c r="C464" s="673" t="s">
        <v>2258</v>
      </c>
      <c r="D464" s="670" t="s">
        <v>3136</v>
      </c>
      <c r="E464" s="670" t="s">
        <v>3137</v>
      </c>
      <c r="F464" s="670">
        <v>641.0</v>
      </c>
      <c r="G464" s="670" t="s">
        <v>1117</v>
      </c>
      <c r="H464" s="670" t="s">
        <v>2261</v>
      </c>
      <c r="I464" s="670" t="s">
        <v>2262</v>
      </c>
      <c r="J464" s="671">
        <v>46234.0</v>
      </c>
    </row>
    <row r="465">
      <c r="A465" s="670">
        <v>481.0</v>
      </c>
      <c r="B465" s="670" t="s">
        <v>2257</v>
      </c>
      <c r="C465" s="670" t="s">
        <v>2258</v>
      </c>
      <c r="D465" s="670" t="s">
        <v>3138</v>
      </c>
      <c r="E465" s="670" t="s">
        <v>3139</v>
      </c>
      <c r="F465" s="670">
        <v>543.0</v>
      </c>
      <c r="G465" s="670" t="s">
        <v>1117</v>
      </c>
      <c r="H465" s="670" t="s">
        <v>2261</v>
      </c>
      <c r="I465" s="670" t="s">
        <v>2262</v>
      </c>
      <c r="J465" s="671">
        <v>46234.0</v>
      </c>
    </row>
    <row r="466">
      <c r="A466" s="670">
        <v>482.0</v>
      </c>
      <c r="B466" s="670" t="s">
        <v>2257</v>
      </c>
      <c r="C466" s="670" t="s">
        <v>2258</v>
      </c>
      <c r="D466" s="670" t="s">
        <v>3140</v>
      </c>
      <c r="E466" s="670" t="s">
        <v>3141</v>
      </c>
      <c r="F466" s="670">
        <v>5549.0</v>
      </c>
      <c r="G466" s="670" t="s">
        <v>305</v>
      </c>
      <c r="H466" s="670" t="s">
        <v>2261</v>
      </c>
      <c r="I466" s="670" t="s">
        <v>2262</v>
      </c>
      <c r="J466" s="671">
        <v>46234.0</v>
      </c>
    </row>
    <row r="467">
      <c r="A467" s="670">
        <v>483.0</v>
      </c>
      <c r="B467" s="670" t="s">
        <v>2257</v>
      </c>
      <c r="C467" s="670" t="s">
        <v>2258</v>
      </c>
      <c r="D467" s="670" t="s">
        <v>3142</v>
      </c>
      <c r="E467" s="670" t="s">
        <v>3143</v>
      </c>
      <c r="F467" s="670">
        <v>289.0</v>
      </c>
      <c r="G467" s="670" t="s">
        <v>43</v>
      </c>
      <c r="H467" s="670" t="s">
        <v>2261</v>
      </c>
      <c r="I467" s="670" t="s">
        <v>2262</v>
      </c>
      <c r="J467" s="671">
        <v>46234.0</v>
      </c>
    </row>
    <row r="468">
      <c r="A468" s="670">
        <v>484.0</v>
      </c>
      <c r="B468" s="670" t="s">
        <v>2257</v>
      </c>
      <c r="C468" s="670" t="s">
        <v>2258</v>
      </c>
      <c r="D468" s="670" t="s">
        <v>3144</v>
      </c>
      <c r="E468" s="670" t="s">
        <v>3145</v>
      </c>
      <c r="F468" s="670">
        <v>2800.0</v>
      </c>
      <c r="G468" s="670" t="s">
        <v>22</v>
      </c>
      <c r="H468" s="670" t="s">
        <v>2261</v>
      </c>
      <c r="I468" s="670" t="s">
        <v>2262</v>
      </c>
      <c r="J468" s="671">
        <v>46234.0</v>
      </c>
    </row>
    <row r="469">
      <c r="A469" s="670">
        <v>486.0</v>
      </c>
      <c r="B469" s="670" t="s">
        <v>2559</v>
      </c>
      <c r="C469" s="670" t="s">
        <v>2258</v>
      </c>
      <c r="D469" s="670" t="s">
        <v>3146</v>
      </c>
      <c r="E469" s="670" t="s">
        <v>3147</v>
      </c>
      <c r="F469" s="670">
        <v>1500.0</v>
      </c>
      <c r="G469" s="670" t="s">
        <v>27</v>
      </c>
      <c r="H469" s="670" t="s">
        <v>2261</v>
      </c>
      <c r="I469" s="670" t="s">
        <v>2262</v>
      </c>
      <c r="J469" s="671">
        <v>46234.0</v>
      </c>
    </row>
    <row r="470">
      <c r="A470" s="670">
        <v>490.0</v>
      </c>
      <c r="B470" s="670" t="s">
        <v>2559</v>
      </c>
      <c r="C470" s="670" t="s">
        <v>2258</v>
      </c>
      <c r="D470" s="670" t="s">
        <v>3148</v>
      </c>
      <c r="E470" s="670" t="s">
        <v>3149</v>
      </c>
      <c r="F470" s="670">
        <v>10000.0</v>
      </c>
      <c r="G470" s="670" t="s">
        <v>2442</v>
      </c>
      <c r="H470" s="670" t="s">
        <v>2261</v>
      </c>
      <c r="I470" s="670" t="s">
        <v>2262</v>
      </c>
      <c r="J470" s="671">
        <v>46234.0</v>
      </c>
    </row>
    <row r="471">
      <c r="A471" s="670">
        <v>491.0</v>
      </c>
      <c r="B471" s="670" t="s">
        <v>2559</v>
      </c>
      <c r="C471" s="670" t="s">
        <v>2258</v>
      </c>
      <c r="D471" s="670" t="s">
        <v>3150</v>
      </c>
      <c r="E471" s="670" t="s">
        <v>3151</v>
      </c>
      <c r="F471" s="670">
        <v>1.0</v>
      </c>
      <c r="G471" s="670" t="s">
        <v>2442</v>
      </c>
      <c r="H471" s="670" t="s">
        <v>2261</v>
      </c>
      <c r="I471" s="670" t="s">
        <v>2262</v>
      </c>
      <c r="J471" s="671">
        <v>46234.0</v>
      </c>
    </row>
    <row r="472">
      <c r="A472" s="670">
        <v>492.0</v>
      </c>
      <c r="B472" s="670" t="s">
        <v>2257</v>
      </c>
      <c r="C472" s="670" t="s">
        <v>2258</v>
      </c>
      <c r="D472" s="670" t="s">
        <v>3152</v>
      </c>
      <c r="E472" s="670" t="s">
        <v>3153</v>
      </c>
      <c r="F472" s="670">
        <v>1.0</v>
      </c>
      <c r="G472" s="670" t="s">
        <v>1117</v>
      </c>
      <c r="H472" s="670" t="s">
        <v>2261</v>
      </c>
      <c r="I472" s="670" t="s">
        <v>2262</v>
      </c>
      <c r="J472" s="671">
        <v>46234.0</v>
      </c>
    </row>
    <row r="473">
      <c r="A473" s="670">
        <v>493.0</v>
      </c>
      <c r="B473" s="670" t="s">
        <v>2257</v>
      </c>
      <c r="C473" s="670" t="s">
        <v>2258</v>
      </c>
      <c r="D473" s="670" t="s">
        <v>3154</v>
      </c>
      <c r="E473" s="670" t="s">
        <v>3155</v>
      </c>
      <c r="F473" s="670">
        <v>830.0</v>
      </c>
      <c r="G473" s="670" t="s">
        <v>305</v>
      </c>
      <c r="H473" s="670" t="s">
        <v>2261</v>
      </c>
      <c r="I473" s="670" t="s">
        <v>2262</v>
      </c>
      <c r="J473" s="671">
        <v>46234.0</v>
      </c>
    </row>
    <row r="474">
      <c r="A474" s="670">
        <v>494.0</v>
      </c>
      <c r="B474" s="670" t="s">
        <v>2257</v>
      </c>
      <c r="C474" s="670" t="s">
        <v>2258</v>
      </c>
      <c r="D474" s="670" t="s">
        <v>3156</v>
      </c>
      <c r="E474" s="670" t="s">
        <v>3157</v>
      </c>
      <c r="F474" s="670">
        <v>20.0</v>
      </c>
      <c r="G474" s="670" t="s">
        <v>759</v>
      </c>
      <c r="H474" s="670" t="s">
        <v>2261</v>
      </c>
      <c r="I474" s="670" t="s">
        <v>2262</v>
      </c>
      <c r="J474" s="671">
        <v>46234.0</v>
      </c>
    </row>
    <row r="475">
      <c r="A475" s="670">
        <v>495.0</v>
      </c>
      <c r="B475" s="670" t="s">
        <v>2257</v>
      </c>
      <c r="C475" s="670" t="s">
        <v>2258</v>
      </c>
      <c r="D475" s="670" t="s">
        <v>3158</v>
      </c>
      <c r="E475" s="670" t="s">
        <v>3159</v>
      </c>
      <c r="F475" s="670">
        <v>420.0</v>
      </c>
      <c r="G475" s="670" t="s">
        <v>2467</v>
      </c>
      <c r="H475" s="670" t="s">
        <v>2261</v>
      </c>
      <c r="I475" s="670" t="s">
        <v>2262</v>
      </c>
      <c r="J475" s="671">
        <v>46234.0</v>
      </c>
    </row>
    <row r="476">
      <c r="A476" s="670">
        <v>496.0</v>
      </c>
      <c r="B476" s="670" t="s">
        <v>2257</v>
      </c>
      <c r="C476" s="670" t="s">
        <v>2258</v>
      </c>
      <c r="D476" s="670" t="s">
        <v>3160</v>
      </c>
      <c r="E476" s="670" t="s">
        <v>3161</v>
      </c>
      <c r="F476" s="670">
        <v>2.0</v>
      </c>
      <c r="G476" s="670" t="s">
        <v>22</v>
      </c>
      <c r="H476" s="670" t="s">
        <v>2261</v>
      </c>
      <c r="I476" s="670" t="s">
        <v>2262</v>
      </c>
      <c r="J476" s="671">
        <v>46234.0</v>
      </c>
    </row>
    <row r="477">
      <c r="A477" s="670">
        <v>497.0</v>
      </c>
      <c r="B477" s="670" t="s">
        <v>2257</v>
      </c>
      <c r="C477" s="670" t="s">
        <v>2258</v>
      </c>
      <c r="D477" s="670" t="s">
        <v>3162</v>
      </c>
      <c r="E477" s="670" t="s">
        <v>3163</v>
      </c>
      <c r="F477" s="670">
        <v>14.0</v>
      </c>
      <c r="G477" s="670" t="s">
        <v>22</v>
      </c>
      <c r="H477" s="670" t="s">
        <v>2261</v>
      </c>
      <c r="I477" s="670" t="s">
        <v>2262</v>
      </c>
      <c r="J477" s="671">
        <v>46234.0</v>
      </c>
    </row>
    <row r="478">
      <c r="A478" s="670">
        <v>498.0</v>
      </c>
      <c r="B478" s="670" t="s">
        <v>2257</v>
      </c>
      <c r="C478" s="670" t="s">
        <v>2258</v>
      </c>
      <c r="D478" s="670" t="s">
        <v>3164</v>
      </c>
      <c r="E478" s="670" t="s">
        <v>3165</v>
      </c>
      <c r="F478" s="670">
        <v>0.0</v>
      </c>
      <c r="G478" s="670" t="s">
        <v>43</v>
      </c>
      <c r="H478" s="670" t="s">
        <v>2261</v>
      </c>
      <c r="I478" s="670" t="s">
        <v>2262</v>
      </c>
      <c r="J478" s="671">
        <v>46234.0</v>
      </c>
    </row>
    <row r="479">
      <c r="A479" s="670">
        <v>499.0</v>
      </c>
      <c r="B479" s="670" t="s">
        <v>2257</v>
      </c>
      <c r="C479" s="670" t="s">
        <v>2258</v>
      </c>
      <c r="D479" s="670" t="s">
        <v>3166</v>
      </c>
      <c r="E479" s="670" t="s">
        <v>3167</v>
      </c>
      <c r="F479" s="670">
        <v>60.0</v>
      </c>
      <c r="G479" s="670" t="s">
        <v>2467</v>
      </c>
      <c r="H479" s="670" t="s">
        <v>2261</v>
      </c>
      <c r="I479" s="670" t="s">
        <v>2262</v>
      </c>
      <c r="J479" s="671">
        <v>46234.0</v>
      </c>
    </row>
    <row r="480">
      <c r="A480" s="670">
        <v>500.0</v>
      </c>
      <c r="B480" s="670" t="s">
        <v>2257</v>
      </c>
      <c r="C480" s="670" t="s">
        <v>2258</v>
      </c>
      <c r="D480" s="670" t="s">
        <v>3168</v>
      </c>
      <c r="E480" s="670" t="s">
        <v>3169</v>
      </c>
      <c r="F480" s="670">
        <v>85.0</v>
      </c>
      <c r="G480" s="670" t="s">
        <v>2543</v>
      </c>
      <c r="H480" s="670" t="s">
        <v>2261</v>
      </c>
      <c r="I480" s="670" t="s">
        <v>2262</v>
      </c>
      <c r="J480" s="671">
        <v>46234.0</v>
      </c>
    </row>
    <row r="481">
      <c r="A481" s="670">
        <v>502.0</v>
      </c>
      <c r="B481" s="670" t="s">
        <v>2257</v>
      </c>
      <c r="C481" s="670" t="s">
        <v>2258</v>
      </c>
      <c r="D481" s="670" t="s">
        <v>3170</v>
      </c>
      <c r="E481" s="670" t="s">
        <v>3171</v>
      </c>
      <c r="F481" s="670">
        <v>50.0</v>
      </c>
      <c r="G481" s="670" t="s">
        <v>759</v>
      </c>
      <c r="H481" s="670" t="s">
        <v>2261</v>
      </c>
      <c r="I481" s="670" t="s">
        <v>2262</v>
      </c>
      <c r="J481" s="671">
        <v>46234.0</v>
      </c>
    </row>
    <row r="482">
      <c r="A482" s="670">
        <v>503.0</v>
      </c>
      <c r="B482" s="670" t="s">
        <v>2257</v>
      </c>
      <c r="C482" s="670" t="s">
        <v>2258</v>
      </c>
      <c r="D482" s="670" t="s">
        <v>3173</v>
      </c>
      <c r="E482" s="670" t="s">
        <v>3174</v>
      </c>
      <c r="F482" s="670">
        <v>405.0</v>
      </c>
      <c r="G482" s="670" t="s">
        <v>755</v>
      </c>
      <c r="H482" s="670" t="s">
        <v>2261</v>
      </c>
      <c r="I482" s="670" t="s">
        <v>2262</v>
      </c>
      <c r="J482" s="671">
        <v>46234.0</v>
      </c>
    </row>
    <row r="483">
      <c r="A483" s="670">
        <v>504.0</v>
      </c>
      <c r="B483" s="670" t="s">
        <v>2257</v>
      </c>
      <c r="C483" s="670" t="s">
        <v>2258</v>
      </c>
      <c r="D483" s="670" t="s">
        <v>3175</v>
      </c>
      <c r="E483" s="670" t="s">
        <v>3176</v>
      </c>
      <c r="F483" s="670">
        <v>180.0</v>
      </c>
      <c r="G483" s="670" t="s">
        <v>755</v>
      </c>
      <c r="H483" s="670" t="s">
        <v>2261</v>
      </c>
      <c r="I483" s="670" t="s">
        <v>2262</v>
      </c>
      <c r="J483" s="671">
        <v>46234.0</v>
      </c>
    </row>
    <row r="484">
      <c r="A484" s="670">
        <v>505.0</v>
      </c>
      <c r="B484" s="670" t="s">
        <v>2257</v>
      </c>
      <c r="C484" s="670" t="s">
        <v>2258</v>
      </c>
      <c r="D484" s="670" t="s">
        <v>3177</v>
      </c>
      <c r="E484" s="670" t="s">
        <v>3178</v>
      </c>
      <c r="F484" s="670">
        <v>68.0</v>
      </c>
      <c r="G484" s="670" t="s">
        <v>305</v>
      </c>
      <c r="H484" s="670" t="s">
        <v>2261</v>
      </c>
      <c r="I484" s="670" t="s">
        <v>2262</v>
      </c>
      <c r="J484" s="671">
        <v>46234.0</v>
      </c>
    </row>
    <row r="485">
      <c r="A485" s="670">
        <v>506.0</v>
      </c>
      <c r="B485" s="670" t="s">
        <v>2559</v>
      </c>
      <c r="C485" s="670" t="s">
        <v>2258</v>
      </c>
      <c r="D485" s="670" t="s">
        <v>3180</v>
      </c>
      <c r="E485" s="670" t="s">
        <v>3181</v>
      </c>
      <c r="F485" s="670">
        <v>150.0</v>
      </c>
      <c r="G485" s="670" t="s">
        <v>2442</v>
      </c>
      <c r="H485" s="670" t="s">
        <v>2261</v>
      </c>
      <c r="I485" s="670" t="s">
        <v>2262</v>
      </c>
      <c r="J485" s="671">
        <v>46234.0</v>
      </c>
    </row>
    <row r="486">
      <c r="A486" s="670">
        <v>507.0</v>
      </c>
      <c r="B486" s="670" t="s">
        <v>2257</v>
      </c>
      <c r="C486" s="670" t="s">
        <v>2258</v>
      </c>
      <c r="D486" s="670" t="s">
        <v>3182</v>
      </c>
      <c r="E486" s="670" t="s">
        <v>3183</v>
      </c>
      <c r="F486" s="670">
        <v>200.0</v>
      </c>
      <c r="G486" s="670" t="s">
        <v>107</v>
      </c>
      <c r="H486" s="670" t="s">
        <v>2261</v>
      </c>
      <c r="I486" s="670" t="s">
        <v>2262</v>
      </c>
      <c r="J486" s="671">
        <v>46234.0</v>
      </c>
    </row>
    <row r="487">
      <c r="A487" s="670">
        <v>508.0</v>
      </c>
      <c r="B487" s="670" t="s">
        <v>2257</v>
      </c>
      <c r="C487" s="673" t="s">
        <v>2258</v>
      </c>
      <c r="D487" s="670" t="s">
        <v>3184</v>
      </c>
      <c r="E487" s="670" t="s">
        <v>3185</v>
      </c>
      <c r="F487" s="670">
        <v>500.0</v>
      </c>
      <c r="G487" s="670" t="s">
        <v>107</v>
      </c>
      <c r="H487" s="670" t="s">
        <v>2261</v>
      </c>
      <c r="I487" s="670" t="s">
        <v>2262</v>
      </c>
      <c r="J487" s="671">
        <v>46234.0</v>
      </c>
    </row>
    <row r="488">
      <c r="A488" s="670">
        <v>509.0</v>
      </c>
      <c r="B488" s="670" t="s">
        <v>2257</v>
      </c>
      <c r="C488" s="670" t="s">
        <v>2258</v>
      </c>
      <c r="D488" s="670" t="s">
        <v>3186</v>
      </c>
      <c r="E488" s="670" t="s">
        <v>3187</v>
      </c>
      <c r="F488" s="670">
        <v>350.0</v>
      </c>
      <c r="G488" s="670" t="s">
        <v>107</v>
      </c>
      <c r="H488" s="670" t="s">
        <v>2261</v>
      </c>
      <c r="I488" s="670" t="s">
        <v>2262</v>
      </c>
      <c r="J488" s="671">
        <v>46234.0</v>
      </c>
    </row>
    <row r="489">
      <c r="A489" s="670">
        <v>510.0</v>
      </c>
      <c r="B489" s="670" t="s">
        <v>2257</v>
      </c>
      <c r="C489" s="670" t="s">
        <v>2258</v>
      </c>
      <c r="D489" s="670" t="s">
        <v>3188</v>
      </c>
      <c r="E489" s="670" t="s">
        <v>3189</v>
      </c>
      <c r="F489" s="670">
        <v>300.0</v>
      </c>
      <c r="G489" s="670" t="s">
        <v>107</v>
      </c>
      <c r="H489" s="670" t="s">
        <v>2261</v>
      </c>
      <c r="I489" s="670" t="s">
        <v>2262</v>
      </c>
      <c r="J489" s="671">
        <v>46234.0</v>
      </c>
    </row>
    <row r="490">
      <c r="A490" s="670">
        <v>511.0</v>
      </c>
      <c r="B490" s="670" t="s">
        <v>2257</v>
      </c>
      <c r="C490" s="670" t="s">
        <v>2258</v>
      </c>
      <c r="D490" s="670" t="s">
        <v>3190</v>
      </c>
      <c r="E490" s="670" t="s">
        <v>3191</v>
      </c>
      <c r="F490" s="670">
        <v>320.0</v>
      </c>
      <c r="G490" s="670" t="s">
        <v>305</v>
      </c>
      <c r="H490" s="670" t="s">
        <v>2261</v>
      </c>
      <c r="I490" s="670" t="s">
        <v>2262</v>
      </c>
      <c r="J490" s="671">
        <v>46234.0</v>
      </c>
    </row>
    <row r="491">
      <c r="A491" s="670">
        <v>512.0</v>
      </c>
      <c r="B491" s="670" t="s">
        <v>2257</v>
      </c>
      <c r="C491" s="673" t="s">
        <v>2258</v>
      </c>
      <c r="D491" s="670" t="s">
        <v>3192</v>
      </c>
      <c r="E491" s="670" t="s">
        <v>2508</v>
      </c>
      <c r="F491" s="670">
        <v>32.0</v>
      </c>
      <c r="G491" s="670" t="s">
        <v>759</v>
      </c>
      <c r="H491" s="670" t="s">
        <v>2261</v>
      </c>
      <c r="I491" s="670" t="s">
        <v>2262</v>
      </c>
      <c r="J491" s="671">
        <v>46234.0</v>
      </c>
    </row>
    <row r="492">
      <c r="A492" s="670">
        <v>513.0</v>
      </c>
      <c r="B492" s="670" t="s">
        <v>2257</v>
      </c>
      <c r="C492" s="673" t="s">
        <v>2258</v>
      </c>
      <c r="D492" s="670" t="s">
        <v>3193</v>
      </c>
      <c r="E492" s="670" t="s">
        <v>3194</v>
      </c>
      <c r="F492" s="670">
        <v>15.0</v>
      </c>
      <c r="G492" s="670" t="s">
        <v>305</v>
      </c>
      <c r="H492" s="670" t="s">
        <v>2261</v>
      </c>
      <c r="I492" s="670" t="s">
        <v>2262</v>
      </c>
      <c r="J492" s="671">
        <v>46234.0</v>
      </c>
    </row>
    <row r="493">
      <c r="A493" s="670">
        <v>514.0</v>
      </c>
      <c r="B493" s="670" t="s">
        <v>2257</v>
      </c>
      <c r="C493" s="670" t="s">
        <v>2258</v>
      </c>
      <c r="D493" s="670" t="s">
        <v>3195</v>
      </c>
      <c r="E493" s="670" t="s">
        <v>3196</v>
      </c>
      <c r="F493" s="670">
        <v>4952.0</v>
      </c>
      <c r="G493" s="670" t="s">
        <v>824</v>
      </c>
      <c r="H493" s="670" t="s">
        <v>2261</v>
      </c>
      <c r="I493" s="670" t="s">
        <v>2262</v>
      </c>
      <c r="J493" s="671">
        <v>46234.0</v>
      </c>
    </row>
    <row r="494">
      <c r="A494" s="670">
        <v>515.0</v>
      </c>
      <c r="B494" s="670" t="s">
        <v>2257</v>
      </c>
      <c r="C494" s="670" t="s">
        <v>2258</v>
      </c>
      <c r="D494" s="670" t="s">
        <v>3197</v>
      </c>
      <c r="E494" s="670" t="s">
        <v>3198</v>
      </c>
      <c r="F494" s="670">
        <v>145.0</v>
      </c>
      <c r="G494" s="670" t="s">
        <v>305</v>
      </c>
      <c r="H494" s="670" t="s">
        <v>2261</v>
      </c>
      <c r="I494" s="670" t="s">
        <v>2262</v>
      </c>
      <c r="J494" s="671">
        <v>46234.0</v>
      </c>
    </row>
    <row r="495">
      <c r="A495" s="670">
        <v>517.0</v>
      </c>
      <c r="B495" s="670" t="s">
        <v>2257</v>
      </c>
      <c r="C495" s="670" t="s">
        <v>2258</v>
      </c>
      <c r="D495" s="670" t="s">
        <v>3199</v>
      </c>
      <c r="E495" s="670" t="s">
        <v>3200</v>
      </c>
      <c r="F495" s="670">
        <v>105.0</v>
      </c>
      <c r="G495" s="670" t="s">
        <v>1117</v>
      </c>
      <c r="H495" s="670" t="s">
        <v>2261</v>
      </c>
      <c r="I495" s="670" t="s">
        <v>2262</v>
      </c>
      <c r="J495" s="671">
        <v>46234.0</v>
      </c>
    </row>
    <row r="496">
      <c r="A496" s="670">
        <v>519.0</v>
      </c>
      <c r="B496" s="670" t="s">
        <v>2257</v>
      </c>
      <c r="C496" s="670" t="s">
        <v>2258</v>
      </c>
      <c r="D496" s="670" t="s">
        <v>3201</v>
      </c>
      <c r="E496" s="670" t="s">
        <v>3202</v>
      </c>
      <c r="F496" s="670">
        <v>65.0</v>
      </c>
      <c r="G496" s="670" t="s">
        <v>1117</v>
      </c>
      <c r="H496" s="670" t="s">
        <v>2261</v>
      </c>
      <c r="I496" s="670" t="s">
        <v>2262</v>
      </c>
      <c r="J496" s="671">
        <v>46234.0</v>
      </c>
    </row>
    <row r="497">
      <c r="A497" s="670">
        <v>520.0</v>
      </c>
      <c r="B497" s="670" t="s">
        <v>2559</v>
      </c>
      <c r="C497" s="670" t="s">
        <v>2258</v>
      </c>
      <c r="D497" s="670" t="s">
        <v>3203</v>
      </c>
      <c r="E497" s="670" t="s">
        <v>3204</v>
      </c>
      <c r="F497" s="670">
        <v>25000.0</v>
      </c>
      <c r="G497" s="670" t="s">
        <v>2442</v>
      </c>
      <c r="H497" s="670" t="s">
        <v>2261</v>
      </c>
      <c r="I497" s="670" t="s">
        <v>2262</v>
      </c>
      <c r="J497" s="671">
        <v>46234.0</v>
      </c>
    </row>
    <row r="498">
      <c r="A498" s="670">
        <v>521.0</v>
      </c>
      <c r="B498" s="670" t="s">
        <v>2559</v>
      </c>
      <c r="C498" s="670" t="s">
        <v>2258</v>
      </c>
      <c r="D498" s="670" t="s">
        <v>3205</v>
      </c>
      <c r="E498" s="670" t="s">
        <v>3206</v>
      </c>
      <c r="F498" s="670">
        <v>7905.0</v>
      </c>
      <c r="G498" s="670" t="s">
        <v>2442</v>
      </c>
      <c r="H498" s="670" t="s">
        <v>2261</v>
      </c>
      <c r="I498" s="670" t="s">
        <v>2262</v>
      </c>
      <c r="J498" s="671">
        <v>46234.0</v>
      </c>
    </row>
    <row r="499">
      <c r="A499" s="670">
        <v>522.0</v>
      </c>
      <c r="B499" s="670" t="s">
        <v>2559</v>
      </c>
      <c r="C499" s="670" t="s">
        <v>2258</v>
      </c>
      <c r="D499" s="670" t="s">
        <v>3207</v>
      </c>
      <c r="E499" s="670" t="s">
        <v>3208</v>
      </c>
      <c r="F499" s="670">
        <v>29344.0</v>
      </c>
      <c r="G499" s="670" t="s">
        <v>2442</v>
      </c>
      <c r="H499" s="670" t="s">
        <v>2261</v>
      </c>
      <c r="I499" s="670" t="s">
        <v>2262</v>
      </c>
      <c r="J499" s="671">
        <v>46234.0</v>
      </c>
    </row>
    <row r="500">
      <c r="A500" s="670">
        <v>523.0</v>
      </c>
      <c r="B500" s="670" t="s">
        <v>2257</v>
      </c>
      <c r="C500" s="670" t="s">
        <v>2258</v>
      </c>
      <c r="D500" s="670" t="s">
        <v>3209</v>
      </c>
      <c r="E500" s="670" t="s">
        <v>3210</v>
      </c>
      <c r="F500" s="670">
        <v>425000.0</v>
      </c>
      <c r="G500" s="670" t="s">
        <v>249</v>
      </c>
      <c r="H500" s="670" t="s">
        <v>2261</v>
      </c>
      <c r="I500" s="670" t="s">
        <v>2262</v>
      </c>
      <c r="J500" s="671">
        <v>46234.0</v>
      </c>
    </row>
    <row r="501">
      <c r="A501" s="670">
        <v>524.0</v>
      </c>
      <c r="B501" s="670" t="s">
        <v>2559</v>
      </c>
      <c r="C501" s="670" t="s">
        <v>2258</v>
      </c>
      <c r="D501" s="670" t="s">
        <v>3211</v>
      </c>
      <c r="E501" s="670" t="s">
        <v>3212</v>
      </c>
      <c r="F501" s="670">
        <v>5.0</v>
      </c>
      <c r="G501" s="670" t="s">
        <v>2655</v>
      </c>
      <c r="H501" s="670" t="s">
        <v>2261</v>
      </c>
      <c r="I501" s="670" t="s">
        <v>2262</v>
      </c>
      <c r="J501" s="671">
        <v>46234.0</v>
      </c>
    </row>
    <row r="502">
      <c r="A502" s="670">
        <v>525.0</v>
      </c>
      <c r="B502" s="670" t="s">
        <v>2257</v>
      </c>
      <c r="C502" s="670" t="s">
        <v>2258</v>
      </c>
      <c r="D502" s="670" t="s">
        <v>3213</v>
      </c>
      <c r="E502" s="670" t="s">
        <v>3214</v>
      </c>
      <c r="F502" s="670">
        <v>650.0</v>
      </c>
      <c r="G502" s="670" t="s">
        <v>759</v>
      </c>
      <c r="H502" s="670" t="s">
        <v>2261</v>
      </c>
      <c r="I502" s="670" t="s">
        <v>2262</v>
      </c>
      <c r="J502" s="671">
        <v>46234.0</v>
      </c>
    </row>
    <row r="503">
      <c r="A503" s="670">
        <v>526.0</v>
      </c>
      <c r="B503" s="670" t="s">
        <v>2559</v>
      </c>
      <c r="C503" s="670" t="s">
        <v>2258</v>
      </c>
      <c r="D503" s="670" t="s">
        <v>3215</v>
      </c>
      <c r="E503" s="670" t="s">
        <v>3216</v>
      </c>
      <c r="F503" s="670">
        <v>100.0</v>
      </c>
      <c r="G503" s="670" t="s">
        <v>107</v>
      </c>
      <c r="H503" s="670" t="s">
        <v>2261</v>
      </c>
      <c r="I503" s="670" t="s">
        <v>2262</v>
      </c>
      <c r="J503" s="671">
        <v>46234.0</v>
      </c>
    </row>
    <row r="504">
      <c r="A504" s="670">
        <v>527.0</v>
      </c>
      <c r="B504" s="670" t="s">
        <v>2257</v>
      </c>
      <c r="C504" s="670" t="s">
        <v>2258</v>
      </c>
      <c r="D504" s="670" t="s">
        <v>3217</v>
      </c>
      <c r="E504" s="670" t="s">
        <v>3218</v>
      </c>
      <c r="F504" s="670">
        <v>750.0</v>
      </c>
      <c r="G504" s="670" t="s">
        <v>824</v>
      </c>
      <c r="H504" s="670" t="s">
        <v>2261</v>
      </c>
      <c r="I504" s="670" t="s">
        <v>2262</v>
      </c>
      <c r="J504" s="671">
        <v>46234.0</v>
      </c>
    </row>
    <row r="505">
      <c r="A505" s="670">
        <v>528.0</v>
      </c>
      <c r="B505" s="670" t="s">
        <v>2559</v>
      </c>
      <c r="C505" s="670" t="s">
        <v>2258</v>
      </c>
      <c r="D505" s="670" t="s">
        <v>3219</v>
      </c>
      <c r="E505" s="670" t="s">
        <v>3220</v>
      </c>
      <c r="F505" s="670">
        <v>1750.0</v>
      </c>
      <c r="G505" s="670" t="s">
        <v>27</v>
      </c>
      <c r="H505" s="670" t="s">
        <v>2261</v>
      </c>
      <c r="I505" s="670" t="s">
        <v>2262</v>
      </c>
      <c r="J505" s="671">
        <v>46234.0</v>
      </c>
    </row>
    <row r="506">
      <c r="A506" s="670">
        <v>529.0</v>
      </c>
      <c r="B506" s="670" t="s">
        <v>2559</v>
      </c>
      <c r="C506" s="670" t="s">
        <v>2258</v>
      </c>
      <c r="D506" s="670" t="s">
        <v>3221</v>
      </c>
      <c r="E506" s="670" t="s">
        <v>3222</v>
      </c>
      <c r="F506" s="670">
        <v>100.0</v>
      </c>
      <c r="G506" s="670" t="s">
        <v>27</v>
      </c>
      <c r="H506" s="670" t="s">
        <v>2261</v>
      </c>
      <c r="I506" s="670" t="s">
        <v>2262</v>
      </c>
      <c r="J506" s="671">
        <v>46234.0</v>
      </c>
    </row>
    <row r="507">
      <c r="A507" s="670">
        <v>530.0</v>
      </c>
      <c r="B507" s="670" t="s">
        <v>2559</v>
      </c>
      <c r="C507" s="673" t="s">
        <v>2258</v>
      </c>
      <c r="D507" s="670" t="s">
        <v>3223</v>
      </c>
      <c r="E507" s="670" t="s">
        <v>3224</v>
      </c>
      <c r="F507" s="670">
        <v>750.0</v>
      </c>
      <c r="G507" s="670" t="s">
        <v>27</v>
      </c>
      <c r="H507" s="670" t="s">
        <v>2261</v>
      </c>
      <c r="I507" s="670" t="s">
        <v>2262</v>
      </c>
      <c r="J507" s="671">
        <v>46234.0</v>
      </c>
    </row>
    <row r="508">
      <c r="A508" s="670">
        <v>531.0</v>
      </c>
      <c r="B508" s="670" t="s">
        <v>2559</v>
      </c>
      <c r="C508" s="670" t="s">
        <v>2258</v>
      </c>
      <c r="D508" s="670" t="s">
        <v>3225</v>
      </c>
      <c r="E508" s="670" t="s">
        <v>3226</v>
      </c>
      <c r="F508" s="670">
        <v>200.0</v>
      </c>
      <c r="G508" s="670" t="s">
        <v>27</v>
      </c>
      <c r="H508" s="670" t="s">
        <v>2261</v>
      </c>
      <c r="I508" s="670" t="s">
        <v>2262</v>
      </c>
      <c r="J508" s="671">
        <v>46234.0</v>
      </c>
    </row>
    <row r="509">
      <c r="A509" s="670">
        <v>532.0</v>
      </c>
      <c r="B509" s="670" t="s">
        <v>2559</v>
      </c>
      <c r="C509" s="670" t="s">
        <v>2258</v>
      </c>
      <c r="D509" s="670" t="s">
        <v>3227</v>
      </c>
      <c r="E509" s="670" t="s">
        <v>3228</v>
      </c>
      <c r="F509" s="670">
        <v>70.0</v>
      </c>
      <c r="G509" s="670" t="s">
        <v>22</v>
      </c>
      <c r="H509" s="670" t="s">
        <v>2261</v>
      </c>
      <c r="I509" s="670" t="s">
        <v>2262</v>
      </c>
      <c r="J509" s="671">
        <v>46234.0</v>
      </c>
    </row>
    <row r="510">
      <c r="A510" s="670">
        <v>533.0</v>
      </c>
      <c r="B510" s="670" t="s">
        <v>2257</v>
      </c>
      <c r="C510" s="670" t="s">
        <v>2258</v>
      </c>
      <c r="D510" s="670" t="s">
        <v>3229</v>
      </c>
      <c r="E510" s="670" t="s">
        <v>3230</v>
      </c>
      <c r="F510" s="670">
        <v>1200.0</v>
      </c>
      <c r="G510" s="670" t="s">
        <v>22</v>
      </c>
      <c r="H510" s="670" t="s">
        <v>2261</v>
      </c>
      <c r="I510" s="670" t="s">
        <v>2262</v>
      </c>
      <c r="J510" s="671">
        <v>46234.0</v>
      </c>
    </row>
    <row r="511">
      <c r="A511" s="670">
        <v>534.0</v>
      </c>
      <c r="B511" s="670" t="s">
        <v>2257</v>
      </c>
      <c r="C511" s="670" t="s">
        <v>2258</v>
      </c>
      <c r="D511" s="670" t="s">
        <v>3231</v>
      </c>
      <c r="E511" s="670" t="s">
        <v>3232</v>
      </c>
      <c r="F511" s="670">
        <v>150.0</v>
      </c>
      <c r="G511" s="670" t="s">
        <v>759</v>
      </c>
      <c r="H511" s="670" t="s">
        <v>2261</v>
      </c>
      <c r="I511" s="670" t="s">
        <v>2262</v>
      </c>
      <c r="J511" s="671">
        <v>46234.0</v>
      </c>
    </row>
    <row r="512">
      <c r="A512" s="670">
        <v>535.0</v>
      </c>
      <c r="B512" s="670" t="s">
        <v>2559</v>
      </c>
      <c r="C512" s="670" t="s">
        <v>2258</v>
      </c>
      <c r="D512" s="670" t="s">
        <v>3233</v>
      </c>
      <c r="E512" s="670" t="s">
        <v>3234</v>
      </c>
      <c r="F512" s="670">
        <v>5.0</v>
      </c>
      <c r="G512" s="670" t="s">
        <v>27</v>
      </c>
      <c r="H512" s="670" t="s">
        <v>2261</v>
      </c>
      <c r="I512" s="670" t="s">
        <v>2262</v>
      </c>
      <c r="J512" s="671">
        <v>46234.0</v>
      </c>
    </row>
    <row r="513">
      <c r="A513" s="670">
        <v>536.0</v>
      </c>
      <c r="B513" s="670" t="s">
        <v>2257</v>
      </c>
      <c r="C513" s="670" t="s">
        <v>2258</v>
      </c>
      <c r="D513" s="670" t="s">
        <v>3235</v>
      </c>
      <c r="E513" s="670" t="s">
        <v>3236</v>
      </c>
      <c r="F513" s="670">
        <v>354.0</v>
      </c>
      <c r="G513" s="670" t="s">
        <v>759</v>
      </c>
      <c r="H513" s="670" t="s">
        <v>2261</v>
      </c>
      <c r="I513" s="670" t="s">
        <v>2262</v>
      </c>
      <c r="J513" s="671">
        <v>46234.0</v>
      </c>
    </row>
    <row r="514">
      <c r="A514" s="670">
        <v>537.0</v>
      </c>
      <c r="B514" s="670" t="s">
        <v>2559</v>
      </c>
      <c r="C514" s="670" t="s">
        <v>2258</v>
      </c>
      <c r="D514" s="670" t="s">
        <v>3237</v>
      </c>
      <c r="E514" s="670" t="s">
        <v>3238</v>
      </c>
      <c r="F514" s="670">
        <v>3500.0</v>
      </c>
      <c r="G514" s="670" t="s">
        <v>27</v>
      </c>
      <c r="H514" s="670" t="s">
        <v>2572</v>
      </c>
      <c r="I514" s="670" t="s">
        <v>2573</v>
      </c>
      <c r="J514" s="671">
        <v>46234.0</v>
      </c>
    </row>
    <row r="515">
      <c r="A515" s="670">
        <v>538.0</v>
      </c>
      <c r="B515" s="670" t="s">
        <v>2559</v>
      </c>
      <c r="C515" s="670" t="s">
        <v>2258</v>
      </c>
      <c r="D515" s="670" t="s">
        <v>3239</v>
      </c>
      <c r="E515" s="670" t="s">
        <v>3240</v>
      </c>
      <c r="F515" s="670">
        <v>1200.0</v>
      </c>
      <c r="G515" s="670" t="s">
        <v>27</v>
      </c>
      <c r="H515" s="670" t="s">
        <v>2261</v>
      </c>
      <c r="I515" s="670" t="s">
        <v>2262</v>
      </c>
      <c r="J515" s="671">
        <v>46234.0</v>
      </c>
    </row>
    <row r="516">
      <c r="A516" s="670">
        <v>539.0</v>
      </c>
      <c r="B516" s="670" t="s">
        <v>2559</v>
      </c>
      <c r="C516" s="670" t="s">
        <v>2258</v>
      </c>
      <c r="D516" s="670" t="s">
        <v>3241</v>
      </c>
      <c r="E516" s="670" t="s">
        <v>3242</v>
      </c>
      <c r="F516" s="670">
        <v>1500.0</v>
      </c>
      <c r="G516" s="670" t="s">
        <v>43</v>
      </c>
      <c r="H516" s="670" t="s">
        <v>2261</v>
      </c>
      <c r="I516" s="670" t="s">
        <v>2262</v>
      </c>
      <c r="J516" s="671">
        <v>46234.0</v>
      </c>
    </row>
    <row r="517">
      <c r="A517" s="670">
        <v>540.0</v>
      </c>
      <c r="B517" s="670" t="s">
        <v>2257</v>
      </c>
      <c r="C517" s="670" t="s">
        <v>2258</v>
      </c>
      <c r="D517" s="670" t="s">
        <v>3243</v>
      </c>
      <c r="E517" s="670" t="s">
        <v>3218</v>
      </c>
      <c r="F517" s="670">
        <v>750.0</v>
      </c>
      <c r="G517" s="670" t="s">
        <v>824</v>
      </c>
      <c r="H517" s="670" t="s">
        <v>2261</v>
      </c>
      <c r="I517" s="670" t="s">
        <v>2262</v>
      </c>
      <c r="J517" s="671">
        <v>46234.0</v>
      </c>
    </row>
    <row r="518">
      <c r="A518" s="670">
        <v>541.0</v>
      </c>
      <c r="B518" s="670" t="s">
        <v>2257</v>
      </c>
      <c r="C518" s="670" t="s">
        <v>2258</v>
      </c>
      <c r="D518" s="670" t="s">
        <v>3244</v>
      </c>
      <c r="E518" s="670" t="s">
        <v>3245</v>
      </c>
      <c r="F518" s="670">
        <v>3060.0</v>
      </c>
      <c r="G518" s="670" t="s">
        <v>43</v>
      </c>
      <c r="H518" s="670" t="s">
        <v>2261</v>
      </c>
      <c r="I518" s="670" t="s">
        <v>2262</v>
      </c>
      <c r="J518" s="671">
        <v>46234.0</v>
      </c>
    </row>
    <row r="519">
      <c r="A519" s="670">
        <v>542.0</v>
      </c>
      <c r="B519" s="670" t="s">
        <v>2257</v>
      </c>
      <c r="C519" s="670" t="s">
        <v>2258</v>
      </c>
      <c r="D519" s="670" t="s">
        <v>3246</v>
      </c>
      <c r="E519" s="670" t="s">
        <v>3247</v>
      </c>
      <c r="F519" s="670">
        <v>1100000.0</v>
      </c>
      <c r="G519" s="670" t="s">
        <v>43</v>
      </c>
      <c r="H519" s="670" t="s">
        <v>2261</v>
      </c>
      <c r="I519" s="670" t="s">
        <v>2262</v>
      </c>
      <c r="J519" s="671">
        <v>46234.0</v>
      </c>
    </row>
    <row r="520">
      <c r="A520" s="670">
        <v>543.0</v>
      </c>
      <c r="B520" s="670" t="s">
        <v>2257</v>
      </c>
      <c r="C520" s="670" t="s">
        <v>2258</v>
      </c>
      <c r="D520" s="670" t="s">
        <v>3248</v>
      </c>
      <c r="E520" s="670" t="s">
        <v>3249</v>
      </c>
      <c r="F520" s="670">
        <v>14000.0</v>
      </c>
      <c r="G520" s="670" t="s">
        <v>43</v>
      </c>
      <c r="H520" s="670" t="s">
        <v>2261</v>
      </c>
      <c r="I520" s="670" t="s">
        <v>2262</v>
      </c>
      <c r="J520" s="671">
        <v>46234.0</v>
      </c>
    </row>
    <row r="521">
      <c r="A521" s="670">
        <v>544.0</v>
      </c>
      <c r="B521" s="670" t="s">
        <v>2257</v>
      </c>
      <c r="C521" s="673" t="s">
        <v>2258</v>
      </c>
      <c r="D521" s="670" t="s">
        <v>3250</v>
      </c>
      <c r="E521" s="670" t="s">
        <v>3251</v>
      </c>
      <c r="F521" s="670">
        <v>1200000.0</v>
      </c>
      <c r="G521" s="670" t="s">
        <v>43</v>
      </c>
      <c r="H521" s="670" t="s">
        <v>2261</v>
      </c>
      <c r="I521" s="670" t="s">
        <v>2262</v>
      </c>
      <c r="J521" s="671">
        <v>46234.0</v>
      </c>
    </row>
    <row r="522">
      <c r="A522" s="670">
        <v>545.0</v>
      </c>
      <c r="B522" s="670" t="s">
        <v>2559</v>
      </c>
      <c r="C522" s="673" t="s">
        <v>2258</v>
      </c>
      <c r="D522" s="670" t="s">
        <v>3252</v>
      </c>
      <c r="E522" s="670" t="s">
        <v>3253</v>
      </c>
      <c r="F522" s="670">
        <v>2500.0</v>
      </c>
      <c r="G522" s="670" t="s">
        <v>27</v>
      </c>
      <c r="H522" s="670" t="s">
        <v>2261</v>
      </c>
      <c r="I522" s="670" t="s">
        <v>2262</v>
      </c>
      <c r="J522" s="671">
        <v>46234.0</v>
      </c>
    </row>
    <row r="523">
      <c r="A523" s="670">
        <v>546.0</v>
      </c>
      <c r="B523" s="670" t="s">
        <v>2719</v>
      </c>
      <c r="C523" s="673" t="s">
        <v>2258</v>
      </c>
      <c r="D523" s="670" t="s">
        <v>3254</v>
      </c>
      <c r="E523" s="670" t="s">
        <v>3255</v>
      </c>
      <c r="F523" s="670">
        <v>850.0</v>
      </c>
      <c r="G523" s="670" t="s">
        <v>43</v>
      </c>
      <c r="H523" s="670" t="s">
        <v>2261</v>
      </c>
      <c r="I523" s="670" t="s">
        <v>2262</v>
      </c>
      <c r="J523" s="671">
        <v>46234.0</v>
      </c>
    </row>
    <row r="524">
      <c r="A524" s="670">
        <v>547.0</v>
      </c>
      <c r="B524" s="670" t="s">
        <v>2719</v>
      </c>
      <c r="C524" s="670" t="s">
        <v>2258</v>
      </c>
      <c r="D524" s="670" t="s">
        <v>3256</v>
      </c>
      <c r="E524" s="670" t="s">
        <v>3257</v>
      </c>
      <c r="F524" s="670">
        <v>700.0</v>
      </c>
      <c r="G524" s="670" t="s">
        <v>43</v>
      </c>
      <c r="H524" s="670" t="s">
        <v>2261</v>
      </c>
      <c r="I524" s="670" t="s">
        <v>2262</v>
      </c>
      <c r="J524" s="671">
        <v>46234.0</v>
      </c>
    </row>
    <row r="525">
      <c r="A525" s="670">
        <v>548.0</v>
      </c>
      <c r="B525" s="670" t="s">
        <v>2257</v>
      </c>
      <c r="C525" s="673" t="s">
        <v>2258</v>
      </c>
      <c r="D525" s="670" t="s">
        <v>3258</v>
      </c>
      <c r="E525" s="670" t="s">
        <v>3259</v>
      </c>
      <c r="F525" s="670">
        <v>10.0</v>
      </c>
      <c r="G525" s="670" t="s">
        <v>43</v>
      </c>
      <c r="H525" s="670" t="s">
        <v>2261</v>
      </c>
      <c r="I525" s="670" t="s">
        <v>2262</v>
      </c>
      <c r="J525" s="671">
        <v>46234.0</v>
      </c>
    </row>
    <row r="526">
      <c r="A526" s="670">
        <v>549.0</v>
      </c>
      <c r="B526" s="670" t="s">
        <v>2559</v>
      </c>
      <c r="C526" s="670" t="s">
        <v>2258</v>
      </c>
      <c r="D526" s="670" t="s">
        <v>3260</v>
      </c>
      <c r="E526" s="670" t="s">
        <v>3261</v>
      </c>
      <c r="F526" s="670">
        <v>5500.0</v>
      </c>
      <c r="G526" s="670" t="s">
        <v>27</v>
      </c>
      <c r="H526" s="670" t="s">
        <v>2261</v>
      </c>
      <c r="I526" s="670" t="s">
        <v>2262</v>
      </c>
      <c r="J526" s="671">
        <v>46234.0</v>
      </c>
    </row>
    <row r="527">
      <c r="A527" s="670">
        <v>550.0</v>
      </c>
      <c r="B527" s="670" t="s">
        <v>2559</v>
      </c>
      <c r="C527" s="673" t="s">
        <v>2258</v>
      </c>
      <c r="D527" s="670" t="s">
        <v>3262</v>
      </c>
      <c r="E527" s="670" t="s">
        <v>3263</v>
      </c>
      <c r="F527" s="670">
        <v>4750.0</v>
      </c>
      <c r="G527" s="670" t="s">
        <v>27</v>
      </c>
      <c r="H527" s="670" t="s">
        <v>2261</v>
      </c>
      <c r="I527" s="670" t="s">
        <v>2262</v>
      </c>
      <c r="J527" s="671">
        <v>46234.0</v>
      </c>
    </row>
    <row r="528">
      <c r="A528" s="670">
        <v>551.0</v>
      </c>
      <c r="B528" s="670" t="s">
        <v>2559</v>
      </c>
      <c r="C528" s="670" t="s">
        <v>2258</v>
      </c>
      <c r="D528" s="670" t="s">
        <v>3264</v>
      </c>
      <c r="E528" s="670" t="s">
        <v>3265</v>
      </c>
      <c r="F528" s="670">
        <v>12000.0</v>
      </c>
      <c r="G528" s="670" t="s">
        <v>27</v>
      </c>
      <c r="H528" s="670" t="s">
        <v>2261</v>
      </c>
      <c r="I528" s="670" t="s">
        <v>2262</v>
      </c>
      <c r="J528" s="671">
        <v>46234.0</v>
      </c>
    </row>
    <row r="529">
      <c r="A529" s="670">
        <v>552.0</v>
      </c>
      <c r="B529" s="670" t="s">
        <v>2559</v>
      </c>
      <c r="C529" s="673" t="s">
        <v>2258</v>
      </c>
      <c r="D529" s="670" t="s">
        <v>3266</v>
      </c>
      <c r="E529" s="670" t="s">
        <v>3267</v>
      </c>
      <c r="F529" s="670">
        <v>15000.0</v>
      </c>
      <c r="G529" s="670" t="s">
        <v>27</v>
      </c>
      <c r="H529" s="670" t="s">
        <v>2261</v>
      </c>
      <c r="I529" s="670" t="s">
        <v>2262</v>
      </c>
      <c r="J529" s="671">
        <v>46234.0</v>
      </c>
    </row>
    <row r="530">
      <c r="A530" s="670">
        <v>553.0</v>
      </c>
      <c r="B530" s="670" t="s">
        <v>2559</v>
      </c>
      <c r="C530" s="673" t="s">
        <v>2258</v>
      </c>
      <c r="D530" s="670" t="s">
        <v>3268</v>
      </c>
      <c r="E530" s="670" t="s">
        <v>3269</v>
      </c>
      <c r="F530" s="670">
        <v>4500.0</v>
      </c>
      <c r="G530" s="670" t="s">
        <v>27</v>
      </c>
      <c r="H530" s="670" t="s">
        <v>2261</v>
      </c>
      <c r="I530" s="670" t="s">
        <v>2262</v>
      </c>
      <c r="J530" s="671">
        <v>46234.0</v>
      </c>
    </row>
    <row r="531">
      <c r="A531" s="670">
        <v>554.0</v>
      </c>
      <c r="B531" s="670" t="s">
        <v>2559</v>
      </c>
      <c r="C531" s="673" t="s">
        <v>2258</v>
      </c>
      <c r="D531" s="670" t="s">
        <v>3270</v>
      </c>
      <c r="E531" s="670" t="s">
        <v>3271</v>
      </c>
      <c r="F531" s="670">
        <v>3000.0</v>
      </c>
      <c r="G531" s="670" t="s">
        <v>27</v>
      </c>
      <c r="H531" s="670" t="s">
        <v>2261</v>
      </c>
      <c r="I531" s="670" t="s">
        <v>2262</v>
      </c>
      <c r="J531" s="671">
        <v>46234.0</v>
      </c>
    </row>
    <row r="532">
      <c r="A532" s="670">
        <v>555.0</v>
      </c>
      <c r="B532" s="670" t="s">
        <v>2559</v>
      </c>
      <c r="C532" s="673" t="s">
        <v>2258</v>
      </c>
      <c r="D532" s="670" t="s">
        <v>3273</v>
      </c>
      <c r="E532" s="670" t="s">
        <v>3274</v>
      </c>
      <c r="F532" s="670">
        <v>5500.0</v>
      </c>
      <c r="G532" s="670" t="s">
        <v>27</v>
      </c>
      <c r="H532" s="670" t="s">
        <v>2261</v>
      </c>
      <c r="I532" s="670" t="s">
        <v>2262</v>
      </c>
      <c r="J532" s="671">
        <v>46234.0</v>
      </c>
    </row>
    <row r="533">
      <c r="A533" s="670">
        <v>556.0</v>
      </c>
      <c r="B533" s="670" t="s">
        <v>2719</v>
      </c>
      <c r="C533" s="673" t="s">
        <v>2258</v>
      </c>
      <c r="D533" s="670" t="s">
        <v>3275</v>
      </c>
      <c r="E533" s="670" t="s">
        <v>3276</v>
      </c>
      <c r="F533" s="670">
        <v>1000.0</v>
      </c>
      <c r="G533" s="670" t="s">
        <v>43</v>
      </c>
      <c r="H533" s="670" t="s">
        <v>2261</v>
      </c>
      <c r="I533" s="670" t="s">
        <v>2262</v>
      </c>
      <c r="J533" s="671">
        <v>46234.0</v>
      </c>
    </row>
    <row r="534">
      <c r="A534" s="670">
        <v>557.0</v>
      </c>
      <c r="B534" s="670" t="s">
        <v>2559</v>
      </c>
      <c r="C534" s="670" t="s">
        <v>2258</v>
      </c>
      <c r="D534" s="670" t="s">
        <v>3277</v>
      </c>
      <c r="E534" s="670" t="s">
        <v>3278</v>
      </c>
      <c r="F534" s="670">
        <v>10.0</v>
      </c>
      <c r="G534" s="670" t="s">
        <v>22</v>
      </c>
      <c r="H534" s="670" t="s">
        <v>2261</v>
      </c>
      <c r="I534" s="670" t="s">
        <v>2262</v>
      </c>
      <c r="J534" s="671">
        <v>46234.0</v>
      </c>
    </row>
    <row r="535">
      <c r="A535" s="670">
        <v>558.0</v>
      </c>
      <c r="B535" s="670" t="s">
        <v>2719</v>
      </c>
      <c r="C535" s="670" t="s">
        <v>2258</v>
      </c>
      <c r="D535" s="670" t="s">
        <v>3280</v>
      </c>
      <c r="E535" s="670" t="s">
        <v>3281</v>
      </c>
      <c r="F535" s="670">
        <v>850.0</v>
      </c>
      <c r="G535" s="670" t="s">
        <v>43</v>
      </c>
      <c r="H535" s="670" t="s">
        <v>2261</v>
      </c>
      <c r="I535" s="670" t="s">
        <v>2262</v>
      </c>
      <c r="J535" s="671">
        <v>46234.0</v>
      </c>
    </row>
    <row r="536">
      <c r="A536" s="670">
        <v>559.0</v>
      </c>
      <c r="B536" s="670" t="s">
        <v>2257</v>
      </c>
      <c r="C536" s="673" t="s">
        <v>2258</v>
      </c>
      <c r="D536" s="670" t="s">
        <v>3282</v>
      </c>
      <c r="E536" s="670" t="s">
        <v>3283</v>
      </c>
      <c r="F536" s="670">
        <v>60.0</v>
      </c>
      <c r="G536" s="670" t="s">
        <v>824</v>
      </c>
      <c r="H536" s="670" t="s">
        <v>2261</v>
      </c>
      <c r="I536" s="670" t="s">
        <v>2262</v>
      </c>
      <c r="J536" s="671">
        <v>46234.0</v>
      </c>
    </row>
    <row r="537">
      <c r="A537" s="670">
        <v>560.0</v>
      </c>
      <c r="B537" s="670" t="s">
        <v>2257</v>
      </c>
      <c r="C537" s="670" t="s">
        <v>2258</v>
      </c>
      <c r="D537" s="670" t="s">
        <v>3284</v>
      </c>
      <c r="E537" s="670" t="s">
        <v>3286</v>
      </c>
      <c r="F537" s="670">
        <v>684.0</v>
      </c>
      <c r="G537" s="670" t="s">
        <v>249</v>
      </c>
      <c r="H537" s="670" t="s">
        <v>2261</v>
      </c>
      <c r="I537" s="670" t="s">
        <v>2262</v>
      </c>
      <c r="J537" s="671">
        <v>46234.0</v>
      </c>
    </row>
    <row r="538">
      <c r="A538" s="670">
        <v>561.0</v>
      </c>
      <c r="B538" s="670" t="s">
        <v>2257</v>
      </c>
      <c r="C538" s="673" t="s">
        <v>2258</v>
      </c>
      <c r="D538" s="670" t="s">
        <v>3287</v>
      </c>
      <c r="E538" s="670" t="s">
        <v>3288</v>
      </c>
      <c r="F538" s="670">
        <v>626.0</v>
      </c>
      <c r="G538" s="670" t="s">
        <v>249</v>
      </c>
      <c r="H538" s="670" t="s">
        <v>2261</v>
      </c>
      <c r="I538" s="670" t="s">
        <v>2262</v>
      </c>
      <c r="J538" s="671">
        <v>46234.0</v>
      </c>
    </row>
    <row r="539">
      <c r="A539" s="670">
        <v>562.0</v>
      </c>
      <c r="B539" s="670" t="s">
        <v>2257</v>
      </c>
      <c r="C539" s="673" t="s">
        <v>2258</v>
      </c>
      <c r="D539" s="670" t="s">
        <v>3289</v>
      </c>
      <c r="E539" s="670" t="s">
        <v>3290</v>
      </c>
      <c r="F539" s="670">
        <v>675.0</v>
      </c>
      <c r="G539" s="670" t="s">
        <v>249</v>
      </c>
      <c r="H539" s="670" t="s">
        <v>2261</v>
      </c>
      <c r="I539" s="670" t="s">
        <v>2262</v>
      </c>
      <c r="J539" s="671">
        <v>46234.0</v>
      </c>
    </row>
    <row r="540">
      <c r="A540" s="670">
        <v>563.0</v>
      </c>
      <c r="B540" s="670" t="s">
        <v>2257</v>
      </c>
      <c r="C540" s="673" t="s">
        <v>2258</v>
      </c>
      <c r="D540" s="670" t="s">
        <v>3291</v>
      </c>
      <c r="E540" s="670" t="s">
        <v>3292</v>
      </c>
      <c r="F540" s="670">
        <v>617.0</v>
      </c>
      <c r="G540" s="670" t="s">
        <v>249</v>
      </c>
      <c r="H540" s="670" t="s">
        <v>2261</v>
      </c>
      <c r="I540" s="670" t="s">
        <v>2262</v>
      </c>
      <c r="J540" s="671">
        <v>46234.0</v>
      </c>
    </row>
    <row r="541">
      <c r="A541" s="670">
        <v>564.0</v>
      </c>
      <c r="B541" s="670" t="s">
        <v>2257</v>
      </c>
      <c r="C541" s="670" t="s">
        <v>2258</v>
      </c>
      <c r="D541" s="670" t="s">
        <v>3293</v>
      </c>
      <c r="E541" s="670" t="s">
        <v>3294</v>
      </c>
      <c r="F541" s="670">
        <v>918.0</v>
      </c>
      <c r="G541" s="670" t="s">
        <v>249</v>
      </c>
      <c r="H541" s="670" t="s">
        <v>2261</v>
      </c>
      <c r="I541" s="670" t="s">
        <v>2262</v>
      </c>
      <c r="J541" s="671">
        <v>46234.0</v>
      </c>
    </row>
    <row r="542">
      <c r="A542" s="670">
        <v>565.0</v>
      </c>
      <c r="B542" s="670" t="s">
        <v>2257</v>
      </c>
      <c r="C542" s="670" t="s">
        <v>2258</v>
      </c>
      <c r="D542" s="670" t="s">
        <v>3295</v>
      </c>
      <c r="E542" s="670" t="s">
        <v>3296</v>
      </c>
      <c r="F542" s="670">
        <v>860.0</v>
      </c>
      <c r="G542" s="670" t="s">
        <v>249</v>
      </c>
      <c r="H542" s="670" t="s">
        <v>2261</v>
      </c>
      <c r="I542" s="670" t="s">
        <v>2262</v>
      </c>
      <c r="J542" s="671">
        <v>46234.0</v>
      </c>
    </row>
    <row r="543">
      <c r="A543" s="670">
        <v>566.0</v>
      </c>
      <c r="B543" s="670" t="s">
        <v>2257</v>
      </c>
      <c r="C543" s="670" t="s">
        <v>2258</v>
      </c>
      <c r="D543" s="670" t="s">
        <v>3297</v>
      </c>
      <c r="E543" s="670" t="s">
        <v>3298</v>
      </c>
      <c r="F543" s="670">
        <v>816.0</v>
      </c>
      <c r="G543" s="670" t="s">
        <v>249</v>
      </c>
      <c r="H543" s="670" t="s">
        <v>2261</v>
      </c>
      <c r="I543" s="670" t="s">
        <v>2262</v>
      </c>
      <c r="J543" s="671">
        <v>46234.0</v>
      </c>
    </row>
    <row r="544">
      <c r="A544" s="670">
        <v>567.0</v>
      </c>
      <c r="B544" s="670" t="s">
        <v>2257</v>
      </c>
      <c r="C544" s="670" t="s">
        <v>2258</v>
      </c>
      <c r="D544" s="670" t="s">
        <v>3299</v>
      </c>
      <c r="E544" s="670" t="s">
        <v>3300</v>
      </c>
      <c r="F544" s="670">
        <v>758.0</v>
      </c>
      <c r="G544" s="670" t="s">
        <v>249</v>
      </c>
      <c r="H544" s="670" t="s">
        <v>2261</v>
      </c>
      <c r="I544" s="670" t="s">
        <v>2262</v>
      </c>
      <c r="J544" s="671">
        <v>46234.0</v>
      </c>
    </row>
    <row r="545">
      <c r="A545" s="670">
        <v>568.0</v>
      </c>
      <c r="B545" s="670" t="s">
        <v>2257</v>
      </c>
      <c r="C545" s="670" t="s">
        <v>2258</v>
      </c>
      <c r="D545" s="670" t="s">
        <v>3301</v>
      </c>
      <c r="E545" s="670" t="s">
        <v>3302</v>
      </c>
      <c r="F545" s="670">
        <v>789.0</v>
      </c>
      <c r="G545" s="670" t="s">
        <v>249</v>
      </c>
      <c r="H545" s="670" t="s">
        <v>2261</v>
      </c>
      <c r="I545" s="670" t="s">
        <v>2262</v>
      </c>
      <c r="J545" s="671">
        <v>46234.0</v>
      </c>
    </row>
    <row r="546">
      <c r="A546" s="670">
        <v>569.0</v>
      </c>
      <c r="B546" s="670" t="s">
        <v>2257</v>
      </c>
      <c r="C546" s="673" t="s">
        <v>2258</v>
      </c>
      <c r="D546" s="670" t="s">
        <v>3303</v>
      </c>
      <c r="E546" s="670" t="s">
        <v>3304</v>
      </c>
      <c r="F546" s="670">
        <v>730.0</v>
      </c>
      <c r="G546" s="670" t="s">
        <v>249</v>
      </c>
      <c r="H546" s="670" t="s">
        <v>2261</v>
      </c>
      <c r="I546" s="670" t="s">
        <v>2262</v>
      </c>
      <c r="J546" s="671">
        <v>46234.0</v>
      </c>
    </row>
    <row r="547">
      <c r="A547" s="670">
        <v>570.0</v>
      </c>
      <c r="B547" s="670" t="s">
        <v>2257</v>
      </c>
      <c r="C547" s="673" t="s">
        <v>2258</v>
      </c>
      <c r="D547" s="670" t="s">
        <v>3305</v>
      </c>
      <c r="E547" s="670" t="s">
        <v>3306</v>
      </c>
      <c r="F547" s="670">
        <v>664.0</v>
      </c>
      <c r="G547" s="670" t="s">
        <v>249</v>
      </c>
      <c r="H547" s="670" t="s">
        <v>2261</v>
      </c>
      <c r="I547" s="670" t="s">
        <v>2262</v>
      </c>
      <c r="J547" s="671">
        <v>46234.0</v>
      </c>
    </row>
    <row r="548">
      <c r="A548" s="670">
        <v>571.0</v>
      </c>
      <c r="B548" s="670" t="s">
        <v>2257</v>
      </c>
      <c r="C548" s="673" t="s">
        <v>2258</v>
      </c>
      <c r="D548" s="670" t="s">
        <v>3307</v>
      </c>
      <c r="E548" s="670" t="s">
        <v>3308</v>
      </c>
      <c r="F548" s="670">
        <v>605.0</v>
      </c>
      <c r="G548" s="670" t="s">
        <v>249</v>
      </c>
      <c r="H548" s="670" t="s">
        <v>2261</v>
      </c>
      <c r="I548" s="670" t="s">
        <v>2262</v>
      </c>
      <c r="J548" s="671">
        <v>46234.0</v>
      </c>
    </row>
    <row r="549">
      <c r="A549" s="670">
        <v>572.0</v>
      </c>
      <c r="B549" s="670" t="s">
        <v>2257</v>
      </c>
      <c r="C549" s="670" t="s">
        <v>2258</v>
      </c>
      <c r="D549" s="670" t="s">
        <v>3309</v>
      </c>
      <c r="E549" s="670" t="s">
        <v>3310</v>
      </c>
      <c r="F549" s="670">
        <v>809.0</v>
      </c>
      <c r="G549" s="670" t="s">
        <v>249</v>
      </c>
      <c r="H549" s="670" t="s">
        <v>2572</v>
      </c>
      <c r="I549" s="670" t="s">
        <v>2573</v>
      </c>
      <c r="J549" s="671">
        <v>46234.0</v>
      </c>
    </row>
    <row r="550">
      <c r="A550" s="670">
        <v>573.0</v>
      </c>
      <c r="B550" s="670" t="s">
        <v>2257</v>
      </c>
      <c r="C550" s="673" t="s">
        <v>2258</v>
      </c>
      <c r="D550" s="670" t="s">
        <v>3311</v>
      </c>
      <c r="E550" s="670" t="s">
        <v>3312</v>
      </c>
      <c r="F550" s="670">
        <v>750.0</v>
      </c>
      <c r="G550" s="670" t="s">
        <v>249</v>
      </c>
      <c r="H550" s="670" t="s">
        <v>2261</v>
      </c>
      <c r="I550" s="670" t="s">
        <v>2262</v>
      </c>
      <c r="J550" s="671">
        <v>46234.0</v>
      </c>
    </row>
    <row r="551">
      <c r="A551" s="670">
        <v>574.0</v>
      </c>
      <c r="B551" s="670" t="s">
        <v>2257</v>
      </c>
      <c r="C551" s="673" t="s">
        <v>2258</v>
      </c>
      <c r="D551" s="670" t="s">
        <v>3313</v>
      </c>
      <c r="E551" s="670" t="s">
        <v>3314</v>
      </c>
      <c r="F551" s="670">
        <v>708.0</v>
      </c>
      <c r="G551" s="670" t="s">
        <v>249</v>
      </c>
      <c r="H551" s="670" t="s">
        <v>2261</v>
      </c>
      <c r="I551" s="670" t="s">
        <v>2262</v>
      </c>
      <c r="J551" s="671">
        <v>46234.0</v>
      </c>
    </row>
    <row r="552">
      <c r="A552" s="670">
        <v>575.0</v>
      </c>
      <c r="B552" s="670" t="s">
        <v>2257</v>
      </c>
      <c r="C552" s="673" t="s">
        <v>2258</v>
      </c>
      <c r="D552" s="670" t="s">
        <v>3315</v>
      </c>
      <c r="E552" s="670" t="s">
        <v>3316</v>
      </c>
      <c r="F552" s="670">
        <v>649.0</v>
      </c>
      <c r="G552" s="670" t="s">
        <v>249</v>
      </c>
      <c r="H552" s="670" t="s">
        <v>2261</v>
      </c>
      <c r="I552" s="670" t="s">
        <v>2262</v>
      </c>
      <c r="J552" s="671">
        <v>46234.0</v>
      </c>
    </row>
    <row r="553">
      <c r="A553" s="670">
        <v>576.0</v>
      </c>
      <c r="B553" s="670" t="s">
        <v>2257</v>
      </c>
      <c r="C553" s="673" t="s">
        <v>2258</v>
      </c>
      <c r="D553" s="670" t="s">
        <v>3317</v>
      </c>
      <c r="E553" s="670" t="s">
        <v>3318</v>
      </c>
      <c r="F553" s="670">
        <v>676.0</v>
      </c>
      <c r="G553" s="670" t="s">
        <v>249</v>
      </c>
      <c r="H553" s="670" t="s">
        <v>2261</v>
      </c>
      <c r="I553" s="670" t="s">
        <v>2262</v>
      </c>
      <c r="J553" s="671">
        <v>46234.0</v>
      </c>
    </row>
    <row r="554">
      <c r="A554" s="670">
        <v>577.0</v>
      </c>
      <c r="B554" s="670" t="s">
        <v>2257</v>
      </c>
      <c r="C554" s="673" t="s">
        <v>2258</v>
      </c>
      <c r="D554" s="670" t="s">
        <v>3319</v>
      </c>
      <c r="E554" s="670" t="s">
        <v>3320</v>
      </c>
      <c r="F554" s="670">
        <v>617.0</v>
      </c>
      <c r="G554" s="670" t="s">
        <v>249</v>
      </c>
      <c r="H554" s="670" t="s">
        <v>2261</v>
      </c>
      <c r="I554" s="670" t="s">
        <v>2262</v>
      </c>
      <c r="J554" s="671">
        <v>46234.0</v>
      </c>
    </row>
    <row r="555">
      <c r="A555" s="670">
        <v>578.0</v>
      </c>
      <c r="B555" s="670" t="s">
        <v>2559</v>
      </c>
      <c r="C555" s="673" t="s">
        <v>2258</v>
      </c>
      <c r="D555" s="670" t="s">
        <v>3321</v>
      </c>
      <c r="E555" s="670" t="s">
        <v>3322</v>
      </c>
      <c r="F555" s="670">
        <v>9207.0</v>
      </c>
      <c r="G555" s="670" t="s">
        <v>27</v>
      </c>
      <c r="H555" s="670" t="s">
        <v>2261</v>
      </c>
      <c r="I555" s="670" t="s">
        <v>2262</v>
      </c>
      <c r="J555" s="671">
        <v>46234.0</v>
      </c>
    </row>
    <row r="556">
      <c r="A556" s="670">
        <v>579.0</v>
      </c>
      <c r="B556" s="670" t="s">
        <v>2559</v>
      </c>
      <c r="C556" s="673" t="s">
        <v>2258</v>
      </c>
      <c r="D556" s="670" t="s">
        <v>3323</v>
      </c>
      <c r="E556" s="670" t="s">
        <v>3324</v>
      </c>
      <c r="F556" s="670">
        <v>4603.0</v>
      </c>
      <c r="G556" s="670" t="s">
        <v>27</v>
      </c>
      <c r="H556" s="670" t="s">
        <v>2261</v>
      </c>
      <c r="I556" s="670" t="s">
        <v>2262</v>
      </c>
      <c r="J556" s="671">
        <v>46234.0</v>
      </c>
    </row>
    <row r="557">
      <c r="A557" s="670">
        <v>580.0</v>
      </c>
      <c r="B557" s="670" t="s">
        <v>2559</v>
      </c>
      <c r="C557" s="673" t="s">
        <v>2258</v>
      </c>
      <c r="D557" s="670" t="s">
        <v>3325</v>
      </c>
      <c r="E557" s="670" t="s">
        <v>3326</v>
      </c>
      <c r="F557" s="670">
        <v>12000.0</v>
      </c>
      <c r="G557" s="670" t="s">
        <v>27</v>
      </c>
      <c r="H557" s="670" t="s">
        <v>2261</v>
      </c>
      <c r="I557" s="670" t="s">
        <v>2262</v>
      </c>
      <c r="J557" s="671">
        <v>46234.0</v>
      </c>
    </row>
    <row r="558">
      <c r="A558" s="670">
        <v>581.0</v>
      </c>
      <c r="B558" s="670" t="s">
        <v>2559</v>
      </c>
      <c r="C558" s="673" t="s">
        <v>2258</v>
      </c>
      <c r="D558" s="670" t="s">
        <v>3327</v>
      </c>
      <c r="E558" s="670" t="s">
        <v>3328</v>
      </c>
      <c r="F558" s="670">
        <v>2.0</v>
      </c>
      <c r="G558" s="670" t="s">
        <v>824</v>
      </c>
      <c r="H558" s="670" t="s">
        <v>2261</v>
      </c>
      <c r="I558" s="670" t="s">
        <v>2262</v>
      </c>
      <c r="J558" s="671">
        <v>46234.0</v>
      </c>
    </row>
    <row r="559">
      <c r="A559" s="670">
        <v>582.0</v>
      </c>
      <c r="B559" s="670" t="s">
        <v>2559</v>
      </c>
      <c r="C559" s="673" t="s">
        <v>2258</v>
      </c>
      <c r="D559" s="670" t="s">
        <v>3329</v>
      </c>
      <c r="E559" s="670" t="s">
        <v>3330</v>
      </c>
      <c r="F559" s="670">
        <v>28330.0</v>
      </c>
      <c r="G559" s="670" t="s">
        <v>27</v>
      </c>
      <c r="H559" s="670" t="s">
        <v>2261</v>
      </c>
      <c r="I559" s="670" t="s">
        <v>2262</v>
      </c>
      <c r="J559" s="671">
        <v>46234.0</v>
      </c>
    </row>
    <row r="560">
      <c r="A560" s="670">
        <v>583.0</v>
      </c>
      <c r="B560" s="670" t="s">
        <v>2559</v>
      </c>
      <c r="C560" s="670" t="s">
        <v>2258</v>
      </c>
      <c r="D560" s="670" t="s">
        <v>3331</v>
      </c>
      <c r="E560" s="670" t="s">
        <v>3332</v>
      </c>
      <c r="F560" s="670">
        <v>7082.0</v>
      </c>
      <c r="G560" s="670" t="s">
        <v>27</v>
      </c>
      <c r="H560" s="670" t="s">
        <v>2261</v>
      </c>
      <c r="I560" s="670" t="s">
        <v>2262</v>
      </c>
      <c r="J560" s="671">
        <v>46234.0</v>
      </c>
    </row>
    <row r="561">
      <c r="A561" s="670">
        <v>584.0</v>
      </c>
      <c r="B561" s="670" t="s">
        <v>2719</v>
      </c>
      <c r="C561" s="670" t="s">
        <v>2258</v>
      </c>
      <c r="D561" s="670" t="s">
        <v>3333</v>
      </c>
      <c r="E561" s="670" t="s">
        <v>3334</v>
      </c>
      <c r="F561" s="670">
        <v>11050.0</v>
      </c>
      <c r="G561" s="670" t="s">
        <v>27</v>
      </c>
      <c r="H561" s="670" t="s">
        <v>2261</v>
      </c>
      <c r="I561" s="670" t="s">
        <v>2262</v>
      </c>
      <c r="J561" s="671">
        <v>46234.0</v>
      </c>
    </row>
    <row r="562">
      <c r="A562" s="670">
        <v>585.0</v>
      </c>
      <c r="B562" s="670" t="s">
        <v>2559</v>
      </c>
      <c r="C562" s="670" t="s">
        <v>2258</v>
      </c>
      <c r="D562" s="670" t="s">
        <v>3335</v>
      </c>
      <c r="E562" s="670" t="s">
        <v>3336</v>
      </c>
      <c r="F562" s="670">
        <v>15.0</v>
      </c>
      <c r="G562" s="670" t="s">
        <v>824</v>
      </c>
      <c r="H562" s="670" t="s">
        <v>2261</v>
      </c>
      <c r="I562" s="670" t="s">
        <v>2262</v>
      </c>
      <c r="J562" s="671">
        <v>46234.0</v>
      </c>
    </row>
    <row r="563">
      <c r="A563" s="670">
        <v>586.0</v>
      </c>
      <c r="B563" s="670" t="s">
        <v>2559</v>
      </c>
      <c r="C563" s="670" t="s">
        <v>2258</v>
      </c>
      <c r="D563" s="670" t="s">
        <v>3337</v>
      </c>
      <c r="E563" s="670" t="s">
        <v>3338</v>
      </c>
      <c r="F563" s="670">
        <v>70825.0</v>
      </c>
      <c r="G563" s="670" t="s">
        <v>27</v>
      </c>
      <c r="H563" s="670" t="s">
        <v>2261</v>
      </c>
      <c r="I563" s="670" t="s">
        <v>2262</v>
      </c>
      <c r="J563" s="671">
        <v>46234.0</v>
      </c>
    </row>
    <row r="564">
      <c r="A564" s="670">
        <v>587.0</v>
      </c>
      <c r="B564" s="670" t="s">
        <v>2559</v>
      </c>
      <c r="C564" s="670" t="s">
        <v>2258</v>
      </c>
      <c r="D564" s="670" t="s">
        <v>3339</v>
      </c>
      <c r="E564" s="670" t="s">
        <v>3340</v>
      </c>
      <c r="F564" s="670">
        <v>10623.0</v>
      </c>
      <c r="G564" s="670" t="s">
        <v>27</v>
      </c>
      <c r="H564" s="670" t="s">
        <v>2261</v>
      </c>
      <c r="I564" s="670" t="s">
        <v>2262</v>
      </c>
      <c r="J564" s="671">
        <v>46234.0</v>
      </c>
    </row>
    <row r="565">
      <c r="A565" s="670">
        <v>588.0</v>
      </c>
      <c r="B565" s="670" t="s">
        <v>2719</v>
      </c>
      <c r="C565" s="670" t="s">
        <v>2258</v>
      </c>
      <c r="D565" s="670" t="s">
        <v>3341</v>
      </c>
      <c r="E565" s="670" t="s">
        <v>3342</v>
      </c>
      <c r="F565" s="670">
        <v>16575.0</v>
      </c>
      <c r="G565" s="670" t="s">
        <v>27</v>
      </c>
      <c r="H565" s="670" t="s">
        <v>2261</v>
      </c>
      <c r="I565" s="670" t="s">
        <v>2262</v>
      </c>
      <c r="J565" s="671">
        <v>46234.0</v>
      </c>
    </row>
    <row r="566">
      <c r="A566" s="670">
        <v>589.0</v>
      </c>
      <c r="B566" s="670" t="s">
        <v>2559</v>
      </c>
      <c r="C566" s="670" t="s">
        <v>2258</v>
      </c>
      <c r="D566" s="670" t="s">
        <v>3343</v>
      </c>
      <c r="E566" s="670" t="s">
        <v>3344</v>
      </c>
      <c r="F566" s="670">
        <v>169980.0</v>
      </c>
      <c r="G566" s="670" t="s">
        <v>27</v>
      </c>
      <c r="H566" s="670" t="s">
        <v>2261</v>
      </c>
      <c r="I566" s="670" t="s">
        <v>2262</v>
      </c>
      <c r="J566" s="671">
        <v>46234.0</v>
      </c>
    </row>
    <row r="567">
      <c r="A567" s="670">
        <v>590.0</v>
      </c>
      <c r="B567" s="670" t="s">
        <v>2559</v>
      </c>
      <c r="C567" s="670" t="s">
        <v>2258</v>
      </c>
      <c r="D567" s="670" t="s">
        <v>3345</v>
      </c>
      <c r="E567" s="670" t="s">
        <v>3346</v>
      </c>
      <c r="F567" s="670">
        <v>20397.0</v>
      </c>
      <c r="G567" s="670" t="s">
        <v>27</v>
      </c>
      <c r="H567" s="670" t="s">
        <v>2261</v>
      </c>
      <c r="I567" s="670" t="s">
        <v>2262</v>
      </c>
      <c r="J567" s="671">
        <v>46234.0</v>
      </c>
    </row>
    <row r="568">
      <c r="A568" s="670">
        <v>591.0</v>
      </c>
      <c r="B568" s="670" t="s">
        <v>2719</v>
      </c>
      <c r="C568" s="670" t="s">
        <v>2258</v>
      </c>
      <c r="D568" s="670" t="s">
        <v>3347</v>
      </c>
      <c r="E568" s="670" t="s">
        <v>3348</v>
      </c>
      <c r="F568" s="670">
        <v>22100.0</v>
      </c>
      <c r="G568" s="670" t="s">
        <v>27</v>
      </c>
      <c r="H568" s="670" t="s">
        <v>2261</v>
      </c>
      <c r="I568" s="670" t="s">
        <v>2262</v>
      </c>
      <c r="J568" s="671">
        <v>46234.0</v>
      </c>
    </row>
    <row r="569">
      <c r="A569" s="670">
        <v>592.0</v>
      </c>
      <c r="B569" s="670" t="s">
        <v>2559</v>
      </c>
      <c r="C569" s="670" t="s">
        <v>2258</v>
      </c>
      <c r="D569" s="670" t="s">
        <v>3349</v>
      </c>
      <c r="E569" s="670" t="s">
        <v>3350</v>
      </c>
      <c r="F569" s="670">
        <v>4500.0</v>
      </c>
      <c r="G569" s="670" t="s">
        <v>27</v>
      </c>
      <c r="H569" s="670" t="s">
        <v>2261</v>
      </c>
      <c r="I569" s="670" t="s">
        <v>2262</v>
      </c>
      <c r="J569" s="671">
        <v>46234.0</v>
      </c>
    </row>
    <row r="570">
      <c r="A570" s="670">
        <v>593.0</v>
      </c>
      <c r="B570" s="670" t="s">
        <v>2559</v>
      </c>
      <c r="C570" s="670" t="s">
        <v>2258</v>
      </c>
      <c r="D570" s="670" t="s">
        <v>3351</v>
      </c>
      <c r="E570" s="670" t="s">
        <v>3352</v>
      </c>
      <c r="F570" s="670">
        <v>21247.0</v>
      </c>
      <c r="G570" s="670" t="s">
        <v>27</v>
      </c>
      <c r="H570" s="670" t="s">
        <v>2261</v>
      </c>
      <c r="I570" s="670" t="s">
        <v>2262</v>
      </c>
      <c r="J570" s="671">
        <v>46234.0</v>
      </c>
    </row>
    <row r="571">
      <c r="A571" s="670">
        <v>594.0</v>
      </c>
      <c r="B571" s="670" t="s">
        <v>2257</v>
      </c>
      <c r="C571" s="670" t="s">
        <v>2258</v>
      </c>
      <c r="D571" s="670" t="s">
        <v>3353</v>
      </c>
      <c r="E571" s="670" t="s">
        <v>3354</v>
      </c>
      <c r="F571" s="670">
        <v>20000.0</v>
      </c>
      <c r="G571" s="670" t="s">
        <v>43</v>
      </c>
      <c r="H571" s="670" t="s">
        <v>2261</v>
      </c>
      <c r="I571" s="670" t="s">
        <v>2262</v>
      </c>
      <c r="J571" s="671">
        <v>46234.0</v>
      </c>
    </row>
    <row r="572">
      <c r="A572" s="670">
        <v>595.0</v>
      </c>
      <c r="B572" s="670" t="s">
        <v>2559</v>
      </c>
      <c r="C572" s="670" t="s">
        <v>2258</v>
      </c>
      <c r="D572" s="670" t="s">
        <v>3355</v>
      </c>
      <c r="E572" s="670" t="s">
        <v>3356</v>
      </c>
      <c r="F572" s="670">
        <v>27.0</v>
      </c>
      <c r="G572" s="670" t="s">
        <v>43</v>
      </c>
      <c r="H572" s="670" t="s">
        <v>2261</v>
      </c>
      <c r="I572" s="670" t="s">
        <v>2262</v>
      </c>
      <c r="J572" s="671">
        <v>46234.0</v>
      </c>
    </row>
    <row r="573">
      <c r="A573" s="670">
        <v>596.0</v>
      </c>
      <c r="B573" s="670" t="s">
        <v>2257</v>
      </c>
      <c r="C573" s="670" t="s">
        <v>2258</v>
      </c>
      <c r="D573" s="670" t="s">
        <v>239</v>
      </c>
      <c r="E573" s="670" t="s">
        <v>3357</v>
      </c>
      <c r="F573" s="670">
        <v>675.0</v>
      </c>
      <c r="G573" s="670" t="s">
        <v>242</v>
      </c>
      <c r="H573" s="670" t="s">
        <v>2261</v>
      </c>
      <c r="I573" s="670" t="s">
        <v>2262</v>
      </c>
      <c r="J573" s="671">
        <v>46234.0</v>
      </c>
    </row>
    <row r="574">
      <c r="A574" s="670">
        <v>597.0</v>
      </c>
      <c r="B574" s="670" t="s">
        <v>2257</v>
      </c>
      <c r="C574" s="670" t="s">
        <v>2258</v>
      </c>
      <c r="D574" s="670" t="s">
        <v>3358</v>
      </c>
      <c r="E574" s="670" t="s">
        <v>3359</v>
      </c>
      <c r="F574" s="670">
        <v>47000.0</v>
      </c>
      <c r="G574" s="670" t="s">
        <v>43</v>
      </c>
      <c r="H574" s="670" t="s">
        <v>2261</v>
      </c>
      <c r="I574" s="670" t="s">
        <v>2262</v>
      </c>
      <c r="J574" s="671">
        <v>46234.0</v>
      </c>
    </row>
    <row r="575">
      <c r="A575" s="670">
        <v>598.0</v>
      </c>
      <c r="B575" s="670" t="s">
        <v>2257</v>
      </c>
      <c r="C575" s="670" t="s">
        <v>2258</v>
      </c>
      <c r="D575" s="670" t="s">
        <v>3360</v>
      </c>
      <c r="E575" s="670" t="s">
        <v>3361</v>
      </c>
      <c r="F575" s="670">
        <v>65000.0</v>
      </c>
      <c r="G575" s="670" t="s">
        <v>43</v>
      </c>
      <c r="H575" s="670" t="s">
        <v>2261</v>
      </c>
      <c r="I575" s="670" t="s">
        <v>2262</v>
      </c>
      <c r="J575" s="671">
        <v>46234.0</v>
      </c>
    </row>
    <row r="576">
      <c r="A576" s="670">
        <v>599.0</v>
      </c>
      <c r="B576" s="670" t="s">
        <v>2257</v>
      </c>
      <c r="C576" s="670" t="s">
        <v>2258</v>
      </c>
      <c r="D576" s="670" t="s">
        <v>3362</v>
      </c>
      <c r="E576" s="670" t="s">
        <v>3363</v>
      </c>
      <c r="F576" s="670">
        <v>4500.0</v>
      </c>
      <c r="G576" s="670" t="s">
        <v>43</v>
      </c>
      <c r="H576" s="670" t="s">
        <v>2261</v>
      </c>
      <c r="I576" s="670" t="s">
        <v>2262</v>
      </c>
      <c r="J576" s="671">
        <v>46234.0</v>
      </c>
    </row>
    <row r="577">
      <c r="A577" s="670">
        <v>600.0</v>
      </c>
      <c r="B577" s="670" t="s">
        <v>2559</v>
      </c>
      <c r="C577" s="670" t="s">
        <v>2258</v>
      </c>
      <c r="D577" s="670" t="s">
        <v>3365</v>
      </c>
      <c r="E577" s="670" t="s">
        <v>3366</v>
      </c>
      <c r="F577" s="670">
        <v>578.0</v>
      </c>
      <c r="G577" s="670" t="s">
        <v>2442</v>
      </c>
      <c r="H577" s="670" t="s">
        <v>2261</v>
      </c>
      <c r="I577" s="670" t="s">
        <v>2262</v>
      </c>
      <c r="J577" s="671">
        <v>46234.0</v>
      </c>
    </row>
    <row r="578">
      <c r="A578" s="670">
        <v>602.0</v>
      </c>
      <c r="B578" s="670" t="s">
        <v>2559</v>
      </c>
      <c r="C578" s="670" t="s">
        <v>2258</v>
      </c>
      <c r="D578" s="670" t="s">
        <v>3367</v>
      </c>
      <c r="E578" s="670" t="s">
        <v>3368</v>
      </c>
      <c r="F578" s="670">
        <v>1451.0</v>
      </c>
      <c r="G578" s="670" t="s">
        <v>2442</v>
      </c>
      <c r="H578" s="670" t="s">
        <v>2261</v>
      </c>
      <c r="I578" s="670" t="s">
        <v>2262</v>
      </c>
      <c r="J578" s="671">
        <v>46234.0</v>
      </c>
    </row>
    <row r="579">
      <c r="A579" s="670">
        <v>603.0</v>
      </c>
      <c r="B579" s="670" t="s">
        <v>2559</v>
      </c>
      <c r="C579" s="673" t="s">
        <v>2258</v>
      </c>
      <c r="D579" s="670" t="s">
        <v>3369</v>
      </c>
      <c r="E579" s="670" t="s">
        <v>3370</v>
      </c>
      <c r="F579" s="670">
        <v>483.0</v>
      </c>
      <c r="G579" s="670" t="s">
        <v>2442</v>
      </c>
      <c r="H579" s="670" t="s">
        <v>2261</v>
      </c>
      <c r="I579" s="670" t="s">
        <v>2262</v>
      </c>
      <c r="J579" s="671">
        <v>46234.0</v>
      </c>
    </row>
    <row r="580">
      <c r="A580" s="670">
        <v>604.0</v>
      </c>
      <c r="B580" s="670" t="s">
        <v>2559</v>
      </c>
      <c r="C580" s="673" t="s">
        <v>2258</v>
      </c>
      <c r="D580" s="670" t="s">
        <v>3372</v>
      </c>
      <c r="E580" s="670" t="s">
        <v>3373</v>
      </c>
      <c r="F580" s="670">
        <v>327.0</v>
      </c>
      <c r="G580" s="670" t="s">
        <v>2442</v>
      </c>
      <c r="H580" s="670" t="s">
        <v>2261</v>
      </c>
      <c r="I580" s="670" t="s">
        <v>2262</v>
      </c>
      <c r="J580" s="671">
        <v>46234.0</v>
      </c>
    </row>
    <row r="581">
      <c r="A581" s="670">
        <v>605.0</v>
      </c>
      <c r="B581" s="670" t="s">
        <v>2257</v>
      </c>
      <c r="C581" s="673" t="s">
        <v>2258</v>
      </c>
      <c r="D581" s="670" t="s">
        <v>3374</v>
      </c>
      <c r="E581" s="670" t="s">
        <v>3375</v>
      </c>
      <c r="F581" s="670">
        <v>120.0</v>
      </c>
      <c r="G581" s="670" t="s">
        <v>43</v>
      </c>
      <c r="H581" s="670" t="s">
        <v>2261</v>
      </c>
      <c r="I581" s="670" t="s">
        <v>2262</v>
      </c>
      <c r="J581" s="671">
        <v>46234.0</v>
      </c>
    </row>
    <row r="582">
      <c r="A582" s="670">
        <v>606.0</v>
      </c>
      <c r="B582" s="670" t="s">
        <v>2559</v>
      </c>
      <c r="C582" s="673" t="s">
        <v>2258</v>
      </c>
      <c r="D582" s="670" t="s">
        <v>3376</v>
      </c>
      <c r="E582" s="670" t="s">
        <v>3378</v>
      </c>
      <c r="F582" s="670">
        <v>259.0</v>
      </c>
      <c r="G582" s="670" t="s">
        <v>2442</v>
      </c>
      <c r="H582" s="670" t="s">
        <v>2261</v>
      </c>
      <c r="I582" s="670" t="s">
        <v>2262</v>
      </c>
      <c r="J582" s="671">
        <v>46234.0</v>
      </c>
    </row>
    <row r="583">
      <c r="A583" s="670">
        <v>607.0</v>
      </c>
      <c r="B583" s="670" t="s">
        <v>2257</v>
      </c>
      <c r="C583" s="673" t="s">
        <v>2258</v>
      </c>
      <c r="D583" s="670" t="s">
        <v>3379</v>
      </c>
      <c r="E583" s="670" t="s">
        <v>3380</v>
      </c>
      <c r="F583" s="670">
        <v>5425.0</v>
      </c>
      <c r="G583" s="670" t="s">
        <v>305</v>
      </c>
      <c r="H583" s="670" t="s">
        <v>2261</v>
      </c>
      <c r="I583" s="670" t="s">
        <v>2262</v>
      </c>
      <c r="J583" s="671">
        <v>46234.0</v>
      </c>
    </row>
    <row r="584">
      <c r="A584" s="670">
        <v>608.0</v>
      </c>
      <c r="B584" s="670" t="s">
        <v>2559</v>
      </c>
      <c r="C584" s="673" t="s">
        <v>2258</v>
      </c>
      <c r="D584" s="670" t="s">
        <v>3381</v>
      </c>
      <c r="E584" s="670" t="s">
        <v>3382</v>
      </c>
      <c r="F584" s="670">
        <v>774.0</v>
      </c>
      <c r="G584" s="670" t="s">
        <v>2442</v>
      </c>
      <c r="H584" s="670" t="s">
        <v>2261</v>
      </c>
      <c r="I584" s="670" t="s">
        <v>2262</v>
      </c>
      <c r="J584" s="671">
        <v>46234.0</v>
      </c>
    </row>
    <row r="585">
      <c r="A585" s="670">
        <v>609.0</v>
      </c>
      <c r="B585" s="670" t="s">
        <v>2559</v>
      </c>
      <c r="C585" s="673" t="s">
        <v>2258</v>
      </c>
      <c r="D585" s="670" t="s">
        <v>3383</v>
      </c>
      <c r="E585" s="670" t="s">
        <v>3384</v>
      </c>
      <c r="F585" s="670">
        <v>1226.0</v>
      </c>
      <c r="G585" s="670" t="s">
        <v>2442</v>
      </c>
      <c r="H585" s="670" t="s">
        <v>2261</v>
      </c>
      <c r="I585" s="670" t="s">
        <v>2262</v>
      </c>
      <c r="J585" s="671">
        <v>46234.0</v>
      </c>
    </row>
    <row r="586">
      <c r="A586" s="670">
        <v>616.0</v>
      </c>
      <c r="B586" s="670" t="s">
        <v>2257</v>
      </c>
      <c r="C586" s="673" t="s">
        <v>2258</v>
      </c>
      <c r="D586" s="670" t="s">
        <v>3385</v>
      </c>
      <c r="E586" s="670" t="s">
        <v>3386</v>
      </c>
      <c r="F586" s="670">
        <v>260.0</v>
      </c>
      <c r="G586" s="670" t="s">
        <v>759</v>
      </c>
      <c r="H586" s="670" t="s">
        <v>2261</v>
      </c>
      <c r="I586" s="670" t="s">
        <v>2262</v>
      </c>
      <c r="J586" s="671">
        <v>46234.0</v>
      </c>
    </row>
    <row r="587">
      <c r="A587" s="670">
        <v>617.0</v>
      </c>
      <c r="B587" s="670" t="s">
        <v>2257</v>
      </c>
      <c r="C587" s="673" t="s">
        <v>2258</v>
      </c>
      <c r="D587" s="670" t="s">
        <v>3387</v>
      </c>
      <c r="E587" s="670" t="s">
        <v>3388</v>
      </c>
      <c r="F587" s="670">
        <v>65.0</v>
      </c>
      <c r="G587" s="670" t="s">
        <v>759</v>
      </c>
      <c r="H587" s="670" t="s">
        <v>2261</v>
      </c>
      <c r="I587" s="670" t="s">
        <v>2262</v>
      </c>
      <c r="J587" s="671">
        <v>46234.0</v>
      </c>
    </row>
    <row r="588">
      <c r="A588" s="670">
        <v>618.0</v>
      </c>
      <c r="B588" s="670" t="s">
        <v>2257</v>
      </c>
      <c r="C588" s="673" t="s">
        <v>2258</v>
      </c>
      <c r="D588" s="670" t="s">
        <v>3389</v>
      </c>
      <c r="E588" s="670" t="s">
        <v>3390</v>
      </c>
      <c r="F588" s="670">
        <v>130.0</v>
      </c>
      <c r="G588" s="670" t="s">
        <v>759</v>
      </c>
      <c r="H588" s="670" t="s">
        <v>2261</v>
      </c>
      <c r="I588" s="670" t="s">
        <v>2262</v>
      </c>
      <c r="J588" s="671">
        <v>46234.0</v>
      </c>
    </row>
    <row r="589">
      <c r="A589" s="670">
        <v>619.0</v>
      </c>
      <c r="B589" s="670" t="s">
        <v>2257</v>
      </c>
      <c r="C589" s="673" t="s">
        <v>2258</v>
      </c>
      <c r="D589" s="670" t="s">
        <v>3391</v>
      </c>
      <c r="E589" s="670" t="s">
        <v>3392</v>
      </c>
      <c r="F589" s="670">
        <v>111.0</v>
      </c>
      <c r="G589" s="670" t="s">
        <v>759</v>
      </c>
      <c r="H589" s="670" t="s">
        <v>2261</v>
      </c>
      <c r="I589" s="670" t="s">
        <v>2262</v>
      </c>
      <c r="J589" s="671">
        <v>46234.0</v>
      </c>
    </row>
    <row r="590">
      <c r="A590" s="670">
        <v>620.0</v>
      </c>
      <c r="B590" s="670" t="s">
        <v>2257</v>
      </c>
      <c r="C590" s="673" t="s">
        <v>2258</v>
      </c>
      <c r="D590" s="670" t="s">
        <v>3393</v>
      </c>
      <c r="E590" s="670" t="s">
        <v>3394</v>
      </c>
      <c r="F590" s="670">
        <v>207.0</v>
      </c>
      <c r="G590" s="670" t="s">
        <v>759</v>
      </c>
      <c r="H590" s="670" t="s">
        <v>2261</v>
      </c>
      <c r="I590" s="670" t="s">
        <v>2262</v>
      </c>
      <c r="J590" s="671">
        <v>46234.0</v>
      </c>
    </row>
    <row r="591">
      <c r="A591" s="670">
        <v>621.0</v>
      </c>
      <c r="B591" s="670" t="s">
        <v>2257</v>
      </c>
      <c r="C591" s="673" t="s">
        <v>2258</v>
      </c>
      <c r="D591" s="670" t="s">
        <v>3395</v>
      </c>
      <c r="E591" s="670" t="s">
        <v>3396</v>
      </c>
      <c r="F591" s="670">
        <v>7287.0</v>
      </c>
      <c r="G591" s="670" t="s">
        <v>1117</v>
      </c>
      <c r="H591" s="670" t="s">
        <v>2261</v>
      </c>
      <c r="I591" s="670" t="s">
        <v>2262</v>
      </c>
      <c r="J591" s="671">
        <v>46234.0</v>
      </c>
    </row>
    <row r="592">
      <c r="A592" s="670">
        <v>622.0</v>
      </c>
      <c r="B592" s="670" t="s">
        <v>2257</v>
      </c>
      <c r="C592" s="673" t="s">
        <v>2258</v>
      </c>
      <c r="D592" s="670" t="s">
        <v>3397</v>
      </c>
      <c r="E592" s="670" t="s">
        <v>3398</v>
      </c>
      <c r="F592" s="670">
        <v>8163.0</v>
      </c>
      <c r="G592" s="670" t="s">
        <v>1117</v>
      </c>
      <c r="H592" s="670" t="s">
        <v>2261</v>
      </c>
      <c r="I592" s="670" t="s">
        <v>2262</v>
      </c>
      <c r="J592" s="671">
        <v>46234.0</v>
      </c>
    </row>
    <row r="593">
      <c r="A593" s="670">
        <v>623.0</v>
      </c>
      <c r="B593" s="670" t="s">
        <v>2257</v>
      </c>
      <c r="C593" s="673" t="s">
        <v>2258</v>
      </c>
      <c r="D593" s="670" t="s">
        <v>3399</v>
      </c>
      <c r="E593" s="670" t="s">
        <v>3400</v>
      </c>
      <c r="F593" s="670">
        <v>9498.0</v>
      </c>
      <c r="G593" s="670" t="s">
        <v>1117</v>
      </c>
      <c r="H593" s="670" t="s">
        <v>2261</v>
      </c>
      <c r="I593" s="670" t="s">
        <v>2262</v>
      </c>
      <c r="J593" s="671">
        <v>46234.0</v>
      </c>
    </row>
    <row r="594">
      <c r="A594" s="670">
        <v>624.0</v>
      </c>
      <c r="B594" s="670" t="s">
        <v>2257</v>
      </c>
      <c r="C594" s="673" t="s">
        <v>2258</v>
      </c>
      <c r="D594" s="670" t="s">
        <v>3401</v>
      </c>
      <c r="E594" s="670" t="s">
        <v>3402</v>
      </c>
      <c r="F594" s="670">
        <v>10928.0</v>
      </c>
      <c r="G594" s="670" t="s">
        <v>1117</v>
      </c>
      <c r="H594" s="670" t="s">
        <v>2261</v>
      </c>
      <c r="I594" s="670" t="s">
        <v>2262</v>
      </c>
      <c r="J594" s="671">
        <v>46234.0</v>
      </c>
    </row>
    <row r="595">
      <c r="A595" s="670">
        <v>625.0</v>
      </c>
      <c r="B595" s="670" t="s">
        <v>2257</v>
      </c>
      <c r="C595" s="670" t="s">
        <v>2258</v>
      </c>
      <c r="D595" s="670" t="s">
        <v>3403</v>
      </c>
      <c r="E595" s="670" t="s">
        <v>3404</v>
      </c>
      <c r="F595" s="670">
        <v>448.0</v>
      </c>
      <c r="G595" s="670" t="s">
        <v>759</v>
      </c>
      <c r="H595" s="670" t="s">
        <v>2261</v>
      </c>
      <c r="I595" s="670" t="s">
        <v>2262</v>
      </c>
      <c r="J595" s="671">
        <v>46234.0</v>
      </c>
    </row>
    <row r="596">
      <c r="A596" s="670">
        <v>626.0</v>
      </c>
      <c r="B596" s="670" t="s">
        <v>2257</v>
      </c>
      <c r="C596" s="673" t="s">
        <v>2258</v>
      </c>
      <c r="D596" s="670" t="s">
        <v>3405</v>
      </c>
      <c r="E596" s="670" t="s">
        <v>3406</v>
      </c>
      <c r="F596" s="670">
        <v>5270.0</v>
      </c>
      <c r="G596" s="670" t="s">
        <v>1117</v>
      </c>
      <c r="H596" s="670" t="s">
        <v>2261</v>
      </c>
      <c r="I596" s="670" t="s">
        <v>2262</v>
      </c>
      <c r="J596" s="671">
        <v>46234.0</v>
      </c>
    </row>
    <row r="597">
      <c r="A597" s="670">
        <v>627.0</v>
      </c>
      <c r="B597" s="670" t="s">
        <v>2257</v>
      </c>
      <c r="C597" s="670" t="s">
        <v>2258</v>
      </c>
      <c r="D597" s="670" t="s">
        <v>3407</v>
      </c>
      <c r="E597" s="670" t="s">
        <v>3408</v>
      </c>
      <c r="F597" s="670">
        <v>5525.0</v>
      </c>
      <c r="G597" s="670" t="s">
        <v>1117</v>
      </c>
      <c r="H597" s="670" t="s">
        <v>2261</v>
      </c>
      <c r="I597" s="670" t="s">
        <v>2262</v>
      </c>
      <c r="J597" s="671">
        <v>46234.0</v>
      </c>
    </row>
    <row r="598">
      <c r="A598" s="670">
        <v>628.0</v>
      </c>
      <c r="B598" s="670" t="s">
        <v>2257</v>
      </c>
      <c r="C598" s="670" t="s">
        <v>2258</v>
      </c>
      <c r="D598" s="670" t="s">
        <v>3409</v>
      </c>
      <c r="E598" s="670" t="s">
        <v>3410</v>
      </c>
      <c r="F598" s="670">
        <v>5728.0</v>
      </c>
      <c r="G598" s="670" t="s">
        <v>1117</v>
      </c>
      <c r="H598" s="670" t="s">
        <v>2261</v>
      </c>
      <c r="I598" s="670" t="s">
        <v>2262</v>
      </c>
      <c r="J598" s="671">
        <v>46234.0</v>
      </c>
    </row>
    <row r="599">
      <c r="A599" s="670">
        <v>629.0</v>
      </c>
      <c r="B599" s="670" t="s">
        <v>2257</v>
      </c>
      <c r="C599" s="670" t="s">
        <v>2258</v>
      </c>
      <c r="D599" s="670" t="s">
        <v>3411</v>
      </c>
      <c r="E599" s="670" t="s">
        <v>3412</v>
      </c>
      <c r="F599" s="670">
        <v>56.0</v>
      </c>
      <c r="G599" s="670" t="s">
        <v>759</v>
      </c>
      <c r="H599" s="670" t="s">
        <v>2261</v>
      </c>
      <c r="I599" s="670" t="s">
        <v>2262</v>
      </c>
      <c r="J599" s="671">
        <v>46234.0</v>
      </c>
    </row>
    <row r="600">
      <c r="A600" s="670">
        <v>630.0</v>
      </c>
      <c r="B600" s="670" t="s">
        <v>2257</v>
      </c>
      <c r="C600" s="670" t="s">
        <v>2258</v>
      </c>
      <c r="D600" s="670" t="s">
        <v>3413</v>
      </c>
      <c r="E600" s="670" t="s">
        <v>3414</v>
      </c>
      <c r="F600" s="670">
        <v>1019.0</v>
      </c>
      <c r="G600" s="670" t="s">
        <v>759</v>
      </c>
      <c r="H600" s="670" t="s">
        <v>2261</v>
      </c>
      <c r="I600" s="670" t="s">
        <v>2262</v>
      </c>
      <c r="J600" s="671">
        <v>46234.0</v>
      </c>
    </row>
    <row r="601">
      <c r="A601" s="670">
        <v>631.0</v>
      </c>
      <c r="B601" s="670" t="s">
        <v>2257</v>
      </c>
      <c r="C601" s="673" t="s">
        <v>2258</v>
      </c>
      <c r="D601" s="670" t="s">
        <v>3415</v>
      </c>
      <c r="E601" s="670" t="s">
        <v>3416</v>
      </c>
      <c r="F601" s="670">
        <v>486.0</v>
      </c>
      <c r="G601" s="670" t="s">
        <v>759</v>
      </c>
      <c r="H601" s="670" t="s">
        <v>2261</v>
      </c>
      <c r="I601" s="670" t="s">
        <v>2262</v>
      </c>
      <c r="J601" s="671">
        <v>46234.0</v>
      </c>
    </row>
    <row r="602">
      <c r="A602" s="670">
        <v>632.0</v>
      </c>
      <c r="B602" s="670" t="s">
        <v>2257</v>
      </c>
      <c r="C602" s="670" t="s">
        <v>2258</v>
      </c>
      <c r="D602" s="670" t="s">
        <v>3417</v>
      </c>
      <c r="E602" s="670" t="s">
        <v>3418</v>
      </c>
      <c r="F602" s="670">
        <v>486.0</v>
      </c>
      <c r="G602" s="670" t="s">
        <v>759</v>
      </c>
      <c r="H602" s="670" t="s">
        <v>2261</v>
      </c>
      <c r="I602" s="670" t="s">
        <v>2262</v>
      </c>
      <c r="J602" s="671">
        <v>46234.0</v>
      </c>
    </row>
    <row r="603">
      <c r="A603" s="670">
        <v>633.0</v>
      </c>
      <c r="B603" s="670" t="s">
        <v>2257</v>
      </c>
      <c r="C603" s="673" t="s">
        <v>2258</v>
      </c>
      <c r="D603" s="670" t="s">
        <v>3419</v>
      </c>
      <c r="E603" s="670" t="s">
        <v>3420</v>
      </c>
      <c r="F603" s="670">
        <v>130.0</v>
      </c>
      <c r="G603" s="670" t="s">
        <v>759</v>
      </c>
      <c r="H603" s="670" t="s">
        <v>2261</v>
      </c>
      <c r="I603" s="670" t="s">
        <v>2262</v>
      </c>
      <c r="J603" s="671">
        <v>46234.0</v>
      </c>
    </row>
    <row r="604">
      <c r="A604" s="670">
        <v>634.0</v>
      </c>
      <c r="B604" s="670" t="s">
        <v>2257</v>
      </c>
      <c r="C604" s="673" t="s">
        <v>2258</v>
      </c>
      <c r="D604" s="670" t="s">
        <v>3421</v>
      </c>
      <c r="E604" s="670" t="s">
        <v>3422</v>
      </c>
      <c r="F604" s="670">
        <v>10.0</v>
      </c>
      <c r="G604" s="670" t="s">
        <v>1117</v>
      </c>
      <c r="H604" s="670" t="s">
        <v>2261</v>
      </c>
      <c r="I604" s="670" t="s">
        <v>2262</v>
      </c>
      <c r="J604" s="671">
        <v>46234.0</v>
      </c>
    </row>
    <row r="605">
      <c r="A605" s="670">
        <v>635.0</v>
      </c>
      <c r="B605" s="670" t="s">
        <v>2257</v>
      </c>
      <c r="C605" s="673" t="s">
        <v>2258</v>
      </c>
      <c r="D605" s="670" t="s">
        <v>3423</v>
      </c>
      <c r="E605" s="670" t="s">
        <v>3424</v>
      </c>
      <c r="F605" s="670">
        <v>100.0</v>
      </c>
      <c r="G605" s="670" t="s">
        <v>1117</v>
      </c>
      <c r="H605" s="670" t="s">
        <v>2261</v>
      </c>
      <c r="I605" s="670" t="s">
        <v>2262</v>
      </c>
      <c r="J605" s="671">
        <v>46234.0</v>
      </c>
    </row>
    <row r="606">
      <c r="A606" s="670">
        <v>636.0</v>
      </c>
      <c r="B606" s="670" t="s">
        <v>2257</v>
      </c>
      <c r="C606" s="670" t="s">
        <v>2258</v>
      </c>
      <c r="D606" s="670" t="s">
        <v>3425</v>
      </c>
      <c r="E606" s="670" t="s">
        <v>3426</v>
      </c>
      <c r="F606" s="670">
        <v>75.0</v>
      </c>
      <c r="G606" s="670" t="s">
        <v>1117</v>
      </c>
      <c r="H606" s="670" t="s">
        <v>2261</v>
      </c>
      <c r="I606" s="670" t="s">
        <v>2262</v>
      </c>
      <c r="J606" s="671">
        <v>46234.0</v>
      </c>
    </row>
    <row r="607">
      <c r="A607" s="670">
        <v>637.0</v>
      </c>
      <c r="B607" s="670" t="s">
        <v>2257</v>
      </c>
      <c r="C607" s="673" t="s">
        <v>2258</v>
      </c>
      <c r="D607" s="670" t="s">
        <v>3427</v>
      </c>
      <c r="E607" s="670" t="s">
        <v>3428</v>
      </c>
      <c r="F607" s="670">
        <v>75.0</v>
      </c>
      <c r="G607" s="670" t="s">
        <v>1117</v>
      </c>
      <c r="H607" s="670" t="s">
        <v>2261</v>
      </c>
      <c r="I607" s="670" t="s">
        <v>2262</v>
      </c>
      <c r="J607" s="671">
        <v>46234.0</v>
      </c>
    </row>
    <row r="608">
      <c r="A608" s="670">
        <v>638.0</v>
      </c>
      <c r="B608" s="670" t="s">
        <v>2257</v>
      </c>
      <c r="C608" s="670" t="s">
        <v>2258</v>
      </c>
      <c r="D608" s="670" t="s">
        <v>3429</v>
      </c>
      <c r="E608" s="670" t="s">
        <v>3430</v>
      </c>
      <c r="F608" s="670">
        <v>850.0</v>
      </c>
      <c r="G608" s="670" t="s">
        <v>22</v>
      </c>
      <c r="H608" s="670" t="s">
        <v>2572</v>
      </c>
      <c r="I608" s="670" t="s">
        <v>2573</v>
      </c>
      <c r="J608" s="671">
        <v>46234.0</v>
      </c>
    </row>
    <row r="609">
      <c r="A609" s="670">
        <v>639.0</v>
      </c>
      <c r="B609" s="670" t="s">
        <v>2257</v>
      </c>
      <c r="C609" s="673" t="s">
        <v>2258</v>
      </c>
      <c r="D609" s="670" t="s">
        <v>3431</v>
      </c>
      <c r="E609" s="670" t="s">
        <v>3432</v>
      </c>
      <c r="F609" s="670">
        <v>1750.0</v>
      </c>
      <c r="G609" s="670" t="s">
        <v>22</v>
      </c>
      <c r="H609" s="670" t="s">
        <v>2261</v>
      </c>
      <c r="I609" s="670" t="s">
        <v>2262</v>
      </c>
      <c r="J609" s="671">
        <v>46234.0</v>
      </c>
    </row>
    <row r="610">
      <c r="A610" s="670">
        <v>640.0</v>
      </c>
      <c r="B610" s="670" t="s">
        <v>2257</v>
      </c>
      <c r="C610" s="673" t="s">
        <v>2258</v>
      </c>
      <c r="D610" s="670" t="s">
        <v>3433</v>
      </c>
      <c r="E610" s="670" t="s">
        <v>3434</v>
      </c>
      <c r="F610" s="670">
        <v>1500.0</v>
      </c>
      <c r="G610" s="670" t="s">
        <v>22</v>
      </c>
      <c r="H610" s="670" t="s">
        <v>2261</v>
      </c>
      <c r="I610" s="670" t="s">
        <v>2262</v>
      </c>
      <c r="J610" s="671">
        <v>46234.0</v>
      </c>
    </row>
    <row r="611">
      <c r="A611" s="670">
        <v>641.0</v>
      </c>
      <c r="B611" s="670" t="s">
        <v>2257</v>
      </c>
      <c r="C611" s="670" t="s">
        <v>2258</v>
      </c>
      <c r="D611" s="670" t="s">
        <v>3435</v>
      </c>
      <c r="E611" s="670" t="s">
        <v>3436</v>
      </c>
      <c r="F611" s="670">
        <v>498.0</v>
      </c>
      <c r="G611" s="670" t="s">
        <v>242</v>
      </c>
      <c r="H611" s="670" t="s">
        <v>2261</v>
      </c>
      <c r="I611" s="670" t="s">
        <v>2262</v>
      </c>
      <c r="J611" s="671">
        <v>46234.0</v>
      </c>
    </row>
    <row r="612">
      <c r="A612" s="670">
        <v>642.0</v>
      </c>
      <c r="B612" s="670" t="s">
        <v>2257</v>
      </c>
      <c r="C612" s="670" t="s">
        <v>2258</v>
      </c>
      <c r="D612" s="670" t="s">
        <v>3437</v>
      </c>
      <c r="E612" s="670" t="s">
        <v>3438</v>
      </c>
      <c r="F612" s="670">
        <v>670.0</v>
      </c>
      <c r="G612" s="670" t="s">
        <v>2467</v>
      </c>
      <c r="H612" s="670" t="s">
        <v>2261</v>
      </c>
      <c r="I612" s="670" t="s">
        <v>2262</v>
      </c>
      <c r="J612" s="671">
        <v>46234.0</v>
      </c>
    </row>
    <row r="613">
      <c r="A613" s="670">
        <v>643.0</v>
      </c>
      <c r="B613" s="670" t="s">
        <v>2257</v>
      </c>
      <c r="C613" s="670" t="s">
        <v>2258</v>
      </c>
      <c r="D613" s="670" t="s">
        <v>3439</v>
      </c>
      <c r="E613" s="670" t="s">
        <v>3440</v>
      </c>
      <c r="F613" s="670">
        <v>65.0</v>
      </c>
      <c r="G613" s="670" t="s">
        <v>824</v>
      </c>
      <c r="H613" s="670" t="s">
        <v>2261</v>
      </c>
      <c r="I613" s="670" t="s">
        <v>2262</v>
      </c>
      <c r="J613" s="671">
        <v>46234.0</v>
      </c>
    </row>
    <row r="614">
      <c r="A614" s="670">
        <v>644.0</v>
      </c>
      <c r="B614" s="670" t="s">
        <v>2257</v>
      </c>
      <c r="C614" s="670" t="s">
        <v>2258</v>
      </c>
      <c r="D614" s="670" t="s">
        <v>3441</v>
      </c>
      <c r="E614" s="670" t="s">
        <v>3442</v>
      </c>
      <c r="F614" s="670">
        <v>220.0</v>
      </c>
      <c r="G614" s="670" t="s">
        <v>824</v>
      </c>
      <c r="H614" s="670" t="s">
        <v>2261</v>
      </c>
      <c r="I614" s="670" t="s">
        <v>2262</v>
      </c>
      <c r="J614" s="671">
        <v>46234.0</v>
      </c>
    </row>
    <row r="615">
      <c r="A615" s="670">
        <v>645.0</v>
      </c>
      <c r="B615" s="670" t="s">
        <v>2257</v>
      </c>
      <c r="C615" s="670" t="s">
        <v>2258</v>
      </c>
      <c r="D615" s="670" t="s">
        <v>3443</v>
      </c>
      <c r="E615" s="670" t="s">
        <v>3444</v>
      </c>
      <c r="F615" s="670">
        <v>11.0</v>
      </c>
      <c r="G615" s="670" t="s">
        <v>1117</v>
      </c>
      <c r="H615" s="670" t="s">
        <v>2261</v>
      </c>
      <c r="I615" s="670" t="s">
        <v>2262</v>
      </c>
      <c r="J615" s="671">
        <v>46234.0</v>
      </c>
    </row>
    <row r="616">
      <c r="A616" s="670">
        <v>646.0</v>
      </c>
      <c r="B616" s="670" t="s">
        <v>2257</v>
      </c>
      <c r="C616" s="670" t="s">
        <v>2258</v>
      </c>
      <c r="D616" s="670" t="s">
        <v>3445</v>
      </c>
      <c r="E616" s="670" t="s">
        <v>3446</v>
      </c>
      <c r="F616" s="670">
        <v>18.0</v>
      </c>
      <c r="G616" s="670" t="s">
        <v>1117</v>
      </c>
      <c r="H616" s="670" t="s">
        <v>2261</v>
      </c>
      <c r="I616" s="670" t="s">
        <v>2262</v>
      </c>
      <c r="J616" s="671">
        <v>46234.0</v>
      </c>
    </row>
    <row r="617">
      <c r="A617" s="670">
        <v>647.0</v>
      </c>
      <c r="B617" s="670" t="s">
        <v>2257</v>
      </c>
      <c r="C617" s="670" t="s">
        <v>2258</v>
      </c>
      <c r="D617" s="670" t="s">
        <v>3447</v>
      </c>
      <c r="E617" s="670" t="s">
        <v>3448</v>
      </c>
      <c r="F617" s="670">
        <v>35.0</v>
      </c>
      <c r="G617" s="670" t="s">
        <v>1117</v>
      </c>
      <c r="H617" s="670" t="s">
        <v>2261</v>
      </c>
      <c r="I617" s="670" t="s">
        <v>2262</v>
      </c>
      <c r="J617" s="671">
        <v>46234.0</v>
      </c>
    </row>
    <row r="618">
      <c r="A618" s="670">
        <v>648.0</v>
      </c>
      <c r="B618" s="670" t="s">
        <v>2559</v>
      </c>
      <c r="C618" s="670" t="s">
        <v>2258</v>
      </c>
      <c r="D618" s="670" t="s">
        <v>3449</v>
      </c>
      <c r="E618" s="670" t="s">
        <v>3450</v>
      </c>
      <c r="F618" s="670">
        <v>7.0</v>
      </c>
      <c r="G618" s="670" t="s">
        <v>2442</v>
      </c>
      <c r="H618" s="670" t="s">
        <v>2261</v>
      </c>
      <c r="I618" s="670" t="s">
        <v>2262</v>
      </c>
      <c r="J618" s="671">
        <v>46234.0</v>
      </c>
    </row>
    <row r="619">
      <c r="A619" s="670">
        <v>649.0</v>
      </c>
      <c r="B619" s="670" t="s">
        <v>2559</v>
      </c>
      <c r="C619" s="670" t="s">
        <v>2258</v>
      </c>
      <c r="D619" s="670" t="s">
        <v>3451</v>
      </c>
      <c r="E619" s="670" t="s">
        <v>3452</v>
      </c>
      <c r="F619" s="670">
        <v>10.0</v>
      </c>
      <c r="G619" s="670" t="s">
        <v>2442</v>
      </c>
      <c r="H619" s="670" t="s">
        <v>2261</v>
      </c>
      <c r="I619" s="670" t="s">
        <v>2262</v>
      </c>
      <c r="J619" s="671">
        <v>46234.0</v>
      </c>
    </row>
    <row r="620">
      <c r="A620" s="670">
        <v>650.0</v>
      </c>
      <c r="B620" s="670" t="s">
        <v>2257</v>
      </c>
      <c r="C620" s="670" t="s">
        <v>2258</v>
      </c>
      <c r="D620" s="670" t="s">
        <v>3453</v>
      </c>
      <c r="E620" s="670" t="s">
        <v>3454</v>
      </c>
      <c r="F620" s="670">
        <v>25.0</v>
      </c>
      <c r="G620" s="670" t="s">
        <v>1117</v>
      </c>
      <c r="H620" s="670" t="s">
        <v>2261</v>
      </c>
      <c r="I620" s="670" t="s">
        <v>2262</v>
      </c>
      <c r="J620" s="671">
        <v>46234.0</v>
      </c>
    </row>
    <row r="621">
      <c r="A621" s="670">
        <v>651.0</v>
      </c>
      <c r="B621" s="670" t="s">
        <v>2257</v>
      </c>
      <c r="C621" s="670" t="s">
        <v>2258</v>
      </c>
      <c r="D621" s="670" t="s">
        <v>3455</v>
      </c>
      <c r="E621" s="670" t="s">
        <v>3456</v>
      </c>
      <c r="F621" s="670">
        <v>40.0</v>
      </c>
      <c r="G621" s="670" t="s">
        <v>759</v>
      </c>
      <c r="H621" s="670" t="s">
        <v>2261</v>
      </c>
      <c r="I621" s="670" t="s">
        <v>2262</v>
      </c>
      <c r="J621" s="671">
        <v>46234.0</v>
      </c>
    </row>
    <row r="622">
      <c r="A622" s="670">
        <v>652.0</v>
      </c>
      <c r="B622" s="670" t="s">
        <v>2257</v>
      </c>
      <c r="C622" s="670" t="s">
        <v>2258</v>
      </c>
      <c r="D622" s="670" t="s">
        <v>3457</v>
      </c>
      <c r="E622" s="670" t="s">
        <v>3458</v>
      </c>
      <c r="F622" s="670">
        <v>120.0</v>
      </c>
      <c r="G622" s="670" t="s">
        <v>759</v>
      </c>
      <c r="H622" s="670" t="s">
        <v>2261</v>
      </c>
      <c r="I622" s="670" t="s">
        <v>2262</v>
      </c>
      <c r="J622" s="671">
        <v>46234.0</v>
      </c>
    </row>
    <row r="623">
      <c r="A623" s="670">
        <v>654.0</v>
      </c>
      <c r="B623" s="670" t="s">
        <v>2257</v>
      </c>
      <c r="C623" s="670" t="s">
        <v>2258</v>
      </c>
      <c r="D623" s="670" t="s">
        <v>3459</v>
      </c>
      <c r="E623" s="670" t="s">
        <v>3460</v>
      </c>
      <c r="F623" s="670">
        <v>500.0</v>
      </c>
      <c r="G623" s="670" t="s">
        <v>759</v>
      </c>
      <c r="H623" s="670" t="s">
        <v>2261</v>
      </c>
      <c r="I623" s="670" t="s">
        <v>2262</v>
      </c>
      <c r="J623" s="671">
        <v>46234.0</v>
      </c>
    </row>
    <row r="624">
      <c r="A624" s="670">
        <v>655.0</v>
      </c>
      <c r="B624" s="670" t="s">
        <v>2559</v>
      </c>
      <c r="C624" s="670" t="s">
        <v>2258</v>
      </c>
      <c r="D624" s="670" t="s">
        <v>3462</v>
      </c>
      <c r="E624" s="670" t="s">
        <v>3463</v>
      </c>
      <c r="F624" s="670">
        <v>45.0</v>
      </c>
      <c r="G624" s="670" t="s">
        <v>2442</v>
      </c>
      <c r="H624" s="670" t="s">
        <v>2261</v>
      </c>
      <c r="I624" s="670" t="s">
        <v>2262</v>
      </c>
      <c r="J624" s="671">
        <v>46234.0</v>
      </c>
    </row>
    <row r="625">
      <c r="A625" s="670">
        <v>656.0</v>
      </c>
      <c r="B625" s="670" t="s">
        <v>2559</v>
      </c>
      <c r="C625" s="670" t="s">
        <v>2258</v>
      </c>
      <c r="D625" s="670" t="s">
        <v>3464</v>
      </c>
      <c r="E625" s="670" t="s">
        <v>3465</v>
      </c>
      <c r="F625" s="670">
        <v>405.0</v>
      </c>
      <c r="G625" s="670" t="s">
        <v>2442</v>
      </c>
      <c r="H625" s="670" t="s">
        <v>2261</v>
      </c>
      <c r="I625" s="670" t="s">
        <v>2262</v>
      </c>
      <c r="J625" s="671">
        <v>46234.0</v>
      </c>
    </row>
    <row r="626">
      <c r="A626" s="670">
        <v>657.0</v>
      </c>
      <c r="B626" s="670" t="s">
        <v>2559</v>
      </c>
      <c r="C626" s="670" t="s">
        <v>2258</v>
      </c>
      <c r="D626" s="670" t="s">
        <v>3466</v>
      </c>
      <c r="E626" s="670" t="s">
        <v>3467</v>
      </c>
      <c r="F626" s="670">
        <v>8.0</v>
      </c>
      <c r="G626" s="670" t="s">
        <v>2442</v>
      </c>
      <c r="H626" s="670" t="s">
        <v>2261</v>
      </c>
      <c r="I626" s="670" t="s">
        <v>2262</v>
      </c>
      <c r="J626" s="671">
        <v>46234.0</v>
      </c>
    </row>
    <row r="627">
      <c r="A627" s="670">
        <v>658.0</v>
      </c>
      <c r="B627" s="670" t="s">
        <v>2559</v>
      </c>
      <c r="C627" s="670" t="s">
        <v>2258</v>
      </c>
      <c r="D627" s="670" t="s">
        <v>3468</v>
      </c>
      <c r="E627" s="670" t="s">
        <v>3469</v>
      </c>
      <c r="F627" s="670">
        <v>3173.0</v>
      </c>
      <c r="G627" s="670" t="s">
        <v>2442</v>
      </c>
      <c r="H627" s="670" t="s">
        <v>2261</v>
      </c>
      <c r="I627" s="670" t="s">
        <v>2262</v>
      </c>
      <c r="J627" s="671">
        <v>46234.0</v>
      </c>
    </row>
    <row r="628">
      <c r="A628" s="670">
        <v>659.0</v>
      </c>
      <c r="B628" s="670" t="s">
        <v>2559</v>
      </c>
      <c r="C628" s="670" t="s">
        <v>2258</v>
      </c>
      <c r="D628" s="670" t="s">
        <v>3470</v>
      </c>
      <c r="E628" s="670" t="s">
        <v>3471</v>
      </c>
      <c r="F628" s="670">
        <v>88.0</v>
      </c>
      <c r="G628" s="670" t="s">
        <v>2442</v>
      </c>
      <c r="H628" s="670" t="s">
        <v>2261</v>
      </c>
      <c r="I628" s="670" t="s">
        <v>2262</v>
      </c>
      <c r="J628" s="671">
        <v>46234.0</v>
      </c>
    </row>
    <row r="629">
      <c r="A629" s="670">
        <v>660.0</v>
      </c>
      <c r="B629" s="670" t="s">
        <v>2559</v>
      </c>
      <c r="C629" s="670" t="s">
        <v>2258</v>
      </c>
      <c r="D629" s="670" t="s">
        <v>3472</v>
      </c>
      <c r="E629" s="670" t="s">
        <v>3473</v>
      </c>
      <c r="F629" s="670">
        <v>234.0</v>
      </c>
      <c r="G629" s="670" t="s">
        <v>2442</v>
      </c>
      <c r="H629" s="670" t="s">
        <v>2261</v>
      </c>
      <c r="I629" s="670" t="s">
        <v>2262</v>
      </c>
      <c r="J629" s="671">
        <v>46234.0</v>
      </c>
    </row>
    <row r="630">
      <c r="A630" s="670">
        <v>661.0</v>
      </c>
      <c r="B630" s="670" t="s">
        <v>2559</v>
      </c>
      <c r="C630" s="670" t="s">
        <v>2258</v>
      </c>
      <c r="D630" s="670" t="s">
        <v>3475</v>
      </c>
      <c r="E630" s="670" t="s">
        <v>3476</v>
      </c>
      <c r="F630" s="670">
        <v>272.0</v>
      </c>
      <c r="G630" s="670" t="s">
        <v>2442</v>
      </c>
      <c r="H630" s="670" t="s">
        <v>2261</v>
      </c>
      <c r="I630" s="670" t="s">
        <v>2262</v>
      </c>
      <c r="J630" s="671">
        <v>46234.0</v>
      </c>
    </row>
    <row r="631">
      <c r="A631" s="670">
        <v>662.0</v>
      </c>
      <c r="B631" s="670" t="s">
        <v>2559</v>
      </c>
      <c r="C631" s="670" t="s">
        <v>2258</v>
      </c>
      <c r="D631" s="670" t="s">
        <v>3477</v>
      </c>
      <c r="E631" s="670" t="s">
        <v>3478</v>
      </c>
      <c r="F631" s="670">
        <v>1077.0</v>
      </c>
      <c r="G631" s="670" t="s">
        <v>2442</v>
      </c>
      <c r="H631" s="670" t="s">
        <v>2261</v>
      </c>
      <c r="I631" s="670" t="s">
        <v>2262</v>
      </c>
      <c r="J631" s="671">
        <v>46234.0</v>
      </c>
    </row>
    <row r="632">
      <c r="A632" s="670">
        <v>663.0</v>
      </c>
      <c r="B632" s="670" t="s">
        <v>2559</v>
      </c>
      <c r="C632" s="670" t="s">
        <v>2258</v>
      </c>
      <c r="D632" s="670" t="s">
        <v>3481</v>
      </c>
      <c r="E632" s="670" t="s">
        <v>3482</v>
      </c>
      <c r="F632" s="670">
        <v>1383.0</v>
      </c>
      <c r="G632" s="670" t="s">
        <v>2442</v>
      </c>
      <c r="H632" s="670" t="s">
        <v>2261</v>
      </c>
      <c r="I632" s="670" t="s">
        <v>2262</v>
      </c>
      <c r="J632" s="671">
        <v>46234.0</v>
      </c>
    </row>
    <row r="633">
      <c r="A633" s="670">
        <v>664.0</v>
      </c>
      <c r="B633" s="670" t="s">
        <v>2559</v>
      </c>
      <c r="C633" s="670" t="s">
        <v>2258</v>
      </c>
      <c r="D633" s="670" t="s">
        <v>3483</v>
      </c>
      <c r="E633" s="670" t="s">
        <v>3484</v>
      </c>
      <c r="F633" s="670">
        <v>2267.0</v>
      </c>
      <c r="G633" s="670" t="s">
        <v>2442</v>
      </c>
      <c r="H633" s="670" t="s">
        <v>2261</v>
      </c>
      <c r="I633" s="670" t="s">
        <v>2262</v>
      </c>
      <c r="J633" s="671">
        <v>46234.0</v>
      </c>
    </row>
    <row r="634">
      <c r="A634" s="670">
        <v>665.0</v>
      </c>
      <c r="B634" s="670" t="s">
        <v>2559</v>
      </c>
      <c r="C634" s="670" t="s">
        <v>2258</v>
      </c>
      <c r="D634" s="670" t="s">
        <v>3485</v>
      </c>
      <c r="E634" s="670" t="s">
        <v>3486</v>
      </c>
      <c r="F634" s="670">
        <v>4175.0</v>
      </c>
      <c r="G634" s="670" t="s">
        <v>2442</v>
      </c>
      <c r="H634" s="670" t="s">
        <v>2261</v>
      </c>
      <c r="I634" s="670" t="s">
        <v>2262</v>
      </c>
      <c r="J634" s="671">
        <v>46234.0</v>
      </c>
    </row>
    <row r="635">
      <c r="A635" s="670">
        <v>666.0</v>
      </c>
      <c r="B635" s="670" t="s">
        <v>2559</v>
      </c>
      <c r="C635" s="670" t="s">
        <v>2258</v>
      </c>
      <c r="D635" s="670" t="s">
        <v>3487</v>
      </c>
      <c r="E635" s="670" t="s">
        <v>3488</v>
      </c>
      <c r="F635" s="670">
        <v>551.0</v>
      </c>
      <c r="G635" s="670" t="s">
        <v>2442</v>
      </c>
      <c r="H635" s="670" t="s">
        <v>2261</v>
      </c>
      <c r="I635" s="670" t="s">
        <v>2262</v>
      </c>
      <c r="J635" s="671">
        <v>46234.0</v>
      </c>
    </row>
    <row r="636">
      <c r="A636" s="670">
        <v>667.0</v>
      </c>
      <c r="B636" s="670" t="s">
        <v>2559</v>
      </c>
      <c r="C636" s="670" t="s">
        <v>2258</v>
      </c>
      <c r="D636" s="670" t="s">
        <v>3489</v>
      </c>
      <c r="E636" s="670" t="s">
        <v>3490</v>
      </c>
      <c r="F636" s="670">
        <v>66.0</v>
      </c>
      <c r="G636" s="670" t="s">
        <v>27</v>
      </c>
      <c r="H636" s="670" t="s">
        <v>2261</v>
      </c>
      <c r="I636" s="670" t="s">
        <v>2262</v>
      </c>
      <c r="J636" s="671">
        <v>46234.0</v>
      </c>
    </row>
    <row r="637">
      <c r="A637" s="670">
        <v>668.0</v>
      </c>
      <c r="B637" s="670" t="s">
        <v>2559</v>
      </c>
      <c r="C637" s="670" t="s">
        <v>2258</v>
      </c>
      <c r="D637" s="670" t="s">
        <v>3491</v>
      </c>
      <c r="E637" s="670" t="s">
        <v>3492</v>
      </c>
      <c r="F637" s="670">
        <v>48.0</v>
      </c>
      <c r="G637" s="670" t="s">
        <v>27</v>
      </c>
      <c r="H637" s="670" t="s">
        <v>2572</v>
      </c>
      <c r="I637" s="670" t="s">
        <v>2573</v>
      </c>
      <c r="J637" s="671">
        <v>46234.0</v>
      </c>
    </row>
    <row r="638">
      <c r="A638" s="670">
        <v>669.0</v>
      </c>
      <c r="B638" s="670" t="s">
        <v>2559</v>
      </c>
      <c r="C638" s="670" t="s">
        <v>2258</v>
      </c>
      <c r="D638" s="670" t="s">
        <v>3493</v>
      </c>
      <c r="E638" s="670" t="s">
        <v>3494</v>
      </c>
      <c r="F638" s="670">
        <v>1737.0</v>
      </c>
      <c r="G638" s="670" t="s">
        <v>27</v>
      </c>
      <c r="H638" s="670" t="s">
        <v>2261</v>
      </c>
      <c r="I638" s="670" t="s">
        <v>2262</v>
      </c>
      <c r="J638" s="671">
        <v>46234.0</v>
      </c>
    </row>
    <row r="639">
      <c r="A639" s="670">
        <v>670.0</v>
      </c>
      <c r="B639" s="670" t="s">
        <v>2559</v>
      </c>
      <c r="C639" s="670" t="s">
        <v>2258</v>
      </c>
      <c r="D639" s="670" t="s">
        <v>3495</v>
      </c>
      <c r="E639" s="670" t="s">
        <v>3496</v>
      </c>
      <c r="F639" s="670">
        <v>27.0</v>
      </c>
      <c r="G639" s="670" t="s">
        <v>27</v>
      </c>
      <c r="H639" s="670" t="s">
        <v>2261</v>
      </c>
      <c r="I639" s="670" t="s">
        <v>2262</v>
      </c>
      <c r="J639" s="671">
        <v>46234.0</v>
      </c>
    </row>
    <row r="640">
      <c r="A640" s="670">
        <v>672.0</v>
      </c>
      <c r="B640" s="670" t="s">
        <v>2257</v>
      </c>
      <c r="C640" s="670" t="s">
        <v>2258</v>
      </c>
      <c r="D640" s="670" t="s">
        <v>3497</v>
      </c>
      <c r="E640" s="670" t="s">
        <v>3498</v>
      </c>
      <c r="F640" s="670">
        <v>25.0</v>
      </c>
      <c r="G640" s="670" t="s">
        <v>1117</v>
      </c>
      <c r="H640" s="670" t="s">
        <v>2261</v>
      </c>
      <c r="I640" s="670" t="s">
        <v>2262</v>
      </c>
      <c r="J640" s="671">
        <v>46234.0</v>
      </c>
    </row>
    <row r="641">
      <c r="A641" s="670">
        <v>673.0</v>
      </c>
      <c r="B641" s="670" t="s">
        <v>2257</v>
      </c>
      <c r="C641" s="670" t="s">
        <v>2258</v>
      </c>
      <c r="D641" s="670" t="s">
        <v>3499</v>
      </c>
      <c r="E641" s="670" t="s">
        <v>3500</v>
      </c>
      <c r="F641" s="670">
        <v>33750.0</v>
      </c>
      <c r="G641" s="670" t="s">
        <v>1117</v>
      </c>
      <c r="H641" s="670" t="s">
        <v>2261</v>
      </c>
      <c r="I641" s="670" t="s">
        <v>2262</v>
      </c>
      <c r="J641" s="671">
        <v>46234.0</v>
      </c>
    </row>
    <row r="642">
      <c r="A642" s="670">
        <v>674.0</v>
      </c>
      <c r="B642" s="670" t="s">
        <v>2257</v>
      </c>
      <c r="C642" s="670" t="s">
        <v>2258</v>
      </c>
      <c r="D642" s="670" t="s">
        <v>3501</v>
      </c>
      <c r="E642" s="670" t="s">
        <v>3502</v>
      </c>
      <c r="F642" s="670">
        <v>26500.0</v>
      </c>
      <c r="G642" s="670" t="s">
        <v>1117</v>
      </c>
      <c r="H642" s="670" t="s">
        <v>2261</v>
      </c>
      <c r="I642" s="670" t="s">
        <v>2262</v>
      </c>
      <c r="J642" s="671">
        <v>46234.0</v>
      </c>
    </row>
    <row r="643">
      <c r="A643" s="670">
        <v>675.0</v>
      </c>
      <c r="B643" s="670" t="s">
        <v>2257</v>
      </c>
      <c r="C643" s="670" t="s">
        <v>2258</v>
      </c>
      <c r="D643" s="670" t="s">
        <v>3503</v>
      </c>
      <c r="E643" s="670" t="s">
        <v>3504</v>
      </c>
      <c r="F643" s="670">
        <v>35000.0</v>
      </c>
      <c r="G643" s="670" t="s">
        <v>1117</v>
      </c>
      <c r="H643" s="670" t="s">
        <v>2261</v>
      </c>
      <c r="I643" s="670" t="s">
        <v>2262</v>
      </c>
      <c r="J643" s="671">
        <v>46234.0</v>
      </c>
    </row>
    <row r="644">
      <c r="A644" s="670">
        <v>676.0</v>
      </c>
      <c r="B644" s="670" t="s">
        <v>2257</v>
      </c>
      <c r="C644" s="670" t="s">
        <v>2258</v>
      </c>
      <c r="D644" s="670" t="s">
        <v>3505</v>
      </c>
      <c r="E644" s="670" t="s">
        <v>3506</v>
      </c>
      <c r="F644" s="670">
        <v>51250.0</v>
      </c>
      <c r="G644" s="670" t="s">
        <v>1117</v>
      </c>
      <c r="H644" s="670" t="s">
        <v>2261</v>
      </c>
      <c r="I644" s="670" t="s">
        <v>2262</v>
      </c>
      <c r="J644" s="671">
        <v>46234.0</v>
      </c>
    </row>
    <row r="645">
      <c r="A645" s="670">
        <v>677.0</v>
      </c>
      <c r="B645" s="670" t="s">
        <v>2257</v>
      </c>
      <c r="C645" s="670" t="s">
        <v>2258</v>
      </c>
      <c r="D645" s="670" t="s">
        <v>3507</v>
      </c>
      <c r="E645" s="670" t="s">
        <v>3508</v>
      </c>
      <c r="F645" s="670">
        <v>1750.0</v>
      </c>
      <c r="G645" s="670" t="s">
        <v>1117</v>
      </c>
      <c r="H645" s="670" t="s">
        <v>2261</v>
      </c>
      <c r="I645" s="670" t="s">
        <v>2262</v>
      </c>
      <c r="J645" s="671">
        <v>46234.0</v>
      </c>
    </row>
    <row r="646">
      <c r="A646" s="670">
        <v>678.0</v>
      </c>
      <c r="B646" s="670" t="s">
        <v>2257</v>
      </c>
      <c r="C646" s="670" t="s">
        <v>2258</v>
      </c>
      <c r="D646" s="670" t="s">
        <v>3509</v>
      </c>
      <c r="E646" s="670" t="s">
        <v>3510</v>
      </c>
      <c r="F646" s="670">
        <v>36000.0</v>
      </c>
      <c r="G646" s="670" t="s">
        <v>1117</v>
      </c>
      <c r="H646" s="670" t="s">
        <v>2261</v>
      </c>
      <c r="I646" s="670" t="s">
        <v>2262</v>
      </c>
      <c r="J646" s="671">
        <v>46234.0</v>
      </c>
    </row>
    <row r="647">
      <c r="A647" s="670">
        <v>679.0</v>
      </c>
      <c r="B647" s="670" t="s">
        <v>2257</v>
      </c>
      <c r="C647" s="670" t="s">
        <v>2258</v>
      </c>
      <c r="D647" s="670" t="s">
        <v>3511</v>
      </c>
      <c r="E647" s="670" t="s">
        <v>3512</v>
      </c>
      <c r="F647" s="670">
        <v>36000.0</v>
      </c>
      <c r="G647" s="670" t="s">
        <v>1117</v>
      </c>
      <c r="H647" s="670" t="s">
        <v>2261</v>
      </c>
      <c r="I647" s="670" t="s">
        <v>2262</v>
      </c>
      <c r="J647" s="671">
        <v>46234.0</v>
      </c>
    </row>
    <row r="648">
      <c r="A648" s="670">
        <v>680.0</v>
      </c>
      <c r="B648" s="670" t="s">
        <v>2257</v>
      </c>
      <c r="C648" s="670" t="s">
        <v>2258</v>
      </c>
      <c r="D648" s="670" t="s">
        <v>3513</v>
      </c>
      <c r="E648" s="670" t="s">
        <v>3514</v>
      </c>
      <c r="F648" s="670">
        <v>50000.0</v>
      </c>
      <c r="G648" s="670" t="s">
        <v>1117</v>
      </c>
      <c r="H648" s="670" t="s">
        <v>2261</v>
      </c>
      <c r="I648" s="670" t="s">
        <v>2262</v>
      </c>
      <c r="J648" s="671">
        <v>46234.0</v>
      </c>
    </row>
    <row r="649">
      <c r="A649" s="670">
        <v>681.0</v>
      </c>
      <c r="B649" s="670" t="s">
        <v>2257</v>
      </c>
      <c r="C649" s="673" t="s">
        <v>2258</v>
      </c>
      <c r="D649" s="670" t="s">
        <v>3515</v>
      </c>
      <c r="E649" s="670" t="s">
        <v>3516</v>
      </c>
      <c r="F649" s="670">
        <v>60000.0</v>
      </c>
      <c r="G649" s="670" t="s">
        <v>1117</v>
      </c>
      <c r="H649" s="670" t="s">
        <v>2261</v>
      </c>
      <c r="I649" s="670" t="s">
        <v>2262</v>
      </c>
      <c r="J649" s="671">
        <v>46234.0</v>
      </c>
    </row>
    <row r="650">
      <c r="A650" s="670">
        <v>682.0</v>
      </c>
      <c r="B650" s="670" t="s">
        <v>2257</v>
      </c>
      <c r="C650" s="673" t="s">
        <v>2258</v>
      </c>
      <c r="D650" s="670" t="s">
        <v>3517</v>
      </c>
      <c r="E650" s="670" t="s">
        <v>3518</v>
      </c>
      <c r="F650" s="670">
        <v>9000.0</v>
      </c>
      <c r="G650" s="670" t="s">
        <v>1570</v>
      </c>
      <c r="H650" s="670" t="s">
        <v>2261</v>
      </c>
      <c r="I650" s="670" t="s">
        <v>2262</v>
      </c>
      <c r="J650" s="671">
        <v>46234.0</v>
      </c>
    </row>
    <row r="651">
      <c r="A651" s="670">
        <v>683.0</v>
      </c>
      <c r="B651" s="670" t="s">
        <v>2257</v>
      </c>
      <c r="C651" s="670" t="s">
        <v>2258</v>
      </c>
      <c r="D651" s="670" t="s">
        <v>3519</v>
      </c>
      <c r="E651" s="670" t="s">
        <v>3520</v>
      </c>
      <c r="F651" s="670">
        <v>131.0</v>
      </c>
      <c r="G651" s="670" t="s">
        <v>759</v>
      </c>
      <c r="H651" s="670" t="s">
        <v>2261</v>
      </c>
      <c r="I651" s="670" t="s">
        <v>2262</v>
      </c>
      <c r="J651" s="671">
        <v>46234.0</v>
      </c>
    </row>
    <row r="652">
      <c r="A652" s="670">
        <v>684.0</v>
      </c>
      <c r="B652" s="670" t="s">
        <v>2257</v>
      </c>
      <c r="C652" s="670" t="s">
        <v>2258</v>
      </c>
      <c r="D652" s="670" t="s">
        <v>3521</v>
      </c>
      <c r="E652" s="670" t="s">
        <v>3522</v>
      </c>
      <c r="F652" s="670">
        <v>160.0</v>
      </c>
      <c r="G652" s="670" t="s">
        <v>759</v>
      </c>
      <c r="H652" s="670" t="s">
        <v>2261</v>
      </c>
      <c r="I652" s="670" t="s">
        <v>2262</v>
      </c>
      <c r="J652" s="671">
        <v>46234.0</v>
      </c>
    </row>
    <row r="653">
      <c r="A653" s="670">
        <v>685.0</v>
      </c>
      <c r="B653" s="670" t="s">
        <v>2257</v>
      </c>
      <c r="C653" s="670" t="s">
        <v>2258</v>
      </c>
      <c r="D653" s="670" t="s">
        <v>3523</v>
      </c>
      <c r="E653" s="670" t="s">
        <v>3524</v>
      </c>
      <c r="F653" s="670">
        <v>2000.0</v>
      </c>
      <c r="G653" s="670" t="s">
        <v>1117</v>
      </c>
      <c r="H653" s="670" t="s">
        <v>2261</v>
      </c>
      <c r="I653" s="670" t="s">
        <v>2262</v>
      </c>
      <c r="J653" s="671">
        <v>46234.0</v>
      </c>
    </row>
    <row r="654">
      <c r="A654" s="670">
        <v>687.0</v>
      </c>
      <c r="B654" s="670" t="s">
        <v>2257</v>
      </c>
      <c r="C654" s="670" t="s">
        <v>2258</v>
      </c>
      <c r="D654" s="670" t="s">
        <v>3525</v>
      </c>
      <c r="E654" s="670" t="s">
        <v>3526</v>
      </c>
      <c r="F654" s="670">
        <v>8100.0</v>
      </c>
      <c r="G654" s="670" t="s">
        <v>1117</v>
      </c>
      <c r="H654" s="670" t="s">
        <v>2261</v>
      </c>
      <c r="I654" s="670" t="s">
        <v>2262</v>
      </c>
      <c r="J654" s="671">
        <v>46234.0</v>
      </c>
    </row>
    <row r="655">
      <c r="A655" s="670">
        <v>688.0</v>
      </c>
      <c r="B655" s="670" t="s">
        <v>2257</v>
      </c>
      <c r="C655" s="670" t="s">
        <v>2258</v>
      </c>
      <c r="D655" s="670" t="s">
        <v>3527</v>
      </c>
      <c r="E655" s="670" t="s">
        <v>3528</v>
      </c>
      <c r="F655" s="670">
        <v>49000.0</v>
      </c>
      <c r="G655" s="670" t="s">
        <v>1117</v>
      </c>
      <c r="H655" s="670" t="s">
        <v>2572</v>
      </c>
      <c r="I655" s="670" t="s">
        <v>2573</v>
      </c>
      <c r="J655" s="671">
        <v>46234.0</v>
      </c>
    </row>
    <row r="656">
      <c r="A656" s="670">
        <v>689.0</v>
      </c>
      <c r="B656" s="670" t="s">
        <v>2257</v>
      </c>
      <c r="C656" s="673" t="s">
        <v>2258</v>
      </c>
      <c r="D656" s="670" t="s">
        <v>3529</v>
      </c>
      <c r="E656" s="670" t="s">
        <v>3530</v>
      </c>
      <c r="F656" s="670">
        <v>7425.0</v>
      </c>
      <c r="G656" s="670" t="s">
        <v>1117</v>
      </c>
      <c r="H656" s="670" t="s">
        <v>2261</v>
      </c>
      <c r="I656" s="670" t="s">
        <v>2262</v>
      </c>
      <c r="J656" s="671">
        <v>46234.0</v>
      </c>
    </row>
    <row r="657">
      <c r="A657" s="670">
        <v>690.0</v>
      </c>
      <c r="B657" s="670" t="s">
        <v>2257</v>
      </c>
      <c r="C657" s="673" t="s">
        <v>2258</v>
      </c>
      <c r="D657" s="670" t="s">
        <v>3531</v>
      </c>
      <c r="E657" s="670" t="s">
        <v>3532</v>
      </c>
      <c r="F657" s="670">
        <v>11880.0</v>
      </c>
      <c r="G657" s="670" t="s">
        <v>1117</v>
      </c>
      <c r="H657" s="670" t="s">
        <v>2261</v>
      </c>
      <c r="I657" s="670" t="s">
        <v>2262</v>
      </c>
      <c r="J657" s="671">
        <v>46234.0</v>
      </c>
    </row>
    <row r="658">
      <c r="A658" s="670">
        <v>691.0</v>
      </c>
      <c r="B658" s="670" t="s">
        <v>2257</v>
      </c>
      <c r="C658" s="673" t="s">
        <v>2258</v>
      </c>
      <c r="D658" s="670" t="s">
        <v>3533</v>
      </c>
      <c r="E658" s="670" t="s">
        <v>3534</v>
      </c>
      <c r="F658" s="670">
        <v>45600.0</v>
      </c>
      <c r="G658" s="670" t="s">
        <v>1117</v>
      </c>
      <c r="H658" s="670" t="s">
        <v>2261</v>
      </c>
      <c r="I658" s="670" t="s">
        <v>2262</v>
      </c>
      <c r="J658" s="671">
        <v>46234.0</v>
      </c>
    </row>
    <row r="659">
      <c r="A659" s="670">
        <v>692.0</v>
      </c>
      <c r="B659" s="670" t="s">
        <v>2257</v>
      </c>
      <c r="C659" s="673" t="s">
        <v>2258</v>
      </c>
      <c r="D659" s="670" t="s">
        <v>3535</v>
      </c>
      <c r="E659" s="670" t="s">
        <v>3536</v>
      </c>
      <c r="F659" s="670">
        <v>66650.0</v>
      </c>
      <c r="G659" s="670" t="s">
        <v>1117</v>
      </c>
      <c r="H659" s="670" t="s">
        <v>2261</v>
      </c>
      <c r="I659" s="670" t="s">
        <v>2262</v>
      </c>
      <c r="J659" s="671">
        <v>46234.0</v>
      </c>
    </row>
    <row r="660">
      <c r="A660" s="670">
        <v>693.0</v>
      </c>
      <c r="B660" s="670" t="s">
        <v>2257</v>
      </c>
      <c r="C660" s="673" t="s">
        <v>2258</v>
      </c>
      <c r="D660" s="670" t="s">
        <v>3537</v>
      </c>
      <c r="E660" s="670" t="s">
        <v>3538</v>
      </c>
      <c r="F660" s="670">
        <v>9000.0</v>
      </c>
      <c r="G660" s="670" t="s">
        <v>1117</v>
      </c>
      <c r="H660" s="670" t="s">
        <v>2261</v>
      </c>
      <c r="I660" s="670" t="s">
        <v>2262</v>
      </c>
      <c r="J660" s="671">
        <v>46234.0</v>
      </c>
    </row>
    <row r="661">
      <c r="A661" s="670">
        <v>694.0</v>
      </c>
      <c r="B661" s="670" t="s">
        <v>2257</v>
      </c>
      <c r="C661" s="673" t="s">
        <v>2258</v>
      </c>
      <c r="D661" s="670" t="s">
        <v>3539</v>
      </c>
      <c r="E661" s="670" t="s">
        <v>3540</v>
      </c>
      <c r="F661" s="670">
        <v>13500.0</v>
      </c>
      <c r="G661" s="670" t="s">
        <v>1117</v>
      </c>
      <c r="H661" s="670" t="s">
        <v>2261</v>
      </c>
      <c r="I661" s="670" t="s">
        <v>2262</v>
      </c>
      <c r="J661" s="671">
        <v>46234.0</v>
      </c>
    </row>
    <row r="662">
      <c r="A662" s="670">
        <v>695.0</v>
      </c>
      <c r="B662" s="670" t="s">
        <v>2257</v>
      </c>
      <c r="C662" s="673" t="s">
        <v>2258</v>
      </c>
      <c r="D662" s="670" t="s">
        <v>3541</v>
      </c>
      <c r="E662" s="670" t="s">
        <v>3542</v>
      </c>
      <c r="F662" s="670">
        <v>43200.0</v>
      </c>
      <c r="G662" s="670" t="s">
        <v>1117</v>
      </c>
      <c r="H662" s="670" t="s">
        <v>2261</v>
      </c>
      <c r="I662" s="670" t="s">
        <v>2262</v>
      </c>
      <c r="J662" s="671">
        <v>46234.0</v>
      </c>
    </row>
    <row r="663">
      <c r="A663" s="670">
        <v>696.0</v>
      </c>
      <c r="B663" s="670" t="s">
        <v>2257</v>
      </c>
      <c r="C663" s="673" t="s">
        <v>2258</v>
      </c>
      <c r="D663" s="670" t="s">
        <v>3543</v>
      </c>
      <c r="E663" s="670" t="s">
        <v>3544</v>
      </c>
      <c r="F663" s="670">
        <v>69250.0</v>
      </c>
      <c r="G663" s="670" t="s">
        <v>1117</v>
      </c>
      <c r="H663" s="670" t="s">
        <v>2261</v>
      </c>
      <c r="I663" s="670" t="s">
        <v>2262</v>
      </c>
      <c r="J663" s="671">
        <v>46234.0</v>
      </c>
    </row>
    <row r="664">
      <c r="A664" s="670">
        <v>697.0</v>
      </c>
      <c r="B664" s="670" t="s">
        <v>2257</v>
      </c>
      <c r="C664" s="673" t="s">
        <v>2258</v>
      </c>
      <c r="D664" s="670" t="s">
        <v>3545</v>
      </c>
      <c r="E664" s="670" t="s">
        <v>3546</v>
      </c>
      <c r="F664" s="670">
        <v>10500.0</v>
      </c>
      <c r="G664" s="670" t="s">
        <v>1117</v>
      </c>
      <c r="H664" s="670" t="s">
        <v>2261</v>
      </c>
      <c r="I664" s="670" t="s">
        <v>2262</v>
      </c>
      <c r="J664" s="671">
        <v>46234.0</v>
      </c>
    </row>
    <row r="665">
      <c r="A665" s="670">
        <v>698.0</v>
      </c>
      <c r="B665" s="670" t="s">
        <v>2257</v>
      </c>
      <c r="C665" s="673" t="s">
        <v>2258</v>
      </c>
      <c r="D665" s="670" t="s">
        <v>3547</v>
      </c>
      <c r="E665" s="670" t="s">
        <v>3548</v>
      </c>
      <c r="F665" s="670">
        <v>15120.0</v>
      </c>
      <c r="G665" s="670" t="s">
        <v>1117</v>
      </c>
      <c r="H665" s="670" t="s">
        <v>2261</v>
      </c>
      <c r="I665" s="670" t="s">
        <v>2262</v>
      </c>
      <c r="J665" s="671">
        <v>46234.0</v>
      </c>
    </row>
    <row r="666">
      <c r="A666" s="670">
        <v>699.0</v>
      </c>
      <c r="B666" s="670" t="s">
        <v>2257</v>
      </c>
      <c r="C666" s="673" t="s">
        <v>2258</v>
      </c>
      <c r="D666" s="670" t="s">
        <v>3549</v>
      </c>
      <c r="E666" s="670" t="s">
        <v>3550</v>
      </c>
      <c r="F666" s="670">
        <v>42650.0</v>
      </c>
      <c r="G666" s="670" t="s">
        <v>1117</v>
      </c>
      <c r="H666" s="670" t="s">
        <v>2261</v>
      </c>
      <c r="I666" s="670" t="s">
        <v>2262</v>
      </c>
      <c r="J666" s="671">
        <v>46234.0</v>
      </c>
    </row>
    <row r="667">
      <c r="A667" s="670">
        <v>700.0</v>
      </c>
      <c r="B667" s="670" t="s">
        <v>2257</v>
      </c>
      <c r="C667" s="673" t="s">
        <v>2258</v>
      </c>
      <c r="D667" s="670" t="s">
        <v>3551</v>
      </c>
      <c r="E667" s="670" t="s">
        <v>3552</v>
      </c>
      <c r="F667" s="670">
        <v>61410.0</v>
      </c>
      <c r="G667" s="670" t="s">
        <v>1117</v>
      </c>
      <c r="H667" s="670" t="s">
        <v>2261</v>
      </c>
      <c r="I667" s="670" t="s">
        <v>2262</v>
      </c>
      <c r="J667" s="671">
        <v>46234.0</v>
      </c>
    </row>
    <row r="668">
      <c r="A668" s="670">
        <v>701.0</v>
      </c>
      <c r="B668" s="670" t="s">
        <v>2257</v>
      </c>
      <c r="C668" s="673" t="s">
        <v>2258</v>
      </c>
      <c r="D668" s="670" t="s">
        <v>3553</v>
      </c>
      <c r="E668" s="670" t="s">
        <v>3554</v>
      </c>
      <c r="F668" s="670">
        <v>9500.0</v>
      </c>
      <c r="G668" s="670" t="s">
        <v>1117</v>
      </c>
      <c r="H668" s="670" t="s">
        <v>2261</v>
      </c>
      <c r="I668" s="670" t="s">
        <v>2262</v>
      </c>
      <c r="J668" s="671">
        <v>46234.0</v>
      </c>
    </row>
    <row r="669">
      <c r="A669" s="670">
        <v>702.0</v>
      </c>
      <c r="B669" s="670" t="s">
        <v>2257</v>
      </c>
      <c r="C669" s="673" t="s">
        <v>2258</v>
      </c>
      <c r="D669" s="670" t="s">
        <v>3555</v>
      </c>
      <c r="E669" s="670" t="s">
        <v>3556</v>
      </c>
      <c r="F669" s="670">
        <v>13500.0</v>
      </c>
      <c r="G669" s="670" t="s">
        <v>1117</v>
      </c>
      <c r="H669" s="670" t="s">
        <v>2261</v>
      </c>
      <c r="I669" s="670" t="s">
        <v>2262</v>
      </c>
      <c r="J669" s="671">
        <v>46234.0</v>
      </c>
    </row>
    <row r="670">
      <c r="A670" s="670">
        <v>703.0</v>
      </c>
      <c r="B670" s="670" t="s">
        <v>2257</v>
      </c>
      <c r="C670" s="673" t="s">
        <v>2258</v>
      </c>
      <c r="D670" s="670" t="s">
        <v>3557</v>
      </c>
      <c r="E670" s="670" t="s">
        <v>3559</v>
      </c>
      <c r="F670" s="670">
        <v>36890.0</v>
      </c>
      <c r="G670" s="670" t="s">
        <v>1117</v>
      </c>
      <c r="H670" s="670" t="s">
        <v>2261</v>
      </c>
      <c r="I670" s="670" t="s">
        <v>2262</v>
      </c>
      <c r="J670" s="671">
        <v>46234.0</v>
      </c>
    </row>
    <row r="671">
      <c r="A671" s="670">
        <v>704.0</v>
      </c>
      <c r="B671" s="670" t="s">
        <v>2257</v>
      </c>
      <c r="C671" s="673" t="s">
        <v>2258</v>
      </c>
      <c r="D671" s="670" t="s">
        <v>3560</v>
      </c>
      <c r="E671" s="670" t="s">
        <v>3561</v>
      </c>
      <c r="F671" s="670">
        <v>64025.0</v>
      </c>
      <c r="G671" s="670" t="s">
        <v>1117</v>
      </c>
      <c r="H671" s="670" t="s">
        <v>2261</v>
      </c>
      <c r="I671" s="670" t="s">
        <v>2262</v>
      </c>
      <c r="J671" s="671">
        <v>46234.0</v>
      </c>
    </row>
    <row r="672">
      <c r="A672" s="670">
        <v>705.0</v>
      </c>
      <c r="B672" s="670" t="s">
        <v>2257</v>
      </c>
      <c r="C672" s="670" t="s">
        <v>2258</v>
      </c>
      <c r="D672" s="670" t="s">
        <v>3562</v>
      </c>
      <c r="E672" s="670" t="s">
        <v>3564</v>
      </c>
      <c r="F672" s="670">
        <v>9500.0</v>
      </c>
      <c r="G672" s="670" t="s">
        <v>1117</v>
      </c>
      <c r="H672" s="670" t="s">
        <v>2261</v>
      </c>
      <c r="I672" s="670" t="s">
        <v>2262</v>
      </c>
      <c r="J672" s="671">
        <v>46234.0</v>
      </c>
    </row>
    <row r="673">
      <c r="A673" s="670">
        <v>706.0</v>
      </c>
      <c r="B673" s="670" t="s">
        <v>2257</v>
      </c>
      <c r="C673" s="670" t="s">
        <v>2258</v>
      </c>
      <c r="D673" s="670" t="s">
        <v>3565</v>
      </c>
      <c r="E673" s="670" t="s">
        <v>3566</v>
      </c>
      <c r="F673" s="670">
        <v>13500.0</v>
      </c>
      <c r="G673" s="670" t="s">
        <v>1117</v>
      </c>
      <c r="H673" s="670" t="s">
        <v>2261</v>
      </c>
      <c r="I673" s="670" t="s">
        <v>2262</v>
      </c>
      <c r="J673" s="671">
        <v>46234.0</v>
      </c>
    </row>
    <row r="674">
      <c r="A674" s="670">
        <v>707.0</v>
      </c>
      <c r="B674" s="670" t="s">
        <v>2257</v>
      </c>
      <c r="C674" s="670" t="s">
        <v>2258</v>
      </c>
      <c r="D674" s="670" t="s">
        <v>3567</v>
      </c>
      <c r="E674" s="670" t="s">
        <v>3568</v>
      </c>
      <c r="F674" s="670">
        <v>43800.0</v>
      </c>
      <c r="G674" s="670" t="s">
        <v>1117</v>
      </c>
      <c r="H674" s="670" t="s">
        <v>2261</v>
      </c>
      <c r="I674" s="670" t="s">
        <v>2262</v>
      </c>
      <c r="J674" s="671">
        <v>46234.0</v>
      </c>
    </row>
    <row r="675">
      <c r="A675" s="670">
        <v>708.0</v>
      </c>
      <c r="B675" s="670" t="s">
        <v>2257</v>
      </c>
      <c r="C675" s="670" t="s">
        <v>2258</v>
      </c>
      <c r="D675" s="670" t="s">
        <v>3569</v>
      </c>
      <c r="E675" s="670" t="s">
        <v>3570</v>
      </c>
      <c r="F675" s="670">
        <v>70560.0</v>
      </c>
      <c r="G675" s="670" t="s">
        <v>1117</v>
      </c>
      <c r="H675" s="670" t="s">
        <v>2261</v>
      </c>
      <c r="I675" s="670" t="s">
        <v>2262</v>
      </c>
      <c r="J675" s="671">
        <v>46234.0</v>
      </c>
    </row>
    <row r="676">
      <c r="A676" s="670">
        <v>709.0</v>
      </c>
      <c r="B676" s="670" t="s">
        <v>2257</v>
      </c>
      <c r="C676" s="670" t="s">
        <v>2258</v>
      </c>
      <c r="D676" s="670" t="s">
        <v>3571</v>
      </c>
      <c r="E676" s="670" t="s">
        <v>3572</v>
      </c>
      <c r="F676" s="670">
        <v>207.0</v>
      </c>
      <c r="G676" s="670" t="s">
        <v>759</v>
      </c>
      <c r="H676" s="670" t="s">
        <v>2261</v>
      </c>
      <c r="I676" s="670" t="s">
        <v>2262</v>
      </c>
      <c r="J676" s="671">
        <v>46234.0</v>
      </c>
    </row>
    <row r="677">
      <c r="A677" s="670">
        <v>710.0</v>
      </c>
      <c r="B677" s="670" t="s">
        <v>2257</v>
      </c>
      <c r="C677" s="670" t="s">
        <v>2258</v>
      </c>
      <c r="D677" s="670" t="s">
        <v>3573</v>
      </c>
      <c r="E677" s="670" t="s">
        <v>3574</v>
      </c>
      <c r="F677" s="670">
        <v>313.0</v>
      </c>
      <c r="G677" s="670" t="s">
        <v>759</v>
      </c>
      <c r="H677" s="670" t="s">
        <v>2261</v>
      </c>
      <c r="I677" s="670" t="s">
        <v>2262</v>
      </c>
      <c r="J677" s="671">
        <v>46234.0</v>
      </c>
    </row>
    <row r="678">
      <c r="A678" s="670">
        <v>711.0</v>
      </c>
      <c r="B678" s="670" t="s">
        <v>2257</v>
      </c>
      <c r="C678" s="670" t="s">
        <v>2258</v>
      </c>
      <c r="D678" s="670" t="s">
        <v>3575</v>
      </c>
      <c r="E678" s="670" t="s">
        <v>3576</v>
      </c>
      <c r="F678" s="670">
        <v>1206.0</v>
      </c>
      <c r="G678" s="670" t="s">
        <v>759</v>
      </c>
      <c r="H678" s="670" t="s">
        <v>2261</v>
      </c>
      <c r="I678" s="670" t="s">
        <v>2262</v>
      </c>
      <c r="J678" s="671">
        <v>46234.0</v>
      </c>
    </row>
    <row r="679">
      <c r="A679" s="670">
        <v>712.0</v>
      </c>
      <c r="B679" s="670" t="s">
        <v>2257</v>
      </c>
      <c r="C679" s="670" t="s">
        <v>2258</v>
      </c>
      <c r="D679" s="670" t="s">
        <v>3577</v>
      </c>
      <c r="E679" s="670" t="s">
        <v>3578</v>
      </c>
      <c r="F679" s="670">
        <v>184.0</v>
      </c>
      <c r="G679" s="670" t="s">
        <v>759</v>
      </c>
      <c r="H679" s="670" t="s">
        <v>2261</v>
      </c>
      <c r="I679" s="670" t="s">
        <v>2262</v>
      </c>
      <c r="J679" s="671">
        <v>46234.0</v>
      </c>
    </row>
    <row r="680">
      <c r="A680" s="670">
        <v>713.0</v>
      </c>
      <c r="B680" s="670" t="s">
        <v>2257</v>
      </c>
      <c r="C680" s="670" t="s">
        <v>2258</v>
      </c>
      <c r="D680" s="670" t="s">
        <v>3579</v>
      </c>
      <c r="E680" s="670" t="s">
        <v>3580</v>
      </c>
      <c r="F680" s="670">
        <v>118.0</v>
      </c>
      <c r="G680" s="670" t="s">
        <v>759</v>
      </c>
      <c r="H680" s="670" t="s">
        <v>2261</v>
      </c>
      <c r="I680" s="670" t="s">
        <v>2262</v>
      </c>
      <c r="J680" s="671">
        <v>46234.0</v>
      </c>
    </row>
    <row r="681">
      <c r="A681" s="670">
        <v>714.0</v>
      </c>
      <c r="B681" s="670" t="s">
        <v>2257</v>
      </c>
      <c r="C681" s="670" t="s">
        <v>2258</v>
      </c>
      <c r="D681" s="670" t="s">
        <v>3581</v>
      </c>
      <c r="E681" s="670" t="s">
        <v>3582</v>
      </c>
      <c r="F681" s="670">
        <v>920.0</v>
      </c>
      <c r="G681" s="670" t="s">
        <v>759</v>
      </c>
      <c r="H681" s="670" t="s">
        <v>2261</v>
      </c>
      <c r="I681" s="670" t="s">
        <v>2262</v>
      </c>
      <c r="J681" s="671">
        <v>46234.0</v>
      </c>
    </row>
    <row r="682">
      <c r="A682" s="670">
        <v>715.0</v>
      </c>
      <c r="B682" s="670" t="s">
        <v>2257</v>
      </c>
      <c r="C682" s="670" t="s">
        <v>2258</v>
      </c>
      <c r="D682" s="670" t="s">
        <v>3583</v>
      </c>
      <c r="E682" s="670" t="s">
        <v>3584</v>
      </c>
      <c r="F682" s="670">
        <v>755.0</v>
      </c>
      <c r="G682" s="670" t="s">
        <v>759</v>
      </c>
      <c r="H682" s="670" t="s">
        <v>2261</v>
      </c>
      <c r="I682" s="670" t="s">
        <v>2262</v>
      </c>
      <c r="J682" s="671">
        <v>46234.0</v>
      </c>
    </row>
    <row r="683">
      <c r="A683" s="670">
        <v>716.0</v>
      </c>
      <c r="B683" s="670" t="s">
        <v>2257</v>
      </c>
      <c r="C683" s="670" t="s">
        <v>2258</v>
      </c>
      <c r="D683" s="670" t="s">
        <v>3585</v>
      </c>
      <c r="E683" s="670" t="s">
        <v>3586</v>
      </c>
      <c r="F683" s="670">
        <v>130.0</v>
      </c>
      <c r="G683" s="670" t="s">
        <v>759</v>
      </c>
      <c r="H683" s="670" t="s">
        <v>2261</v>
      </c>
      <c r="I683" s="670" t="s">
        <v>2262</v>
      </c>
      <c r="J683" s="671">
        <v>46234.0</v>
      </c>
    </row>
    <row r="684">
      <c r="A684" s="670">
        <v>717.0</v>
      </c>
      <c r="B684" s="670" t="s">
        <v>2257</v>
      </c>
      <c r="C684" s="670" t="s">
        <v>2258</v>
      </c>
      <c r="D684" s="670" t="s">
        <v>3587</v>
      </c>
      <c r="E684" s="670" t="s">
        <v>3588</v>
      </c>
      <c r="F684" s="670">
        <v>130.0</v>
      </c>
      <c r="G684" s="670" t="s">
        <v>759</v>
      </c>
      <c r="H684" s="670" t="s">
        <v>2261</v>
      </c>
      <c r="I684" s="670" t="s">
        <v>2262</v>
      </c>
      <c r="J684" s="671">
        <v>46234.0</v>
      </c>
    </row>
    <row r="685">
      <c r="A685" s="670">
        <v>718.0</v>
      </c>
      <c r="B685" s="670" t="s">
        <v>2257</v>
      </c>
      <c r="C685" s="670" t="s">
        <v>2258</v>
      </c>
      <c r="D685" s="670" t="s">
        <v>3589</v>
      </c>
      <c r="E685" s="670" t="s">
        <v>3590</v>
      </c>
      <c r="F685" s="670">
        <v>5.0</v>
      </c>
      <c r="G685" s="670" t="s">
        <v>1117</v>
      </c>
      <c r="H685" s="670" t="s">
        <v>2261</v>
      </c>
      <c r="I685" s="670" t="s">
        <v>2262</v>
      </c>
      <c r="J685" s="671">
        <v>46234.0</v>
      </c>
    </row>
    <row r="686">
      <c r="A686" s="670">
        <v>719.0</v>
      </c>
      <c r="B686" s="670" t="s">
        <v>2257</v>
      </c>
      <c r="C686" s="670" t="s">
        <v>2258</v>
      </c>
      <c r="D686" s="670" t="s">
        <v>3591</v>
      </c>
      <c r="E686" s="670" t="s">
        <v>3592</v>
      </c>
      <c r="F686" s="670">
        <v>1055.0</v>
      </c>
      <c r="G686" s="670" t="s">
        <v>759</v>
      </c>
      <c r="H686" s="670" t="s">
        <v>2261</v>
      </c>
      <c r="I686" s="670" t="s">
        <v>2262</v>
      </c>
      <c r="J686" s="671">
        <v>46234.0</v>
      </c>
    </row>
    <row r="687">
      <c r="A687" s="670">
        <v>720.0</v>
      </c>
      <c r="B687" s="670" t="s">
        <v>2257</v>
      </c>
      <c r="C687" s="670" t="s">
        <v>2258</v>
      </c>
      <c r="D687" s="670" t="s">
        <v>3593</v>
      </c>
      <c r="E687" s="670" t="s">
        <v>3594</v>
      </c>
      <c r="F687" s="670">
        <v>100.0</v>
      </c>
      <c r="G687" s="670" t="s">
        <v>1117</v>
      </c>
      <c r="H687" s="670" t="s">
        <v>2261</v>
      </c>
      <c r="I687" s="670" t="s">
        <v>2262</v>
      </c>
      <c r="J687" s="671">
        <v>46234.0</v>
      </c>
    </row>
    <row r="688">
      <c r="A688" s="670">
        <v>721.0</v>
      </c>
      <c r="B688" s="670" t="s">
        <v>2257</v>
      </c>
      <c r="C688" s="670" t="s">
        <v>2258</v>
      </c>
      <c r="D688" s="670" t="s">
        <v>3595</v>
      </c>
      <c r="E688" s="670" t="s">
        <v>3596</v>
      </c>
      <c r="F688" s="670">
        <v>232.0</v>
      </c>
      <c r="G688" s="670" t="s">
        <v>759</v>
      </c>
      <c r="H688" s="670" t="s">
        <v>2261</v>
      </c>
      <c r="I688" s="670" t="s">
        <v>2262</v>
      </c>
      <c r="J688" s="671">
        <v>46234.0</v>
      </c>
    </row>
    <row r="689">
      <c r="A689" s="670">
        <v>722.0</v>
      </c>
      <c r="B689" s="670" t="s">
        <v>2257</v>
      </c>
      <c r="C689" s="670" t="s">
        <v>2258</v>
      </c>
      <c r="D689" s="670" t="s">
        <v>3597</v>
      </c>
      <c r="E689" s="670" t="s">
        <v>3598</v>
      </c>
      <c r="F689" s="670">
        <v>3000.0</v>
      </c>
      <c r="G689" s="670" t="s">
        <v>1117</v>
      </c>
      <c r="H689" s="670" t="s">
        <v>2261</v>
      </c>
      <c r="I689" s="670" t="s">
        <v>2262</v>
      </c>
      <c r="J689" s="671">
        <v>46234.0</v>
      </c>
    </row>
    <row r="690">
      <c r="A690" s="670">
        <v>723.0</v>
      </c>
      <c r="B690" s="670" t="s">
        <v>2257</v>
      </c>
      <c r="C690" s="670" t="s">
        <v>2258</v>
      </c>
      <c r="D690" s="670" t="s">
        <v>3599</v>
      </c>
      <c r="E690" s="670" t="s">
        <v>3600</v>
      </c>
      <c r="F690" s="670">
        <v>11940.0</v>
      </c>
      <c r="G690" s="670" t="s">
        <v>1117</v>
      </c>
      <c r="H690" s="670" t="s">
        <v>2261</v>
      </c>
      <c r="I690" s="670" t="s">
        <v>2262</v>
      </c>
      <c r="J690" s="671">
        <v>46234.0</v>
      </c>
    </row>
    <row r="691">
      <c r="A691" s="670">
        <v>724.0</v>
      </c>
      <c r="B691" s="670" t="s">
        <v>2257</v>
      </c>
      <c r="C691" s="670" t="s">
        <v>2258</v>
      </c>
      <c r="D691" s="670" t="s">
        <v>3601</v>
      </c>
      <c r="E691" s="670" t="s">
        <v>3602</v>
      </c>
      <c r="F691" s="670">
        <v>36890.0</v>
      </c>
      <c r="G691" s="670" t="s">
        <v>1117</v>
      </c>
      <c r="H691" s="670" t="s">
        <v>2261</v>
      </c>
      <c r="I691" s="670" t="s">
        <v>2262</v>
      </c>
      <c r="J691" s="671">
        <v>46234.0</v>
      </c>
    </row>
    <row r="692">
      <c r="A692" s="670">
        <v>725.0</v>
      </c>
      <c r="B692" s="670" t="s">
        <v>2257</v>
      </c>
      <c r="C692" s="670" t="s">
        <v>2258</v>
      </c>
      <c r="D692" s="670" t="s">
        <v>3603</v>
      </c>
      <c r="E692" s="670" t="s">
        <v>3604</v>
      </c>
      <c r="F692" s="670">
        <v>64025.0</v>
      </c>
      <c r="G692" s="670" t="s">
        <v>1117</v>
      </c>
      <c r="H692" s="670" t="s">
        <v>2261</v>
      </c>
      <c r="I692" s="670" t="s">
        <v>2262</v>
      </c>
      <c r="J692" s="671">
        <v>46234.0</v>
      </c>
    </row>
    <row r="693">
      <c r="A693" s="670">
        <v>726.0</v>
      </c>
      <c r="B693" s="670" t="s">
        <v>2257</v>
      </c>
      <c r="C693" s="670" t="s">
        <v>2258</v>
      </c>
      <c r="D693" s="670" t="s">
        <v>3605</v>
      </c>
      <c r="E693" s="670" t="s">
        <v>3606</v>
      </c>
      <c r="F693" s="670">
        <v>110.0</v>
      </c>
      <c r="G693" s="670" t="s">
        <v>759</v>
      </c>
      <c r="H693" s="670" t="s">
        <v>2261</v>
      </c>
      <c r="I693" s="670" t="s">
        <v>2262</v>
      </c>
      <c r="J693" s="671">
        <v>46234.0</v>
      </c>
    </row>
    <row r="694">
      <c r="A694" s="670">
        <v>727.0</v>
      </c>
      <c r="B694" s="670" t="s">
        <v>2257</v>
      </c>
      <c r="C694" s="670" t="s">
        <v>2258</v>
      </c>
      <c r="D694" s="670" t="s">
        <v>3607</v>
      </c>
      <c r="E694" s="670" t="s">
        <v>3608</v>
      </c>
      <c r="F694" s="670">
        <v>28000.0</v>
      </c>
      <c r="G694" s="670" t="s">
        <v>1117</v>
      </c>
      <c r="H694" s="670" t="s">
        <v>2261</v>
      </c>
      <c r="I694" s="670" t="s">
        <v>2262</v>
      </c>
      <c r="J694" s="671">
        <v>46234.0</v>
      </c>
    </row>
    <row r="695">
      <c r="A695" s="670">
        <v>728.0</v>
      </c>
      <c r="B695" s="670" t="s">
        <v>2257</v>
      </c>
      <c r="C695" s="670" t="s">
        <v>2258</v>
      </c>
      <c r="D695" s="670" t="s">
        <v>3609</v>
      </c>
      <c r="E695" s="670" t="s">
        <v>3610</v>
      </c>
      <c r="F695" s="670">
        <v>32000.0</v>
      </c>
      <c r="G695" s="670" t="s">
        <v>1117</v>
      </c>
      <c r="H695" s="670" t="s">
        <v>2261</v>
      </c>
      <c r="I695" s="670" t="s">
        <v>2262</v>
      </c>
      <c r="J695" s="671">
        <v>46234.0</v>
      </c>
    </row>
    <row r="696">
      <c r="A696" s="670">
        <v>729.0</v>
      </c>
      <c r="B696" s="670" t="s">
        <v>2257</v>
      </c>
      <c r="C696" s="670" t="s">
        <v>2258</v>
      </c>
      <c r="D696" s="670" t="s">
        <v>3611</v>
      </c>
      <c r="E696" s="670" t="s">
        <v>3612</v>
      </c>
      <c r="F696" s="670">
        <v>110.0</v>
      </c>
      <c r="G696" s="670" t="s">
        <v>22</v>
      </c>
      <c r="H696" s="670" t="s">
        <v>2261</v>
      </c>
      <c r="I696" s="670" t="s">
        <v>2262</v>
      </c>
      <c r="J696" s="671">
        <v>46234.0</v>
      </c>
    </row>
    <row r="697">
      <c r="A697" s="670">
        <v>730.0</v>
      </c>
      <c r="B697" s="670" t="s">
        <v>2257</v>
      </c>
      <c r="C697" s="670" t="s">
        <v>2258</v>
      </c>
      <c r="D697" s="670" t="s">
        <v>3613</v>
      </c>
      <c r="E697" s="670" t="s">
        <v>3614</v>
      </c>
      <c r="F697" s="670">
        <v>225.0</v>
      </c>
      <c r="G697" s="670" t="s">
        <v>22</v>
      </c>
      <c r="H697" s="670" t="s">
        <v>2261</v>
      </c>
      <c r="I697" s="670" t="s">
        <v>2262</v>
      </c>
      <c r="J697" s="671">
        <v>46234.0</v>
      </c>
    </row>
    <row r="698">
      <c r="A698" s="670">
        <v>731.0</v>
      </c>
      <c r="B698" s="670" t="s">
        <v>2257</v>
      </c>
      <c r="C698" s="670" t="s">
        <v>2258</v>
      </c>
      <c r="D698" s="670" t="s">
        <v>3615</v>
      </c>
      <c r="E698" s="670" t="s">
        <v>3616</v>
      </c>
      <c r="F698" s="670">
        <v>210.0</v>
      </c>
      <c r="G698" s="670" t="s">
        <v>22</v>
      </c>
      <c r="H698" s="670" t="s">
        <v>2261</v>
      </c>
      <c r="I698" s="670" t="s">
        <v>2262</v>
      </c>
      <c r="J698" s="671">
        <v>46234.0</v>
      </c>
    </row>
    <row r="699">
      <c r="A699" s="670">
        <v>732.0</v>
      </c>
      <c r="B699" s="670" t="s">
        <v>2257</v>
      </c>
      <c r="C699" s="670" t="s">
        <v>2258</v>
      </c>
      <c r="D699" s="670" t="s">
        <v>3617</v>
      </c>
      <c r="E699" s="670" t="s">
        <v>3618</v>
      </c>
      <c r="F699" s="670">
        <v>300.0</v>
      </c>
      <c r="G699" s="670" t="s">
        <v>22</v>
      </c>
      <c r="H699" s="670" t="s">
        <v>2261</v>
      </c>
      <c r="I699" s="670" t="s">
        <v>2262</v>
      </c>
      <c r="J699" s="671">
        <v>46234.0</v>
      </c>
    </row>
    <row r="700">
      <c r="A700" s="670">
        <v>733.0</v>
      </c>
      <c r="B700" s="670" t="s">
        <v>2257</v>
      </c>
      <c r="C700" s="670" t="s">
        <v>2258</v>
      </c>
      <c r="D700" s="670" t="s">
        <v>3619</v>
      </c>
      <c r="E700" s="670" t="s">
        <v>3620</v>
      </c>
      <c r="F700" s="670">
        <v>266.0</v>
      </c>
      <c r="G700" s="670" t="s">
        <v>22</v>
      </c>
      <c r="H700" s="670" t="s">
        <v>2261</v>
      </c>
      <c r="I700" s="670" t="s">
        <v>2262</v>
      </c>
      <c r="J700" s="671">
        <v>46234.0</v>
      </c>
    </row>
    <row r="701">
      <c r="A701" s="670">
        <v>734.0</v>
      </c>
      <c r="B701" s="670" t="s">
        <v>2257</v>
      </c>
      <c r="C701" s="670" t="s">
        <v>2258</v>
      </c>
      <c r="D701" s="670" t="s">
        <v>3621</v>
      </c>
      <c r="E701" s="670" t="s">
        <v>3622</v>
      </c>
      <c r="F701" s="670">
        <v>312.0</v>
      </c>
      <c r="G701" s="670" t="s">
        <v>22</v>
      </c>
      <c r="H701" s="670" t="s">
        <v>2261</v>
      </c>
      <c r="I701" s="670" t="s">
        <v>2262</v>
      </c>
      <c r="J701" s="671">
        <v>46234.0</v>
      </c>
    </row>
    <row r="702">
      <c r="A702" s="670">
        <v>735.0</v>
      </c>
      <c r="B702" s="670" t="s">
        <v>2257</v>
      </c>
      <c r="C702" s="670" t="s">
        <v>2258</v>
      </c>
      <c r="D702" s="670" t="s">
        <v>3623</v>
      </c>
      <c r="E702" s="670" t="s">
        <v>3624</v>
      </c>
      <c r="F702" s="670">
        <v>400.0</v>
      </c>
      <c r="G702" s="670" t="s">
        <v>22</v>
      </c>
      <c r="H702" s="670" t="s">
        <v>2261</v>
      </c>
      <c r="I702" s="670" t="s">
        <v>2262</v>
      </c>
      <c r="J702" s="671">
        <v>46234.0</v>
      </c>
    </row>
    <row r="703">
      <c r="A703" s="670">
        <v>736.0</v>
      </c>
      <c r="B703" s="670" t="s">
        <v>2257</v>
      </c>
      <c r="C703" s="670" t="s">
        <v>2258</v>
      </c>
      <c r="D703" s="670" t="s">
        <v>3625</v>
      </c>
      <c r="E703" s="670" t="s">
        <v>3626</v>
      </c>
      <c r="F703" s="670">
        <v>450.0</v>
      </c>
      <c r="G703" s="670" t="s">
        <v>22</v>
      </c>
      <c r="H703" s="670" t="s">
        <v>2261</v>
      </c>
      <c r="I703" s="670" t="s">
        <v>2262</v>
      </c>
      <c r="J703" s="671">
        <v>46234.0</v>
      </c>
    </row>
    <row r="704">
      <c r="A704" s="670">
        <v>737.0</v>
      </c>
      <c r="B704" s="670" t="s">
        <v>2257</v>
      </c>
      <c r="C704" s="670" t="s">
        <v>2258</v>
      </c>
      <c r="D704" s="670" t="s">
        <v>3627</v>
      </c>
      <c r="E704" s="670" t="s">
        <v>3628</v>
      </c>
      <c r="F704" s="670">
        <v>500.0</v>
      </c>
      <c r="G704" s="670" t="s">
        <v>22</v>
      </c>
      <c r="H704" s="670" t="s">
        <v>2261</v>
      </c>
      <c r="I704" s="670" t="s">
        <v>2262</v>
      </c>
      <c r="J704" s="671">
        <v>46234.0</v>
      </c>
    </row>
    <row r="705">
      <c r="A705" s="670">
        <v>738.0</v>
      </c>
      <c r="B705" s="670" t="s">
        <v>2257</v>
      </c>
      <c r="C705" s="670" t="s">
        <v>2258</v>
      </c>
      <c r="D705" s="670" t="s">
        <v>3629</v>
      </c>
      <c r="E705" s="670" t="s">
        <v>3630</v>
      </c>
      <c r="F705" s="670">
        <v>20000.0</v>
      </c>
      <c r="G705" s="670" t="s">
        <v>1117</v>
      </c>
      <c r="H705" s="670" t="s">
        <v>2261</v>
      </c>
      <c r="I705" s="670" t="s">
        <v>2262</v>
      </c>
      <c r="J705" s="671">
        <v>46234.0</v>
      </c>
    </row>
    <row r="706">
      <c r="A706" s="670">
        <v>739.0</v>
      </c>
      <c r="B706" s="670" t="s">
        <v>2257</v>
      </c>
      <c r="C706" s="670" t="s">
        <v>2258</v>
      </c>
      <c r="D706" s="670" t="s">
        <v>3631</v>
      </c>
      <c r="E706" s="670" t="s">
        <v>3632</v>
      </c>
      <c r="F706" s="670">
        <v>1059.0</v>
      </c>
      <c r="G706" s="670" t="s">
        <v>22</v>
      </c>
      <c r="H706" s="670" t="s">
        <v>2261</v>
      </c>
      <c r="I706" s="670" t="s">
        <v>2262</v>
      </c>
      <c r="J706" s="671">
        <v>46234.0</v>
      </c>
    </row>
    <row r="707">
      <c r="A707" s="670">
        <v>740.0</v>
      </c>
      <c r="B707" s="670" t="s">
        <v>2719</v>
      </c>
      <c r="C707" s="670" t="s">
        <v>2258</v>
      </c>
      <c r="D707" s="670" t="s">
        <v>3633</v>
      </c>
      <c r="E707" s="670" t="s">
        <v>3634</v>
      </c>
      <c r="F707" s="670">
        <v>700.0</v>
      </c>
      <c r="G707" s="670" t="s">
        <v>27</v>
      </c>
      <c r="H707" s="670" t="s">
        <v>2261</v>
      </c>
      <c r="I707" s="670" t="s">
        <v>2262</v>
      </c>
      <c r="J707" s="671">
        <v>46234.0</v>
      </c>
    </row>
    <row r="708">
      <c r="A708" s="670">
        <v>741.0</v>
      </c>
      <c r="B708" s="670" t="s">
        <v>2257</v>
      </c>
      <c r="C708" s="670" t="s">
        <v>2258</v>
      </c>
      <c r="D708" s="670" t="s">
        <v>3635</v>
      </c>
      <c r="E708" s="670" t="s">
        <v>3636</v>
      </c>
      <c r="F708" s="670">
        <v>530.0</v>
      </c>
      <c r="G708" s="670" t="s">
        <v>43</v>
      </c>
      <c r="H708" s="670" t="s">
        <v>2261</v>
      </c>
      <c r="I708" s="670" t="s">
        <v>2262</v>
      </c>
      <c r="J708" s="671">
        <v>46234.0</v>
      </c>
    </row>
    <row r="709">
      <c r="A709" s="670">
        <v>742.0</v>
      </c>
      <c r="B709" s="670" t="s">
        <v>2257</v>
      </c>
      <c r="C709" s="670" t="s">
        <v>2258</v>
      </c>
      <c r="D709" s="670" t="s">
        <v>3638</v>
      </c>
      <c r="E709" s="670" t="s">
        <v>1308</v>
      </c>
      <c r="F709" s="670">
        <v>860.0</v>
      </c>
      <c r="G709" s="670" t="s">
        <v>43</v>
      </c>
      <c r="H709" s="670" t="s">
        <v>2261</v>
      </c>
      <c r="I709" s="670" t="s">
        <v>2262</v>
      </c>
      <c r="J709" s="671">
        <v>46234.0</v>
      </c>
    </row>
    <row r="710">
      <c r="A710" s="670">
        <v>743.0</v>
      </c>
      <c r="B710" s="670" t="s">
        <v>2257</v>
      </c>
      <c r="C710" s="670" t="s">
        <v>2258</v>
      </c>
      <c r="D710" s="670" t="s">
        <v>3639</v>
      </c>
      <c r="E710" s="670" t="s">
        <v>3640</v>
      </c>
      <c r="F710" s="670">
        <v>158.0</v>
      </c>
      <c r="G710" s="670" t="s">
        <v>43</v>
      </c>
      <c r="H710" s="670" t="s">
        <v>2261</v>
      </c>
      <c r="I710" s="670" t="s">
        <v>2262</v>
      </c>
      <c r="J710" s="671">
        <v>46234.0</v>
      </c>
    </row>
    <row r="711">
      <c r="A711" s="670">
        <v>744.0</v>
      </c>
      <c r="B711" s="670" t="s">
        <v>2257</v>
      </c>
      <c r="C711" s="670" t="s">
        <v>2258</v>
      </c>
      <c r="D711" s="670" t="s">
        <v>3642</v>
      </c>
      <c r="E711" s="670" t="s">
        <v>3643</v>
      </c>
      <c r="F711" s="670">
        <v>2406.0</v>
      </c>
      <c r="G711" s="670" t="s">
        <v>43</v>
      </c>
      <c r="H711" s="670" t="s">
        <v>2261</v>
      </c>
      <c r="I711" s="670" t="s">
        <v>2262</v>
      </c>
      <c r="J711" s="671">
        <v>46234.0</v>
      </c>
    </row>
    <row r="712">
      <c r="A712" s="670">
        <v>745.0</v>
      </c>
      <c r="B712" s="670" t="s">
        <v>2257</v>
      </c>
      <c r="C712" s="670" t="s">
        <v>2258</v>
      </c>
      <c r="D712" s="670" t="s">
        <v>3644</v>
      </c>
      <c r="E712" s="670" t="s">
        <v>3645</v>
      </c>
      <c r="F712" s="670">
        <v>111.0</v>
      </c>
      <c r="G712" s="670" t="s">
        <v>22</v>
      </c>
      <c r="H712" s="670" t="s">
        <v>2261</v>
      </c>
      <c r="I712" s="670" t="s">
        <v>2262</v>
      </c>
      <c r="J712" s="671">
        <v>46234.0</v>
      </c>
    </row>
    <row r="713">
      <c r="A713" s="670">
        <v>746.0</v>
      </c>
      <c r="B713" s="670" t="s">
        <v>2257</v>
      </c>
      <c r="C713" s="670" t="s">
        <v>2258</v>
      </c>
      <c r="D713" s="670" t="s">
        <v>3646</v>
      </c>
      <c r="E713" s="670" t="s">
        <v>3647</v>
      </c>
      <c r="F713" s="670">
        <v>1600.0</v>
      </c>
      <c r="G713" s="670" t="s">
        <v>43</v>
      </c>
      <c r="H713" s="670" t="s">
        <v>2261</v>
      </c>
      <c r="I713" s="670" t="s">
        <v>2262</v>
      </c>
      <c r="J713" s="671">
        <v>46234.0</v>
      </c>
    </row>
    <row r="714">
      <c r="A714" s="670">
        <v>747.0</v>
      </c>
      <c r="B714" s="670" t="s">
        <v>2257</v>
      </c>
      <c r="C714" s="670" t="s">
        <v>2258</v>
      </c>
      <c r="D714" s="670" t="s">
        <v>3648</v>
      </c>
      <c r="E714" s="670" t="s">
        <v>3649</v>
      </c>
      <c r="F714" s="670">
        <v>316.0</v>
      </c>
      <c r="G714" s="670" t="s">
        <v>43</v>
      </c>
      <c r="H714" s="670" t="s">
        <v>2261</v>
      </c>
      <c r="I714" s="670" t="s">
        <v>2262</v>
      </c>
      <c r="J714" s="671">
        <v>46234.0</v>
      </c>
    </row>
    <row r="715">
      <c r="A715" s="670">
        <v>748.0</v>
      </c>
      <c r="B715" s="670" t="s">
        <v>2257</v>
      </c>
      <c r="C715" s="670" t="s">
        <v>2258</v>
      </c>
      <c r="D715" s="670" t="s">
        <v>3650</v>
      </c>
      <c r="E715" s="670" t="s">
        <v>3651</v>
      </c>
      <c r="F715" s="670">
        <v>250.0</v>
      </c>
      <c r="G715" s="670" t="s">
        <v>3652</v>
      </c>
      <c r="H715" s="670" t="s">
        <v>2261</v>
      </c>
      <c r="I715" s="670" t="s">
        <v>2262</v>
      </c>
      <c r="J715" s="671">
        <v>46234.0</v>
      </c>
    </row>
    <row r="716">
      <c r="A716" s="670">
        <v>750.0</v>
      </c>
      <c r="B716" s="670" t="s">
        <v>2257</v>
      </c>
      <c r="C716" s="670" t="s">
        <v>2258</v>
      </c>
      <c r="D716" s="670" t="s">
        <v>3653</v>
      </c>
      <c r="E716" s="670" t="s">
        <v>3654</v>
      </c>
      <c r="F716" s="670">
        <v>86.0</v>
      </c>
      <c r="G716" s="670" t="s">
        <v>824</v>
      </c>
      <c r="H716" s="670" t="s">
        <v>2261</v>
      </c>
      <c r="I716" s="670" t="s">
        <v>2262</v>
      </c>
      <c r="J716" s="671">
        <v>46234.0</v>
      </c>
    </row>
    <row r="717">
      <c r="A717" s="670">
        <v>751.0</v>
      </c>
      <c r="B717" s="670" t="s">
        <v>2257</v>
      </c>
      <c r="C717" s="670" t="s">
        <v>2258</v>
      </c>
      <c r="D717" s="670" t="s">
        <v>3655</v>
      </c>
      <c r="E717" s="670" t="s">
        <v>3656</v>
      </c>
      <c r="F717" s="670">
        <v>287.0</v>
      </c>
      <c r="G717" s="670" t="s">
        <v>824</v>
      </c>
      <c r="H717" s="670" t="s">
        <v>2261</v>
      </c>
      <c r="I717" s="670" t="s">
        <v>2262</v>
      </c>
      <c r="J717" s="671">
        <v>46234.0</v>
      </c>
    </row>
    <row r="718">
      <c r="A718" s="670">
        <v>752.0</v>
      </c>
      <c r="B718" s="670" t="s">
        <v>2719</v>
      </c>
      <c r="C718" s="670" t="s">
        <v>2258</v>
      </c>
      <c r="D718" s="670" t="s">
        <v>3657</v>
      </c>
      <c r="E718" s="670" t="s">
        <v>3658</v>
      </c>
      <c r="F718" s="670">
        <v>293.0</v>
      </c>
      <c r="G718" s="670" t="s">
        <v>3659</v>
      </c>
      <c r="H718" s="670" t="s">
        <v>2261</v>
      </c>
      <c r="I718" s="670" t="s">
        <v>2262</v>
      </c>
      <c r="J718" s="671">
        <v>46234.0</v>
      </c>
    </row>
    <row r="719">
      <c r="A719" s="670">
        <v>753.0</v>
      </c>
      <c r="B719" s="670" t="s">
        <v>2719</v>
      </c>
      <c r="C719" s="670" t="s">
        <v>2258</v>
      </c>
      <c r="D719" s="670" t="s">
        <v>3660</v>
      </c>
      <c r="E719" s="670" t="s">
        <v>3661</v>
      </c>
      <c r="F719" s="670">
        <v>293.0</v>
      </c>
      <c r="G719" s="670" t="s">
        <v>22</v>
      </c>
      <c r="H719" s="670" t="s">
        <v>2261</v>
      </c>
      <c r="I719" s="670" t="s">
        <v>2262</v>
      </c>
      <c r="J719" s="671">
        <v>46234.0</v>
      </c>
    </row>
    <row r="720">
      <c r="A720" s="670">
        <v>754.0</v>
      </c>
      <c r="B720" s="670" t="s">
        <v>2257</v>
      </c>
      <c r="C720" s="670" t="s">
        <v>2258</v>
      </c>
      <c r="D720" s="670" t="s">
        <v>3662</v>
      </c>
      <c r="E720" s="670" t="s">
        <v>3663</v>
      </c>
      <c r="F720" s="670">
        <v>8000.0</v>
      </c>
      <c r="G720" s="670" t="s">
        <v>43</v>
      </c>
      <c r="H720" s="670" t="s">
        <v>2261</v>
      </c>
      <c r="I720" s="670" t="s">
        <v>2262</v>
      </c>
      <c r="J720" s="671">
        <v>46234.0</v>
      </c>
    </row>
    <row r="721">
      <c r="A721" s="670">
        <v>755.0</v>
      </c>
      <c r="B721" s="670" t="s">
        <v>2257</v>
      </c>
      <c r="C721" s="670" t="s">
        <v>2258</v>
      </c>
      <c r="D721" s="670" t="s">
        <v>3664</v>
      </c>
      <c r="E721" s="670" t="s">
        <v>3665</v>
      </c>
      <c r="F721" s="670">
        <v>52.0</v>
      </c>
      <c r="G721" s="670" t="s">
        <v>3666</v>
      </c>
      <c r="H721" s="670" t="s">
        <v>2261</v>
      </c>
      <c r="I721" s="670" t="s">
        <v>2262</v>
      </c>
      <c r="J721" s="671">
        <v>46234.0</v>
      </c>
    </row>
    <row r="722">
      <c r="A722" s="670">
        <v>756.0</v>
      </c>
      <c r="B722" s="670" t="s">
        <v>2257</v>
      </c>
      <c r="C722" s="670" t="s">
        <v>2258</v>
      </c>
      <c r="D722" s="670" t="s">
        <v>3667</v>
      </c>
      <c r="E722" s="670" t="s">
        <v>3668</v>
      </c>
      <c r="F722" s="670">
        <v>39.0</v>
      </c>
      <c r="G722" s="670" t="s">
        <v>3669</v>
      </c>
      <c r="H722" s="670" t="s">
        <v>2261</v>
      </c>
      <c r="I722" s="670" t="s">
        <v>2262</v>
      </c>
      <c r="J722" s="671">
        <v>46234.0</v>
      </c>
    </row>
    <row r="723">
      <c r="A723" s="670">
        <v>757.0</v>
      </c>
      <c r="B723" s="670" t="s">
        <v>2257</v>
      </c>
      <c r="C723" s="670" t="s">
        <v>2258</v>
      </c>
      <c r="D723" s="670" t="s">
        <v>3670</v>
      </c>
      <c r="E723" s="670" t="s">
        <v>3671</v>
      </c>
      <c r="F723" s="670">
        <v>159.0</v>
      </c>
      <c r="G723" s="670" t="s">
        <v>759</v>
      </c>
      <c r="H723" s="670" t="s">
        <v>2261</v>
      </c>
      <c r="I723" s="670" t="s">
        <v>2262</v>
      </c>
      <c r="J723" s="671">
        <v>46234.0</v>
      </c>
    </row>
    <row r="724">
      <c r="A724" s="670">
        <v>758.0</v>
      </c>
      <c r="B724" s="670" t="s">
        <v>2257</v>
      </c>
      <c r="C724" s="670" t="s">
        <v>2258</v>
      </c>
      <c r="D724" s="670" t="s">
        <v>3672</v>
      </c>
      <c r="E724" s="670" t="s">
        <v>3673</v>
      </c>
      <c r="F724" s="670">
        <v>52.0</v>
      </c>
      <c r="G724" s="670" t="s">
        <v>3666</v>
      </c>
      <c r="H724" s="670" t="s">
        <v>2261</v>
      </c>
      <c r="I724" s="670" t="s">
        <v>2262</v>
      </c>
      <c r="J724" s="671">
        <v>46234.0</v>
      </c>
    </row>
    <row r="725">
      <c r="A725" s="670">
        <v>759.0</v>
      </c>
      <c r="B725" s="670" t="s">
        <v>2257</v>
      </c>
      <c r="C725" s="670" t="s">
        <v>2258</v>
      </c>
      <c r="D725" s="670" t="s">
        <v>3674</v>
      </c>
      <c r="E725" s="670" t="s">
        <v>3675</v>
      </c>
      <c r="F725" s="670">
        <v>596.0</v>
      </c>
      <c r="G725" s="670" t="s">
        <v>305</v>
      </c>
      <c r="H725" s="670" t="s">
        <v>2261</v>
      </c>
      <c r="I725" s="670" t="s">
        <v>2262</v>
      </c>
      <c r="J725" s="671">
        <v>46234.0</v>
      </c>
    </row>
    <row r="726">
      <c r="A726" s="670">
        <v>760.0</v>
      </c>
      <c r="B726" s="670" t="s">
        <v>2257</v>
      </c>
      <c r="C726" s="670" t="s">
        <v>2258</v>
      </c>
      <c r="D726" s="670" t="s">
        <v>3676</v>
      </c>
      <c r="E726" s="670" t="s">
        <v>3677</v>
      </c>
      <c r="F726" s="670">
        <v>211.0</v>
      </c>
      <c r="G726" s="670" t="s">
        <v>3652</v>
      </c>
      <c r="H726" s="670" t="s">
        <v>2261</v>
      </c>
      <c r="I726" s="670" t="s">
        <v>2262</v>
      </c>
      <c r="J726" s="671">
        <v>46234.0</v>
      </c>
    </row>
    <row r="727">
      <c r="A727" s="670">
        <v>761.0</v>
      </c>
      <c r="B727" s="670" t="s">
        <v>2257</v>
      </c>
      <c r="C727" s="670" t="s">
        <v>2258</v>
      </c>
      <c r="D727" s="670" t="s">
        <v>3678</v>
      </c>
      <c r="E727" s="670" t="s">
        <v>3679</v>
      </c>
      <c r="F727" s="670">
        <v>1000.0</v>
      </c>
      <c r="G727" s="670" t="s">
        <v>43</v>
      </c>
      <c r="H727" s="670" t="s">
        <v>2572</v>
      </c>
      <c r="I727" s="670" t="s">
        <v>2573</v>
      </c>
      <c r="J727" s="671">
        <v>46234.0</v>
      </c>
    </row>
    <row r="728">
      <c r="A728" s="670">
        <v>762.0</v>
      </c>
      <c r="B728" s="670" t="s">
        <v>2257</v>
      </c>
      <c r="C728" s="670" t="s">
        <v>2258</v>
      </c>
      <c r="D728" s="670" t="s">
        <v>3680</v>
      </c>
      <c r="E728" s="670" t="s">
        <v>3681</v>
      </c>
      <c r="F728" s="670">
        <v>2600.0</v>
      </c>
      <c r="G728" s="670" t="s">
        <v>22</v>
      </c>
      <c r="H728" s="670" t="s">
        <v>2261</v>
      </c>
      <c r="I728" s="670" t="s">
        <v>2262</v>
      </c>
      <c r="J728" s="671">
        <v>46234.0</v>
      </c>
    </row>
    <row r="729">
      <c r="A729" s="670">
        <v>763.0</v>
      </c>
      <c r="B729" s="670" t="s">
        <v>2257</v>
      </c>
      <c r="C729" s="670" t="s">
        <v>2258</v>
      </c>
      <c r="D729" s="670" t="s">
        <v>3682</v>
      </c>
      <c r="E729" s="670" t="s">
        <v>3683</v>
      </c>
      <c r="F729" s="670">
        <v>750.0</v>
      </c>
      <c r="G729" s="670" t="s">
        <v>305</v>
      </c>
      <c r="H729" s="670" t="s">
        <v>2261</v>
      </c>
      <c r="I729" s="670" t="s">
        <v>2262</v>
      </c>
      <c r="J729" s="671">
        <v>46234.0</v>
      </c>
    </row>
    <row r="730">
      <c r="A730" s="670">
        <v>764.0</v>
      </c>
      <c r="B730" s="670" t="s">
        <v>2257</v>
      </c>
      <c r="C730" s="670" t="s">
        <v>2258</v>
      </c>
      <c r="D730" s="670" t="s">
        <v>3684</v>
      </c>
      <c r="E730" s="670" t="s">
        <v>3685</v>
      </c>
      <c r="F730" s="670">
        <v>150.0</v>
      </c>
      <c r="G730" s="670" t="s">
        <v>759</v>
      </c>
      <c r="H730" s="670" t="s">
        <v>2261</v>
      </c>
      <c r="I730" s="670" t="s">
        <v>2262</v>
      </c>
      <c r="J730" s="671">
        <v>46234.0</v>
      </c>
    </row>
    <row r="731">
      <c r="A731" s="670">
        <v>765.0</v>
      </c>
      <c r="B731" s="670" t="s">
        <v>2257</v>
      </c>
      <c r="C731" s="670" t="s">
        <v>2258</v>
      </c>
      <c r="D731" s="670" t="s">
        <v>3686</v>
      </c>
      <c r="E731" s="670" t="s">
        <v>3687</v>
      </c>
      <c r="F731" s="670">
        <v>1600.0</v>
      </c>
      <c r="G731" s="670" t="s">
        <v>22</v>
      </c>
      <c r="H731" s="670" t="s">
        <v>2261</v>
      </c>
      <c r="I731" s="670" t="s">
        <v>2262</v>
      </c>
      <c r="J731" s="671">
        <v>46234.0</v>
      </c>
    </row>
    <row r="732">
      <c r="A732" s="670">
        <v>766.0</v>
      </c>
      <c r="B732" s="670" t="s">
        <v>2257</v>
      </c>
      <c r="C732" s="670" t="s">
        <v>2258</v>
      </c>
      <c r="D732" s="670" t="s">
        <v>3688</v>
      </c>
      <c r="E732" s="670" t="s">
        <v>3689</v>
      </c>
      <c r="F732" s="670">
        <v>343.0</v>
      </c>
      <c r="G732" s="670" t="s">
        <v>22</v>
      </c>
      <c r="H732" s="670" t="s">
        <v>2261</v>
      </c>
      <c r="I732" s="670" t="s">
        <v>2262</v>
      </c>
      <c r="J732" s="671">
        <v>46234.0</v>
      </c>
    </row>
    <row r="733">
      <c r="A733" s="670">
        <v>767.0</v>
      </c>
      <c r="B733" s="670" t="s">
        <v>2257</v>
      </c>
      <c r="C733" s="670" t="s">
        <v>2258</v>
      </c>
      <c r="D733" s="670" t="s">
        <v>3690</v>
      </c>
      <c r="E733" s="670" t="s">
        <v>3691</v>
      </c>
      <c r="F733" s="670">
        <v>78.0</v>
      </c>
      <c r="G733" s="670" t="s">
        <v>759</v>
      </c>
      <c r="H733" s="670" t="s">
        <v>2261</v>
      </c>
      <c r="I733" s="670" t="s">
        <v>2262</v>
      </c>
      <c r="J733" s="671">
        <v>46234.0</v>
      </c>
    </row>
    <row r="734">
      <c r="A734" s="670">
        <v>768.0</v>
      </c>
      <c r="B734" s="670" t="s">
        <v>2257</v>
      </c>
      <c r="C734" s="670" t="s">
        <v>2258</v>
      </c>
      <c r="D734" s="670" t="s">
        <v>3692</v>
      </c>
      <c r="E734" s="670" t="s">
        <v>3693</v>
      </c>
      <c r="F734" s="670">
        <v>130.0</v>
      </c>
      <c r="G734" s="670" t="s">
        <v>3659</v>
      </c>
      <c r="H734" s="670" t="s">
        <v>2261</v>
      </c>
      <c r="I734" s="670" t="s">
        <v>2262</v>
      </c>
      <c r="J734" s="671">
        <v>46234.0</v>
      </c>
    </row>
    <row r="735">
      <c r="A735" s="670">
        <v>769.0</v>
      </c>
      <c r="B735" s="670" t="s">
        <v>2257</v>
      </c>
      <c r="C735" s="670" t="s">
        <v>2258</v>
      </c>
      <c r="D735" s="670" t="s">
        <v>3694</v>
      </c>
      <c r="E735" s="670" t="s">
        <v>3695</v>
      </c>
      <c r="F735" s="670">
        <v>700.0</v>
      </c>
      <c r="G735" s="670" t="s">
        <v>43</v>
      </c>
      <c r="H735" s="670" t="s">
        <v>2261</v>
      </c>
      <c r="I735" s="670" t="s">
        <v>2262</v>
      </c>
      <c r="J735" s="671">
        <v>46234.0</v>
      </c>
    </row>
    <row r="736">
      <c r="A736" s="670">
        <v>771.0</v>
      </c>
      <c r="B736" s="670" t="s">
        <v>2257</v>
      </c>
      <c r="C736" s="670" t="s">
        <v>2258</v>
      </c>
      <c r="D736" s="670" t="s">
        <v>3696</v>
      </c>
      <c r="E736" s="670" t="s">
        <v>3697</v>
      </c>
      <c r="F736" s="670">
        <v>8000.0</v>
      </c>
      <c r="G736" s="670" t="s">
        <v>1570</v>
      </c>
      <c r="H736" s="670" t="s">
        <v>2261</v>
      </c>
      <c r="I736" s="670" t="s">
        <v>2262</v>
      </c>
      <c r="J736" s="671">
        <v>46234.0</v>
      </c>
    </row>
    <row r="737">
      <c r="A737" s="670">
        <v>772.0</v>
      </c>
      <c r="B737" s="670" t="s">
        <v>2257</v>
      </c>
      <c r="C737" s="670" t="s">
        <v>2258</v>
      </c>
      <c r="D737" s="670" t="s">
        <v>3698</v>
      </c>
      <c r="E737" s="670" t="s">
        <v>3699</v>
      </c>
      <c r="F737" s="670">
        <v>260.0</v>
      </c>
      <c r="G737" s="670" t="s">
        <v>22</v>
      </c>
      <c r="H737" s="670" t="s">
        <v>2261</v>
      </c>
      <c r="I737" s="670" t="s">
        <v>2262</v>
      </c>
      <c r="J737" s="671">
        <v>46234.0</v>
      </c>
    </row>
    <row r="738">
      <c r="A738" s="670">
        <v>773.0</v>
      </c>
      <c r="B738" s="670" t="s">
        <v>2257</v>
      </c>
      <c r="C738" s="670" t="s">
        <v>2258</v>
      </c>
      <c r="D738" s="670" t="s">
        <v>3700</v>
      </c>
      <c r="E738" s="670" t="s">
        <v>3701</v>
      </c>
      <c r="F738" s="670">
        <v>320.0</v>
      </c>
      <c r="G738" s="670" t="s">
        <v>759</v>
      </c>
      <c r="H738" s="670" t="s">
        <v>2261</v>
      </c>
      <c r="I738" s="670" t="s">
        <v>2262</v>
      </c>
      <c r="J738" s="671">
        <v>46234.0</v>
      </c>
    </row>
    <row r="739">
      <c r="A739" s="670">
        <v>774.0</v>
      </c>
      <c r="B739" s="670" t="s">
        <v>2257</v>
      </c>
      <c r="C739" s="670" t="s">
        <v>2258</v>
      </c>
      <c r="D739" s="670" t="s">
        <v>3702</v>
      </c>
      <c r="E739" s="670" t="s">
        <v>3703</v>
      </c>
      <c r="F739" s="670">
        <v>900.0</v>
      </c>
      <c r="G739" s="670" t="s">
        <v>43</v>
      </c>
      <c r="H739" s="670" t="s">
        <v>2261</v>
      </c>
      <c r="I739" s="670" t="s">
        <v>2262</v>
      </c>
      <c r="J739" s="671">
        <v>46234.0</v>
      </c>
    </row>
    <row r="740">
      <c r="A740" s="670">
        <v>775.0</v>
      </c>
      <c r="B740" s="670" t="s">
        <v>2257</v>
      </c>
      <c r="C740" s="670" t="s">
        <v>2258</v>
      </c>
      <c r="D740" s="670" t="s">
        <v>3704</v>
      </c>
      <c r="E740" s="670" t="s">
        <v>3705</v>
      </c>
      <c r="F740" s="670">
        <v>630.0</v>
      </c>
      <c r="G740" s="670" t="s">
        <v>43</v>
      </c>
      <c r="H740" s="670" t="s">
        <v>2261</v>
      </c>
      <c r="I740" s="670" t="s">
        <v>2262</v>
      </c>
      <c r="J740" s="671">
        <v>46234.0</v>
      </c>
    </row>
    <row r="741">
      <c r="A741" s="670">
        <v>776.0</v>
      </c>
      <c r="B741" s="670" t="s">
        <v>2257</v>
      </c>
      <c r="C741" s="673" t="s">
        <v>2258</v>
      </c>
      <c r="D741" s="670" t="s">
        <v>3706</v>
      </c>
      <c r="E741" s="670" t="s">
        <v>3707</v>
      </c>
      <c r="F741" s="670">
        <v>250.0</v>
      </c>
      <c r="G741" s="670" t="s">
        <v>43</v>
      </c>
      <c r="H741" s="670" t="s">
        <v>2261</v>
      </c>
      <c r="I741" s="670" t="s">
        <v>2262</v>
      </c>
      <c r="J741" s="671">
        <v>46234.0</v>
      </c>
    </row>
    <row r="742">
      <c r="A742" s="670">
        <v>777.0</v>
      </c>
      <c r="B742" s="670" t="s">
        <v>2257</v>
      </c>
      <c r="C742" s="670" t="s">
        <v>2258</v>
      </c>
      <c r="D742" s="670" t="s">
        <v>3708</v>
      </c>
      <c r="E742" s="670" t="s">
        <v>3709</v>
      </c>
      <c r="F742" s="670">
        <v>6100.0</v>
      </c>
      <c r="G742" s="670" t="s">
        <v>43</v>
      </c>
      <c r="H742" s="670" t="s">
        <v>2261</v>
      </c>
      <c r="I742" s="670" t="s">
        <v>2262</v>
      </c>
      <c r="J742" s="671">
        <v>46234.0</v>
      </c>
    </row>
    <row r="743">
      <c r="A743" s="670">
        <v>778.0</v>
      </c>
      <c r="B743" s="670" t="s">
        <v>2257</v>
      </c>
      <c r="C743" s="670" t="s">
        <v>2258</v>
      </c>
      <c r="D743" s="670" t="s">
        <v>3710</v>
      </c>
      <c r="E743" s="670" t="s">
        <v>3711</v>
      </c>
      <c r="F743" s="670">
        <v>65.0</v>
      </c>
      <c r="G743" s="670" t="s">
        <v>43</v>
      </c>
      <c r="H743" s="670" t="s">
        <v>2261</v>
      </c>
      <c r="I743" s="670" t="s">
        <v>2262</v>
      </c>
      <c r="J743" s="671">
        <v>46234.0</v>
      </c>
    </row>
    <row r="744">
      <c r="A744" s="670">
        <v>779.0</v>
      </c>
      <c r="B744" s="670" t="s">
        <v>2257</v>
      </c>
      <c r="C744" s="670" t="s">
        <v>2258</v>
      </c>
      <c r="D744" s="670" t="s">
        <v>3712</v>
      </c>
      <c r="E744" s="670" t="s">
        <v>3713</v>
      </c>
      <c r="F744" s="670">
        <v>1600.0</v>
      </c>
      <c r="G744" s="670" t="s">
        <v>43</v>
      </c>
      <c r="H744" s="670" t="s">
        <v>2261</v>
      </c>
      <c r="I744" s="670" t="s">
        <v>2262</v>
      </c>
      <c r="J744" s="671">
        <v>46234.0</v>
      </c>
    </row>
    <row r="745">
      <c r="A745" s="670">
        <v>780.0</v>
      </c>
      <c r="B745" s="670" t="s">
        <v>2257</v>
      </c>
      <c r="C745" s="670" t="s">
        <v>2258</v>
      </c>
      <c r="D745" s="670" t="s">
        <v>3714</v>
      </c>
      <c r="E745" s="670" t="s">
        <v>3715</v>
      </c>
      <c r="F745" s="670">
        <v>610.0</v>
      </c>
      <c r="G745" s="670" t="s">
        <v>43</v>
      </c>
      <c r="H745" s="670" t="s">
        <v>2261</v>
      </c>
      <c r="I745" s="670" t="s">
        <v>2262</v>
      </c>
      <c r="J745" s="671">
        <v>46234.0</v>
      </c>
    </row>
    <row r="746">
      <c r="A746" s="670">
        <v>781.0</v>
      </c>
      <c r="B746" s="670" t="s">
        <v>2257</v>
      </c>
      <c r="C746" s="670" t="s">
        <v>2258</v>
      </c>
      <c r="D746" s="670" t="s">
        <v>3716</v>
      </c>
      <c r="E746" s="670" t="s">
        <v>3717</v>
      </c>
      <c r="F746" s="670">
        <v>1250.0</v>
      </c>
      <c r="G746" s="670" t="s">
        <v>43</v>
      </c>
      <c r="H746" s="670" t="s">
        <v>2261</v>
      </c>
      <c r="I746" s="670" t="s">
        <v>2262</v>
      </c>
      <c r="J746" s="671">
        <v>46234.0</v>
      </c>
    </row>
    <row r="747">
      <c r="A747" s="670">
        <v>782.0</v>
      </c>
      <c r="B747" s="670" t="s">
        <v>2257</v>
      </c>
      <c r="C747" s="670" t="s">
        <v>2258</v>
      </c>
      <c r="D747" s="670" t="s">
        <v>3718</v>
      </c>
      <c r="E747" s="670" t="s">
        <v>3720</v>
      </c>
      <c r="F747" s="670">
        <v>900.0</v>
      </c>
      <c r="G747" s="670" t="s">
        <v>43</v>
      </c>
      <c r="H747" s="670" t="s">
        <v>2261</v>
      </c>
      <c r="I747" s="670" t="s">
        <v>2262</v>
      </c>
      <c r="J747" s="671">
        <v>46234.0</v>
      </c>
    </row>
    <row r="748">
      <c r="A748" s="670">
        <v>783.0</v>
      </c>
      <c r="B748" s="670" t="s">
        <v>2257</v>
      </c>
      <c r="C748" s="670" t="s">
        <v>2258</v>
      </c>
      <c r="D748" s="670" t="s">
        <v>3721</v>
      </c>
      <c r="E748" s="670" t="s">
        <v>3722</v>
      </c>
      <c r="F748" s="670">
        <v>16.0</v>
      </c>
      <c r="G748" s="670" t="s">
        <v>43</v>
      </c>
      <c r="H748" s="670" t="s">
        <v>2261</v>
      </c>
      <c r="I748" s="670" t="s">
        <v>2262</v>
      </c>
      <c r="J748" s="671">
        <v>46234.0</v>
      </c>
    </row>
    <row r="749">
      <c r="A749" s="670">
        <v>784.0</v>
      </c>
      <c r="B749" s="670" t="s">
        <v>2257</v>
      </c>
      <c r="C749" s="670" t="s">
        <v>2258</v>
      </c>
      <c r="D749" s="670" t="s">
        <v>3723</v>
      </c>
      <c r="E749" s="670" t="s">
        <v>3724</v>
      </c>
      <c r="F749" s="670">
        <v>170.0</v>
      </c>
      <c r="G749" s="670" t="s">
        <v>22</v>
      </c>
      <c r="H749" s="670" t="s">
        <v>2261</v>
      </c>
      <c r="I749" s="670" t="s">
        <v>2262</v>
      </c>
      <c r="J749" s="671">
        <v>46234.0</v>
      </c>
    </row>
    <row r="750">
      <c r="A750" s="670">
        <v>785.0</v>
      </c>
      <c r="B750" s="670" t="s">
        <v>2257</v>
      </c>
      <c r="C750" s="670" t="s">
        <v>2258</v>
      </c>
      <c r="D750" s="670" t="s">
        <v>3726</v>
      </c>
      <c r="E750" s="670" t="s">
        <v>3727</v>
      </c>
      <c r="F750" s="670">
        <v>270.0</v>
      </c>
      <c r="G750" s="670" t="s">
        <v>22</v>
      </c>
      <c r="H750" s="670" t="s">
        <v>2261</v>
      </c>
      <c r="I750" s="670" t="s">
        <v>2262</v>
      </c>
      <c r="J750" s="671">
        <v>46234.0</v>
      </c>
    </row>
    <row r="751">
      <c r="A751" s="670">
        <v>786.0</v>
      </c>
      <c r="B751" s="670" t="s">
        <v>2257</v>
      </c>
      <c r="C751" s="670" t="s">
        <v>2258</v>
      </c>
      <c r="D751" s="670" t="s">
        <v>3728</v>
      </c>
      <c r="E751" s="670" t="s">
        <v>3729</v>
      </c>
      <c r="F751" s="670">
        <v>125.0</v>
      </c>
      <c r="G751" s="670" t="s">
        <v>22</v>
      </c>
      <c r="H751" s="670" t="s">
        <v>2261</v>
      </c>
      <c r="I751" s="670" t="s">
        <v>2262</v>
      </c>
      <c r="J751" s="671">
        <v>46234.0</v>
      </c>
    </row>
    <row r="752">
      <c r="A752" s="670">
        <v>787.0</v>
      </c>
      <c r="B752" s="670" t="s">
        <v>2257</v>
      </c>
      <c r="C752" s="670" t="s">
        <v>2258</v>
      </c>
      <c r="D752" s="670" t="s">
        <v>3730</v>
      </c>
      <c r="E752" s="670" t="s">
        <v>3731</v>
      </c>
      <c r="F752" s="670">
        <v>73.0</v>
      </c>
      <c r="G752" s="670" t="s">
        <v>1117</v>
      </c>
      <c r="H752" s="670" t="s">
        <v>2261</v>
      </c>
      <c r="I752" s="670" t="s">
        <v>2262</v>
      </c>
      <c r="J752" s="671">
        <v>46234.0</v>
      </c>
    </row>
    <row r="753">
      <c r="A753" s="670">
        <v>788.0</v>
      </c>
      <c r="B753" s="670" t="s">
        <v>2257</v>
      </c>
      <c r="C753" s="673" t="s">
        <v>2258</v>
      </c>
      <c r="D753" s="670" t="s">
        <v>3733</v>
      </c>
      <c r="E753" s="670" t="s">
        <v>3734</v>
      </c>
      <c r="F753" s="670">
        <v>60.0</v>
      </c>
      <c r="G753" s="670" t="s">
        <v>43</v>
      </c>
      <c r="H753" s="670" t="s">
        <v>2261</v>
      </c>
      <c r="I753" s="670" t="s">
        <v>2262</v>
      </c>
      <c r="J753" s="671">
        <v>46234.0</v>
      </c>
    </row>
    <row r="754">
      <c r="A754" s="670">
        <v>789.0</v>
      </c>
      <c r="B754" s="670" t="s">
        <v>2257</v>
      </c>
      <c r="C754" s="673" t="s">
        <v>2258</v>
      </c>
      <c r="D754" s="670" t="s">
        <v>3735</v>
      </c>
      <c r="E754" s="670" t="s">
        <v>3736</v>
      </c>
      <c r="F754" s="670">
        <v>60.0</v>
      </c>
      <c r="G754" s="670" t="s">
        <v>43</v>
      </c>
      <c r="H754" s="670" t="s">
        <v>2261</v>
      </c>
      <c r="I754" s="670" t="s">
        <v>2262</v>
      </c>
      <c r="J754" s="671">
        <v>46234.0</v>
      </c>
    </row>
    <row r="755">
      <c r="A755" s="670">
        <v>790.0</v>
      </c>
      <c r="B755" s="670" t="s">
        <v>2257</v>
      </c>
      <c r="C755" s="670" t="s">
        <v>2258</v>
      </c>
      <c r="D755" s="670" t="s">
        <v>3737</v>
      </c>
      <c r="E755" s="670" t="s">
        <v>3738</v>
      </c>
      <c r="F755" s="670">
        <v>60.0</v>
      </c>
      <c r="G755" s="670" t="s">
        <v>43</v>
      </c>
      <c r="H755" s="670" t="s">
        <v>2261</v>
      </c>
      <c r="I755" s="670" t="s">
        <v>2262</v>
      </c>
      <c r="J755" s="671">
        <v>46234.0</v>
      </c>
    </row>
    <row r="756">
      <c r="A756" s="670">
        <v>791.0</v>
      </c>
      <c r="B756" s="670" t="s">
        <v>2257</v>
      </c>
      <c r="C756" s="670" t="s">
        <v>2258</v>
      </c>
      <c r="D756" s="670" t="s">
        <v>3739</v>
      </c>
      <c r="E756" s="670" t="s">
        <v>3740</v>
      </c>
      <c r="F756" s="670">
        <v>10500.0</v>
      </c>
      <c r="G756" s="670" t="s">
        <v>43</v>
      </c>
      <c r="H756" s="670" t="s">
        <v>2261</v>
      </c>
      <c r="I756" s="670" t="s">
        <v>2262</v>
      </c>
      <c r="J756" s="671">
        <v>46234.0</v>
      </c>
    </row>
    <row r="757">
      <c r="A757" s="670">
        <v>792.0</v>
      </c>
      <c r="B757" s="670" t="s">
        <v>2257</v>
      </c>
      <c r="C757" s="670" t="s">
        <v>2258</v>
      </c>
      <c r="D757" s="670" t="s">
        <v>3741</v>
      </c>
      <c r="E757" s="670" t="s">
        <v>3742</v>
      </c>
      <c r="F757" s="670">
        <v>1500.0</v>
      </c>
      <c r="G757" s="670" t="s">
        <v>43</v>
      </c>
      <c r="H757" s="670" t="s">
        <v>2261</v>
      </c>
      <c r="I757" s="670" t="s">
        <v>2262</v>
      </c>
      <c r="J757" s="671">
        <v>46234.0</v>
      </c>
    </row>
    <row r="758">
      <c r="A758" s="670">
        <v>793.0</v>
      </c>
      <c r="B758" s="670" t="s">
        <v>2257</v>
      </c>
      <c r="C758" s="670" t="s">
        <v>2258</v>
      </c>
      <c r="D758" s="670" t="s">
        <v>3743</v>
      </c>
      <c r="E758" s="670" t="s">
        <v>3744</v>
      </c>
      <c r="F758" s="670">
        <v>140.0</v>
      </c>
      <c r="G758" s="670" t="s">
        <v>43</v>
      </c>
      <c r="H758" s="670" t="s">
        <v>2261</v>
      </c>
      <c r="I758" s="670" t="s">
        <v>2262</v>
      </c>
      <c r="J758" s="671">
        <v>46234.0</v>
      </c>
    </row>
    <row r="759">
      <c r="A759" s="670">
        <v>794.0</v>
      </c>
      <c r="B759" s="670" t="s">
        <v>2257</v>
      </c>
      <c r="C759" s="670" t="s">
        <v>2258</v>
      </c>
      <c r="D759" s="670" t="s">
        <v>3745</v>
      </c>
      <c r="E759" s="670" t="s">
        <v>3746</v>
      </c>
      <c r="F759" s="670">
        <v>82.0</v>
      </c>
      <c r="G759" s="670" t="s">
        <v>755</v>
      </c>
      <c r="H759" s="670" t="s">
        <v>2261</v>
      </c>
      <c r="I759" s="670" t="s">
        <v>2262</v>
      </c>
      <c r="J759" s="671">
        <v>46234.0</v>
      </c>
    </row>
    <row r="760">
      <c r="A760" s="670">
        <v>795.0</v>
      </c>
      <c r="B760" s="670" t="s">
        <v>2257</v>
      </c>
      <c r="C760" s="670" t="s">
        <v>2258</v>
      </c>
      <c r="D760" s="670" t="s">
        <v>3747</v>
      </c>
      <c r="E760" s="670" t="s">
        <v>3748</v>
      </c>
      <c r="F760" s="670">
        <v>590.0</v>
      </c>
      <c r="G760" s="670" t="s">
        <v>22</v>
      </c>
      <c r="H760" s="670" t="s">
        <v>2261</v>
      </c>
      <c r="I760" s="670" t="s">
        <v>2262</v>
      </c>
      <c r="J760" s="671">
        <v>46234.0</v>
      </c>
    </row>
    <row r="761">
      <c r="A761" s="670">
        <v>796.0</v>
      </c>
      <c r="B761" s="670" t="s">
        <v>2257</v>
      </c>
      <c r="C761" s="670" t="s">
        <v>2258</v>
      </c>
      <c r="D761" s="670" t="s">
        <v>3749</v>
      </c>
      <c r="E761" s="670" t="s">
        <v>3750</v>
      </c>
      <c r="F761" s="670">
        <v>2700.0</v>
      </c>
      <c r="G761" s="670" t="s">
        <v>1117</v>
      </c>
      <c r="H761" s="670" t="s">
        <v>2261</v>
      </c>
      <c r="I761" s="670" t="s">
        <v>2262</v>
      </c>
      <c r="J761" s="671">
        <v>46234.0</v>
      </c>
    </row>
    <row r="762">
      <c r="A762" s="670">
        <v>797.0</v>
      </c>
      <c r="B762" s="670" t="s">
        <v>2257</v>
      </c>
      <c r="C762" s="670" t="s">
        <v>2258</v>
      </c>
      <c r="D762" s="670" t="s">
        <v>3751</v>
      </c>
      <c r="E762" s="670" t="s">
        <v>3752</v>
      </c>
      <c r="F762" s="670">
        <v>4200.0</v>
      </c>
      <c r="G762" s="670" t="s">
        <v>305</v>
      </c>
      <c r="H762" s="670" t="s">
        <v>2261</v>
      </c>
      <c r="I762" s="670" t="s">
        <v>2262</v>
      </c>
      <c r="J762" s="671">
        <v>46234.0</v>
      </c>
    </row>
    <row r="763">
      <c r="A763" s="670">
        <v>798.0</v>
      </c>
      <c r="B763" s="670" t="s">
        <v>2257</v>
      </c>
      <c r="C763" s="670" t="s">
        <v>2258</v>
      </c>
      <c r="D763" s="670" t="s">
        <v>3753</v>
      </c>
      <c r="E763" s="670" t="s">
        <v>3754</v>
      </c>
      <c r="F763" s="670">
        <v>380.0</v>
      </c>
      <c r="G763" s="670" t="s">
        <v>759</v>
      </c>
      <c r="H763" s="670" t="s">
        <v>2261</v>
      </c>
      <c r="I763" s="670" t="s">
        <v>2262</v>
      </c>
      <c r="J763" s="671">
        <v>46234.0</v>
      </c>
    </row>
    <row r="764">
      <c r="A764" s="670">
        <v>799.0</v>
      </c>
      <c r="B764" s="670" t="s">
        <v>2257</v>
      </c>
      <c r="C764" s="670" t="s">
        <v>2258</v>
      </c>
      <c r="D764" s="670" t="s">
        <v>3755</v>
      </c>
      <c r="E764" s="670" t="s">
        <v>3756</v>
      </c>
      <c r="F764" s="670">
        <v>160.0</v>
      </c>
      <c r="G764" s="670" t="s">
        <v>2467</v>
      </c>
      <c r="H764" s="670" t="s">
        <v>2261</v>
      </c>
      <c r="I764" s="670" t="s">
        <v>2262</v>
      </c>
      <c r="J764" s="671">
        <v>46234.0</v>
      </c>
    </row>
    <row r="765">
      <c r="A765" s="670">
        <v>801.0</v>
      </c>
      <c r="B765" s="670" t="s">
        <v>2559</v>
      </c>
      <c r="C765" s="670" t="s">
        <v>2258</v>
      </c>
      <c r="D765" s="670" t="s">
        <v>3757</v>
      </c>
      <c r="E765" s="670" t="s">
        <v>3758</v>
      </c>
      <c r="F765" s="670">
        <v>1200.0</v>
      </c>
      <c r="G765" s="670" t="s">
        <v>1570</v>
      </c>
      <c r="H765" s="670" t="s">
        <v>2261</v>
      </c>
      <c r="I765" s="670" t="s">
        <v>2262</v>
      </c>
      <c r="J765" s="671">
        <v>46234.0</v>
      </c>
    </row>
    <row r="766">
      <c r="A766" s="670">
        <v>802.0</v>
      </c>
      <c r="B766" s="670" t="s">
        <v>2257</v>
      </c>
      <c r="C766" s="670" t="s">
        <v>2258</v>
      </c>
      <c r="D766" s="670" t="s">
        <v>3759</v>
      </c>
      <c r="E766" s="670" t="s">
        <v>3760</v>
      </c>
      <c r="F766" s="670">
        <v>3800.0</v>
      </c>
      <c r="G766" s="670" t="s">
        <v>43</v>
      </c>
      <c r="H766" s="670" t="s">
        <v>2261</v>
      </c>
      <c r="I766" s="670" t="s">
        <v>2262</v>
      </c>
      <c r="J766" s="671">
        <v>46234.0</v>
      </c>
    </row>
    <row r="767">
      <c r="A767" s="670">
        <v>803.0</v>
      </c>
      <c r="B767" s="670" t="s">
        <v>2257</v>
      </c>
      <c r="C767" s="670" t="s">
        <v>2258</v>
      </c>
      <c r="D767" s="670" t="s">
        <v>3761</v>
      </c>
      <c r="E767" s="670" t="s">
        <v>3762</v>
      </c>
      <c r="F767" s="670">
        <v>58.0</v>
      </c>
      <c r="G767" s="670" t="s">
        <v>43</v>
      </c>
      <c r="H767" s="670" t="s">
        <v>2261</v>
      </c>
      <c r="I767" s="670" t="s">
        <v>2262</v>
      </c>
      <c r="J767" s="671">
        <v>46234.0</v>
      </c>
    </row>
    <row r="768">
      <c r="A768" s="670">
        <v>804.0</v>
      </c>
      <c r="B768" s="670" t="s">
        <v>2257</v>
      </c>
      <c r="C768" s="670" t="s">
        <v>2258</v>
      </c>
      <c r="D768" s="670" t="s">
        <v>3763</v>
      </c>
      <c r="E768" s="670" t="s">
        <v>3764</v>
      </c>
      <c r="F768" s="670">
        <v>8.0</v>
      </c>
      <c r="G768" s="670" t="s">
        <v>43</v>
      </c>
      <c r="H768" s="670" t="s">
        <v>2261</v>
      </c>
      <c r="I768" s="670" t="s">
        <v>2262</v>
      </c>
      <c r="J768" s="671">
        <v>46234.0</v>
      </c>
    </row>
    <row r="769">
      <c r="A769" s="670">
        <v>805.0</v>
      </c>
      <c r="B769" s="670" t="s">
        <v>2257</v>
      </c>
      <c r="C769" s="670" t="s">
        <v>2258</v>
      </c>
      <c r="D769" s="670" t="s">
        <v>3765</v>
      </c>
      <c r="E769" s="670" t="s">
        <v>3766</v>
      </c>
      <c r="F769" s="670">
        <v>64.0</v>
      </c>
      <c r="G769" s="670" t="s">
        <v>2467</v>
      </c>
      <c r="H769" s="670" t="s">
        <v>2261</v>
      </c>
      <c r="I769" s="670" t="s">
        <v>2262</v>
      </c>
      <c r="J769" s="671">
        <v>46234.0</v>
      </c>
    </row>
    <row r="770">
      <c r="A770" s="670">
        <v>806.0</v>
      </c>
      <c r="B770" s="670" t="s">
        <v>2257</v>
      </c>
      <c r="C770" s="670" t="s">
        <v>2258</v>
      </c>
      <c r="D770" s="670" t="s">
        <v>3767</v>
      </c>
      <c r="E770" s="670" t="s">
        <v>3768</v>
      </c>
      <c r="F770" s="670">
        <v>230.0</v>
      </c>
      <c r="G770" s="670" t="s">
        <v>2467</v>
      </c>
      <c r="H770" s="670" t="s">
        <v>2261</v>
      </c>
      <c r="I770" s="670" t="s">
        <v>2262</v>
      </c>
      <c r="J770" s="671">
        <v>46234.0</v>
      </c>
    </row>
    <row r="771">
      <c r="A771" s="670">
        <v>807.0</v>
      </c>
      <c r="B771" s="670" t="s">
        <v>2257</v>
      </c>
      <c r="C771" s="670" t="s">
        <v>2258</v>
      </c>
      <c r="D771" s="670" t="s">
        <v>3769</v>
      </c>
      <c r="E771" s="670" t="s">
        <v>3770</v>
      </c>
      <c r="F771" s="670">
        <v>10500.0</v>
      </c>
      <c r="G771" s="670" t="s">
        <v>43</v>
      </c>
      <c r="H771" s="670" t="s">
        <v>2261</v>
      </c>
      <c r="I771" s="670" t="s">
        <v>2262</v>
      </c>
      <c r="J771" s="671">
        <v>46234.0</v>
      </c>
    </row>
    <row r="772">
      <c r="A772" s="670">
        <v>808.0</v>
      </c>
      <c r="B772" s="670" t="s">
        <v>2257</v>
      </c>
      <c r="C772" s="670" t="s">
        <v>2258</v>
      </c>
      <c r="D772" s="670" t="s">
        <v>3771</v>
      </c>
      <c r="E772" s="670" t="s">
        <v>3772</v>
      </c>
      <c r="F772" s="670">
        <v>450.0</v>
      </c>
      <c r="G772" s="670" t="s">
        <v>43</v>
      </c>
      <c r="H772" s="670" t="s">
        <v>2261</v>
      </c>
      <c r="I772" s="670" t="s">
        <v>2262</v>
      </c>
      <c r="J772" s="671">
        <v>46234.0</v>
      </c>
    </row>
    <row r="773">
      <c r="A773" s="670">
        <v>809.0</v>
      </c>
      <c r="B773" s="670" t="s">
        <v>2257</v>
      </c>
      <c r="C773" s="670" t="s">
        <v>2258</v>
      </c>
      <c r="D773" s="670" t="s">
        <v>3773</v>
      </c>
      <c r="E773" s="670" t="s">
        <v>3774</v>
      </c>
      <c r="F773" s="670">
        <v>250.0</v>
      </c>
      <c r="G773" s="670" t="s">
        <v>43</v>
      </c>
      <c r="H773" s="670" t="s">
        <v>2261</v>
      </c>
      <c r="I773" s="670" t="s">
        <v>2262</v>
      </c>
      <c r="J773" s="671">
        <v>46234.0</v>
      </c>
    </row>
    <row r="774">
      <c r="A774" s="670">
        <v>810.0</v>
      </c>
      <c r="B774" s="670" t="s">
        <v>2257</v>
      </c>
      <c r="C774" s="670" t="s">
        <v>2258</v>
      </c>
      <c r="D774" s="670" t="s">
        <v>3775</v>
      </c>
      <c r="E774" s="670" t="s">
        <v>3776</v>
      </c>
      <c r="F774" s="670">
        <v>1200.0</v>
      </c>
      <c r="G774" s="670" t="s">
        <v>43</v>
      </c>
      <c r="H774" s="670" t="s">
        <v>2261</v>
      </c>
      <c r="I774" s="670" t="s">
        <v>2262</v>
      </c>
      <c r="J774" s="671">
        <v>46234.0</v>
      </c>
    </row>
    <row r="775">
      <c r="A775" s="670">
        <v>811.0</v>
      </c>
      <c r="B775" s="670" t="s">
        <v>2257</v>
      </c>
      <c r="C775" s="670" t="s">
        <v>2258</v>
      </c>
      <c r="D775" s="670" t="s">
        <v>3777</v>
      </c>
      <c r="E775" s="670" t="s">
        <v>3778</v>
      </c>
      <c r="F775" s="670">
        <v>1200.0</v>
      </c>
      <c r="G775" s="670" t="s">
        <v>43</v>
      </c>
      <c r="H775" s="670" t="s">
        <v>2261</v>
      </c>
      <c r="I775" s="670" t="s">
        <v>2262</v>
      </c>
      <c r="J775" s="671">
        <v>46234.0</v>
      </c>
    </row>
    <row r="776">
      <c r="A776" s="670">
        <v>812.0</v>
      </c>
      <c r="B776" s="670" t="s">
        <v>2257</v>
      </c>
      <c r="C776" s="670" t="s">
        <v>2258</v>
      </c>
      <c r="D776" s="670" t="s">
        <v>3779</v>
      </c>
      <c r="E776" s="670" t="s">
        <v>3780</v>
      </c>
      <c r="F776" s="670">
        <v>1200.0</v>
      </c>
      <c r="G776" s="670" t="s">
        <v>43</v>
      </c>
      <c r="H776" s="670" t="s">
        <v>2261</v>
      </c>
      <c r="I776" s="670" t="s">
        <v>2262</v>
      </c>
      <c r="J776" s="671">
        <v>46234.0</v>
      </c>
    </row>
    <row r="777">
      <c r="A777" s="670">
        <v>813.0</v>
      </c>
      <c r="B777" s="670" t="s">
        <v>2257</v>
      </c>
      <c r="C777" s="670" t="s">
        <v>2258</v>
      </c>
      <c r="D777" s="670" t="s">
        <v>3781</v>
      </c>
      <c r="E777" s="670" t="s">
        <v>3782</v>
      </c>
      <c r="F777" s="670">
        <v>300.0</v>
      </c>
      <c r="G777" s="670" t="s">
        <v>43</v>
      </c>
      <c r="H777" s="670" t="s">
        <v>2261</v>
      </c>
      <c r="I777" s="670" t="s">
        <v>2262</v>
      </c>
      <c r="J777" s="671">
        <v>46234.0</v>
      </c>
    </row>
    <row r="778">
      <c r="A778" s="670">
        <v>814.0</v>
      </c>
      <c r="B778" s="670" t="s">
        <v>2257</v>
      </c>
      <c r="C778" s="670" t="s">
        <v>2258</v>
      </c>
      <c r="D778" s="670" t="s">
        <v>3783</v>
      </c>
      <c r="E778" s="670" t="s">
        <v>3784</v>
      </c>
      <c r="F778" s="670">
        <v>260.0</v>
      </c>
      <c r="G778" s="670" t="s">
        <v>22</v>
      </c>
      <c r="H778" s="670" t="s">
        <v>2261</v>
      </c>
      <c r="I778" s="670" t="s">
        <v>2262</v>
      </c>
      <c r="J778" s="671">
        <v>46234.0</v>
      </c>
    </row>
    <row r="779">
      <c r="A779" s="670">
        <v>815.0</v>
      </c>
      <c r="B779" s="670" t="s">
        <v>2257</v>
      </c>
      <c r="C779" s="670" t="s">
        <v>2258</v>
      </c>
      <c r="D779" s="670" t="s">
        <v>3785</v>
      </c>
      <c r="E779" s="670" t="s">
        <v>3786</v>
      </c>
      <c r="F779" s="670">
        <v>700.0</v>
      </c>
      <c r="G779" s="670" t="s">
        <v>759</v>
      </c>
      <c r="H779" s="670" t="s">
        <v>2261</v>
      </c>
      <c r="I779" s="670" t="s">
        <v>2262</v>
      </c>
      <c r="J779" s="671">
        <v>46234.0</v>
      </c>
    </row>
    <row r="780">
      <c r="A780" s="670">
        <v>816.0</v>
      </c>
      <c r="B780" s="670" t="s">
        <v>2257</v>
      </c>
      <c r="C780" s="670" t="s">
        <v>2258</v>
      </c>
      <c r="D780" s="670" t="s">
        <v>3787</v>
      </c>
      <c r="E780" s="670" t="s">
        <v>3788</v>
      </c>
      <c r="F780" s="670">
        <v>5000.0</v>
      </c>
      <c r="G780" s="670" t="s">
        <v>43</v>
      </c>
      <c r="H780" s="670" t="s">
        <v>2261</v>
      </c>
      <c r="I780" s="670" t="s">
        <v>2262</v>
      </c>
      <c r="J780" s="671">
        <v>46234.0</v>
      </c>
    </row>
    <row r="781">
      <c r="A781" s="670">
        <v>817.0</v>
      </c>
      <c r="B781" s="670" t="s">
        <v>2257</v>
      </c>
      <c r="C781" s="670" t="s">
        <v>2258</v>
      </c>
      <c r="D781" s="670" t="s">
        <v>3789</v>
      </c>
      <c r="E781" s="670" t="s">
        <v>3790</v>
      </c>
      <c r="F781" s="670">
        <v>30.0</v>
      </c>
      <c r="G781" s="670" t="s">
        <v>1117</v>
      </c>
      <c r="H781" s="670" t="s">
        <v>2261</v>
      </c>
      <c r="I781" s="670" t="s">
        <v>2262</v>
      </c>
      <c r="J781" s="671">
        <v>46234.0</v>
      </c>
    </row>
    <row r="782">
      <c r="A782" s="670">
        <v>818.0</v>
      </c>
      <c r="B782" s="670" t="s">
        <v>2257</v>
      </c>
      <c r="C782" s="670" t="s">
        <v>2258</v>
      </c>
      <c r="D782" s="670" t="s">
        <v>3791</v>
      </c>
      <c r="E782" s="670" t="s">
        <v>3792</v>
      </c>
      <c r="F782" s="670">
        <v>330.0</v>
      </c>
      <c r="G782" s="670" t="s">
        <v>759</v>
      </c>
      <c r="H782" s="670" t="s">
        <v>2261</v>
      </c>
      <c r="I782" s="670" t="s">
        <v>2262</v>
      </c>
      <c r="J782" s="671">
        <v>46234.0</v>
      </c>
    </row>
    <row r="783">
      <c r="A783" s="670">
        <v>819.0</v>
      </c>
      <c r="B783" s="670" t="s">
        <v>2257</v>
      </c>
      <c r="C783" s="670" t="s">
        <v>2258</v>
      </c>
      <c r="D783" s="670" t="s">
        <v>3793</v>
      </c>
      <c r="E783" s="670" t="s">
        <v>3794</v>
      </c>
      <c r="F783" s="670">
        <v>65.0</v>
      </c>
      <c r="G783" s="670" t="s">
        <v>759</v>
      </c>
      <c r="H783" s="670" t="s">
        <v>2261</v>
      </c>
      <c r="I783" s="670" t="s">
        <v>2262</v>
      </c>
      <c r="J783" s="671">
        <v>46234.0</v>
      </c>
    </row>
    <row r="784">
      <c r="A784" s="670">
        <v>820.0</v>
      </c>
      <c r="B784" s="670" t="s">
        <v>2257</v>
      </c>
      <c r="C784" s="670" t="s">
        <v>2258</v>
      </c>
      <c r="D784" s="670" t="s">
        <v>3795</v>
      </c>
      <c r="E784" s="670" t="s">
        <v>3796</v>
      </c>
      <c r="F784" s="670">
        <v>200.0</v>
      </c>
      <c r="G784" s="670" t="s">
        <v>43</v>
      </c>
      <c r="H784" s="670" t="s">
        <v>2572</v>
      </c>
      <c r="I784" s="670" t="s">
        <v>2573</v>
      </c>
      <c r="J784" s="671">
        <v>46234.0</v>
      </c>
    </row>
    <row r="785">
      <c r="A785" s="670">
        <v>821.0</v>
      </c>
      <c r="B785" s="670" t="s">
        <v>2257</v>
      </c>
      <c r="C785" s="670" t="s">
        <v>2258</v>
      </c>
      <c r="D785" s="670" t="s">
        <v>3797</v>
      </c>
      <c r="E785" s="670" t="s">
        <v>3798</v>
      </c>
      <c r="F785" s="670">
        <v>90.0</v>
      </c>
      <c r="G785" s="670" t="s">
        <v>43</v>
      </c>
      <c r="H785" s="670" t="s">
        <v>2261</v>
      </c>
      <c r="I785" s="670" t="s">
        <v>2262</v>
      </c>
      <c r="J785" s="671">
        <v>46234.0</v>
      </c>
    </row>
    <row r="786">
      <c r="A786" s="670">
        <v>822.0</v>
      </c>
      <c r="B786" s="670" t="s">
        <v>2257</v>
      </c>
      <c r="C786" s="670" t="s">
        <v>2258</v>
      </c>
      <c r="D786" s="670" t="s">
        <v>3799</v>
      </c>
      <c r="E786" s="670" t="s">
        <v>3800</v>
      </c>
      <c r="F786" s="670">
        <v>280.0</v>
      </c>
      <c r="G786" s="670" t="s">
        <v>43</v>
      </c>
      <c r="H786" s="670" t="s">
        <v>2261</v>
      </c>
      <c r="I786" s="670" t="s">
        <v>2262</v>
      </c>
      <c r="J786" s="671">
        <v>46234.0</v>
      </c>
    </row>
    <row r="787">
      <c r="A787" s="670">
        <v>823.0</v>
      </c>
      <c r="B787" s="670" t="s">
        <v>2257</v>
      </c>
      <c r="C787" s="670" t="s">
        <v>2258</v>
      </c>
      <c r="D787" s="670" t="s">
        <v>3801</v>
      </c>
      <c r="E787" s="670" t="s">
        <v>3802</v>
      </c>
      <c r="F787" s="670">
        <v>60.0</v>
      </c>
      <c r="G787" s="670" t="s">
        <v>43</v>
      </c>
      <c r="H787" s="670" t="s">
        <v>2261</v>
      </c>
      <c r="I787" s="670" t="s">
        <v>2262</v>
      </c>
      <c r="J787" s="671">
        <v>46234.0</v>
      </c>
    </row>
    <row r="788">
      <c r="A788" s="670">
        <v>824.0</v>
      </c>
      <c r="B788" s="670" t="s">
        <v>2257</v>
      </c>
      <c r="C788" s="670" t="s">
        <v>2258</v>
      </c>
      <c r="D788" s="670" t="s">
        <v>3803</v>
      </c>
      <c r="E788" s="670" t="s">
        <v>3804</v>
      </c>
      <c r="F788" s="670">
        <v>270.0</v>
      </c>
      <c r="G788" s="670" t="s">
        <v>2467</v>
      </c>
      <c r="H788" s="670" t="s">
        <v>2261</v>
      </c>
      <c r="I788" s="670" t="s">
        <v>2262</v>
      </c>
      <c r="J788" s="671">
        <v>46234.0</v>
      </c>
    </row>
    <row r="789">
      <c r="A789" s="670">
        <v>825.0</v>
      </c>
      <c r="B789" s="670" t="s">
        <v>2257</v>
      </c>
      <c r="C789" s="670" t="s">
        <v>2258</v>
      </c>
      <c r="D789" s="670" t="s">
        <v>3805</v>
      </c>
      <c r="E789" s="670" t="s">
        <v>3807</v>
      </c>
      <c r="F789" s="670">
        <v>4000.0</v>
      </c>
      <c r="G789" s="670" t="s">
        <v>43</v>
      </c>
      <c r="H789" s="670" t="s">
        <v>2261</v>
      </c>
      <c r="I789" s="670" t="s">
        <v>2262</v>
      </c>
      <c r="J789" s="671">
        <v>46234.0</v>
      </c>
    </row>
    <row r="790">
      <c r="A790" s="670">
        <v>826.0</v>
      </c>
      <c r="B790" s="670" t="s">
        <v>2257</v>
      </c>
      <c r="C790" s="670" t="s">
        <v>2258</v>
      </c>
      <c r="D790" s="670" t="s">
        <v>3808</v>
      </c>
      <c r="E790" s="670" t="s">
        <v>3809</v>
      </c>
      <c r="F790" s="670">
        <v>340.0</v>
      </c>
      <c r="G790" s="670" t="s">
        <v>2467</v>
      </c>
      <c r="H790" s="670" t="s">
        <v>2261</v>
      </c>
      <c r="I790" s="670" t="s">
        <v>2262</v>
      </c>
      <c r="J790" s="671">
        <v>46234.0</v>
      </c>
    </row>
    <row r="791">
      <c r="A791" s="670">
        <v>827.0</v>
      </c>
      <c r="B791" s="670" t="s">
        <v>2257</v>
      </c>
      <c r="C791" s="670" t="s">
        <v>2258</v>
      </c>
      <c r="D791" s="670" t="s">
        <v>3810</v>
      </c>
      <c r="E791" s="670" t="s">
        <v>3811</v>
      </c>
      <c r="F791" s="670">
        <v>600.0</v>
      </c>
      <c r="G791" s="670" t="s">
        <v>43</v>
      </c>
      <c r="H791" s="670" t="s">
        <v>2261</v>
      </c>
      <c r="I791" s="670" t="s">
        <v>2262</v>
      </c>
      <c r="J791" s="671">
        <v>46234.0</v>
      </c>
    </row>
    <row r="792">
      <c r="A792" s="670">
        <v>828.0</v>
      </c>
      <c r="B792" s="670" t="s">
        <v>2257</v>
      </c>
      <c r="C792" s="670" t="s">
        <v>2258</v>
      </c>
      <c r="D792" s="670" t="s">
        <v>3813</v>
      </c>
      <c r="E792" s="670" t="s">
        <v>3814</v>
      </c>
      <c r="F792" s="670">
        <v>5300.0</v>
      </c>
      <c r="G792" s="670" t="s">
        <v>43</v>
      </c>
      <c r="H792" s="670" t="s">
        <v>2261</v>
      </c>
      <c r="I792" s="670" t="s">
        <v>2262</v>
      </c>
      <c r="J792" s="671">
        <v>46234.0</v>
      </c>
    </row>
    <row r="793">
      <c r="A793" s="670">
        <v>829.0</v>
      </c>
      <c r="B793" s="670" t="s">
        <v>2257</v>
      </c>
      <c r="C793" s="670" t="s">
        <v>2258</v>
      </c>
      <c r="D793" s="670" t="s">
        <v>3815</v>
      </c>
      <c r="E793" s="670" t="s">
        <v>3816</v>
      </c>
      <c r="F793" s="670">
        <v>2100.0</v>
      </c>
      <c r="G793" s="670" t="s">
        <v>43</v>
      </c>
      <c r="H793" s="670" t="s">
        <v>2261</v>
      </c>
      <c r="I793" s="670" t="s">
        <v>2262</v>
      </c>
      <c r="J793" s="671">
        <v>46234.0</v>
      </c>
    </row>
    <row r="794">
      <c r="A794" s="670">
        <v>830.0</v>
      </c>
      <c r="B794" s="670" t="s">
        <v>2257</v>
      </c>
      <c r="C794" s="670" t="s">
        <v>2258</v>
      </c>
      <c r="D794" s="670" t="s">
        <v>3817</v>
      </c>
      <c r="E794" s="670" t="s">
        <v>3818</v>
      </c>
      <c r="F794" s="670">
        <v>2400.0</v>
      </c>
      <c r="G794" s="670" t="s">
        <v>43</v>
      </c>
      <c r="H794" s="670" t="s">
        <v>2261</v>
      </c>
      <c r="I794" s="670" t="s">
        <v>2262</v>
      </c>
      <c r="J794" s="671">
        <v>46234.0</v>
      </c>
    </row>
    <row r="795">
      <c r="A795" s="670">
        <v>831.0</v>
      </c>
      <c r="B795" s="670" t="s">
        <v>2257</v>
      </c>
      <c r="C795" s="670" t="s">
        <v>2258</v>
      </c>
      <c r="D795" s="670" t="s">
        <v>3819</v>
      </c>
      <c r="E795" s="670" t="s">
        <v>3820</v>
      </c>
      <c r="F795" s="670">
        <v>25000.0</v>
      </c>
      <c r="G795" s="670" t="s">
        <v>43</v>
      </c>
      <c r="H795" s="670" t="s">
        <v>2261</v>
      </c>
      <c r="I795" s="670" t="s">
        <v>2262</v>
      </c>
      <c r="J795" s="671">
        <v>46234.0</v>
      </c>
    </row>
    <row r="796">
      <c r="A796" s="670">
        <v>832.0</v>
      </c>
      <c r="B796" s="670" t="s">
        <v>2257</v>
      </c>
      <c r="C796" s="670" t="s">
        <v>2258</v>
      </c>
      <c r="D796" s="670" t="s">
        <v>3821</v>
      </c>
      <c r="E796" s="670" t="s">
        <v>3822</v>
      </c>
      <c r="F796" s="670">
        <v>15000.0</v>
      </c>
      <c r="G796" s="670" t="s">
        <v>43</v>
      </c>
      <c r="H796" s="670" t="s">
        <v>2261</v>
      </c>
      <c r="I796" s="670" t="s">
        <v>2262</v>
      </c>
      <c r="J796" s="671">
        <v>46234.0</v>
      </c>
    </row>
    <row r="797">
      <c r="A797" s="670">
        <v>833.0</v>
      </c>
      <c r="B797" s="670" t="s">
        <v>2257</v>
      </c>
      <c r="C797" s="670" t="s">
        <v>2258</v>
      </c>
      <c r="D797" s="670" t="s">
        <v>3823</v>
      </c>
      <c r="E797" s="670" t="s">
        <v>3824</v>
      </c>
      <c r="F797" s="670">
        <v>1300.0</v>
      </c>
      <c r="G797" s="670" t="s">
        <v>43</v>
      </c>
      <c r="H797" s="670" t="s">
        <v>2261</v>
      </c>
      <c r="I797" s="670" t="s">
        <v>2262</v>
      </c>
      <c r="J797" s="671">
        <v>46234.0</v>
      </c>
    </row>
    <row r="798">
      <c r="A798" s="670">
        <v>834.0</v>
      </c>
      <c r="B798" s="670" t="s">
        <v>2257</v>
      </c>
      <c r="C798" s="670" t="s">
        <v>2258</v>
      </c>
      <c r="D798" s="670" t="s">
        <v>3825</v>
      </c>
      <c r="E798" s="670" t="s">
        <v>3826</v>
      </c>
      <c r="F798" s="670">
        <v>80.0</v>
      </c>
      <c r="G798" s="670" t="s">
        <v>43</v>
      </c>
      <c r="H798" s="670" t="s">
        <v>2261</v>
      </c>
      <c r="I798" s="670" t="s">
        <v>2262</v>
      </c>
      <c r="J798" s="671">
        <v>46234.0</v>
      </c>
    </row>
    <row r="799">
      <c r="A799" s="670">
        <v>835.0</v>
      </c>
      <c r="B799" s="670" t="s">
        <v>2257</v>
      </c>
      <c r="C799" s="670" t="s">
        <v>2258</v>
      </c>
      <c r="D799" s="670" t="s">
        <v>3827</v>
      </c>
      <c r="E799" s="670" t="s">
        <v>3828</v>
      </c>
      <c r="F799" s="670">
        <v>600.0</v>
      </c>
      <c r="G799" s="670" t="s">
        <v>22</v>
      </c>
      <c r="H799" s="670" t="s">
        <v>2261</v>
      </c>
      <c r="I799" s="670" t="s">
        <v>2262</v>
      </c>
      <c r="J799" s="671">
        <v>46234.0</v>
      </c>
    </row>
    <row r="800">
      <c r="A800" s="670">
        <v>836.0</v>
      </c>
      <c r="B800" s="670" t="s">
        <v>2257</v>
      </c>
      <c r="C800" s="670" t="s">
        <v>2258</v>
      </c>
      <c r="D800" s="670" t="s">
        <v>3829</v>
      </c>
      <c r="E800" s="670" t="s">
        <v>3830</v>
      </c>
      <c r="F800" s="670">
        <v>35000.0</v>
      </c>
      <c r="G800" s="670" t="s">
        <v>43</v>
      </c>
      <c r="H800" s="670" t="s">
        <v>2261</v>
      </c>
      <c r="I800" s="670" t="s">
        <v>2262</v>
      </c>
      <c r="J800" s="671">
        <v>46234.0</v>
      </c>
    </row>
    <row r="801">
      <c r="A801" s="670">
        <v>837.0</v>
      </c>
      <c r="B801" s="670" t="s">
        <v>2559</v>
      </c>
      <c r="C801" s="670" t="s">
        <v>2258</v>
      </c>
      <c r="D801" s="670" t="s">
        <v>3831</v>
      </c>
      <c r="E801" s="670" t="s">
        <v>3832</v>
      </c>
      <c r="F801" s="670">
        <v>2500.0</v>
      </c>
      <c r="G801" s="670" t="s">
        <v>27</v>
      </c>
      <c r="H801" s="670" t="s">
        <v>2261</v>
      </c>
      <c r="I801" s="670" t="s">
        <v>2262</v>
      </c>
      <c r="J801" s="671">
        <v>46234.0</v>
      </c>
    </row>
    <row r="802">
      <c r="A802" s="670">
        <v>838.0</v>
      </c>
      <c r="B802" s="670" t="s">
        <v>2719</v>
      </c>
      <c r="C802" s="673" t="s">
        <v>2258</v>
      </c>
      <c r="D802" s="670" t="s">
        <v>3833</v>
      </c>
      <c r="E802" s="670" t="s">
        <v>3834</v>
      </c>
      <c r="F802" s="670">
        <v>1500.0</v>
      </c>
      <c r="G802" s="670" t="s">
        <v>43</v>
      </c>
      <c r="H802" s="670" t="s">
        <v>2261</v>
      </c>
      <c r="I802" s="670" t="s">
        <v>2262</v>
      </c>
      <c r="J802" s="671">
        <v>46234.0</v>
      </c>
    </row>
    <row r="803">
      <c r="A803" s="670">
        <v>839.0</v>
      </c>
      <c r="B803" s="670" t="s">
        <v>2559</v>
      </c>
      <c r="C803" s="670" t="s">
        <v>2258</v>
      </c>
      <c r="D803" s="670" t="s">
        <v>3835</v>
      </c>
      <c r="E803" s="670" t="s">
        <v>3836</v>
      </c>
      <c r="F803" s="670">
        <v>1300.0</v>
      </c>
      <c r="G803" s="670" t="s">
        <v>27</v>
      </c>
      <c r="H803" s="670" t="s">
        <v>2261</v>
      </c>
      <c r="I803" s="670" t="s">
        <v>2262</v>
      </c>
      <c r="J803" s="671">
        <v>46234.0</v>
      </c>
    </row>
    <row r="804">
      <c r="A804" s="670">
        <v>840.0</v>
      </c>
      <c r="B804" s="670" t="s">
        <v>2559</v>
      </c>
      <c r="C804" s="670" t="s">
        <v>2258</v>
      </c>
      <c r="D804" s="670" t="s">
        <v>3837</v>
      </c>
      <c r="E804" s="670" t="s">
        <v>3838</v>
      </c>
      <c r="F804" s="670">
        <v>1300.0</v>
      </c>
      <c r="G804" s="670" t="s">
        <v>27</v>
      </c>
      <c r="H804" s="670" t="s">
        <v>2261</v>
      </c>
      <c r="I804" s="670" t="s">
        <v>2262</v>
      </c>
      <c r="J804" s="671">
        <v>46234.0</v>
      </c>
    </row>
    <row r="805">
      <c r="A805" s="670">
        <v>841.0</v>
      </c>
      <c r="B805" s="670" t="s">
        <v>2559</v>
      </c>
      <c r="C805" s="670" t="s">
        <v>2258</v>
      </c>
      <c r="D805" s="670" t="s">
        <v>3839</v>
      </c>
      <c r="E805" s="670" t="s">
        <v>3840</v>
      </c>
      <c r="F805" s="670">
        <v>1300.0</v>
      </c>
      <c r="G805" s="670" t="s">
        <v>27</v>
      </c>
      <c r="H805" s="670" t="s">
        <v>2261</v>
      </c>
      <c r="I805" s="670" t="s">
        <v>2262</v>
      </c>
      <c r="J805" s="671">
        <v>46234.0</v>
      </c>
    </row>
    <row r="806">
      <c r="A806" s="670">
        <v>842.0</v>
      </c>
      <c r="B806" s="670" t="s">
        <v>2559</v>
      </c>
      <c r="C806" s="670" t="s">
        <v>2258</v>
      </c>
      <c r="D806" s="670" t="s">
        <v>3841</v>
      </c>
      <c r="E806" s="670" t="s">
        <v>3842</v>
      </c>
      <c r="F806" s="670">
        <v>1300.0</v>
      </c>
      <c r="G806" s="670" t="s">
        <v>27</v>
      </c>
      <c r="H806" s="670" t="s">
        <v>2261</v>
      </c>
      <c r="I806" s="670" t="s">
        <v>2262</v>
      </c>
      <c r="J806" s="671">
        <v>46234.0</v>
      </c>
    </row>
    <row r="807">
      <c r="A807" s="670">
        <v>843.0</v>
      </c>
      <c r="B807" s="670" t="s">
        <v>2559</v>
      </c>
      <c r="C807" s="670" t="s">
        <v>2258</v>
      </c>
      <c r="D807" s="670" t="s">
        <v>3843</v>
      </c>
      <c r="E807" s="670" t="s">
        <v>3844</v>
      </c>
      <c r="F807" s="670">
        <v>1300.0</v>
      </c>
      <c r="G807" s="670" t="s">
        <v>27</v>
      </c>
      <c r="H807" s="670" t="s">
        <v>2261</v>
      </c>
      <c r="I807" s="670" t="s">
        <v>2262</v>
      </c>
      <c r="J807" s="671">
        <v>46234.0</v>
      </c>
    </row>
    <row r="808">
      <c r="A808" s="670">
        <v>844.0</v>
      </c>
      <c r="B808" s="670" t="s">
        <v>2559</v>
      </c>
      <c r="C808" s="670" t="s">
        <v>2258</v>
      </c>
      <c r="D808" s="670" t="s">
        <v>3845</v>
      </c>
      <c r="E808" s="670" t="s">
        <v>3846</v>
      </c>
      <c r="F808" s="670">
        <v>1300.0</v>
      </c>
      <c r="G808" s="670" t="s">
        <v>27</v>
      </c>
      <c r="H808" s="670" t="s">
        <v>2261</v>
      </c>
      <c r="I808" s="670" t="s">
        <v>2262</v>
      </c>
      <c r="J808" s="671">
        <v>46234.0</v>
      </c>
    </row>
    <row r="809">
      <c r="A809" s="670">
        <v>845.0</v>
      </c>
      <c r="B809" s="670" t="s">
        <v>2559</v>
      </c>
      <c r="C809" s="670" t="s">
        <v>2258</v>
      </c>
      <c r="D809" s="670" t="s">
        <v>3847</v>
      </c>
      <c r="E809" s="670" t="s">
        <v>3848</v>
      </c>
      <c r="F809" s="670">
        <v>1300.0</v>
      </c>
      <c r="G809" s="670" t="s">
        <v>27</v>
      </c>
      <c r="H809" s="670" t="s">
        <v>2261</v>
      </c>
      <c r="I809" s="670" t="s">
        <v>2262</v>
      </c>
      <c r="J809" s="671">
        <v>46234.0</v>
      </c>
    </row>
    <row r="810">
      <c r="A810" s="670">
        <v>846.0</v>
      </c>
      <c r="B810" s="670" t="s">
        <v>2559</v>
      </c>
      <c r="C810" s="670" t="s">
        <v>2258</v>
      </c>
      <c r="D810" s="670" t="s">
        <v>3849</v>
      </c>
      <c r="E810" s="670" t="s">
        <v>3850</v>
      </c>
      <c r="F810" s="670">
        <v>1300.0</v>
      </c>
      <c r="G810" s="670" t="s">
        <v>27</v>
      </c>
      <c r="H810" s="670" t="s">
        <v>2261</v>
      </c>
      <c r="I810" s="670" t="s">
        <v>2262</v>
      </c>
      <c r="J810" s="671">
        <v>46234.0</v>
      </c>
    </row>
    <row r="811">
      <c r="A811" s="670">
        <v>847.0</v>
      </c>
      <c r="B811" s="670" t="s">
        <v>2559</v>
      </c>
      <c r="C811" s="670" t="s">
        <v>2258</v>
      </c>
      <c r="D811" s="670" t="s">
        <v>3851</v>
      </c>
      <c r="E811" s="670" t="s">
        <v>3852</v>
      </c>
      <c r="F811" s="670">
        <v>1300.0</v>
      </c>
      <c r="G811" s="670" t="s">
        <v>27</v>
      </c>
      <c r="H811" s="670" t="s">
        <v>2261</v>
      </c>
      <c r="I811" s="670" t="s">
        <v>2262</v>
      </c>
      <c r="J811" s="671">
        <v>46234.0</v>
      </c>
    </row>
    <row r="812">
      <c r="A812" s="670">
        <v>848.0</v>
      </c>
      <c r="B812" s="670" t="s">
        <v>2559</v>
      </c>
      <c r="C812" s="670" t="s">
        <v>2258</v>
      </c>
      <c r="D812" s="670" t="s">
        <v>3853</v>
      </c>
      <c r="E812" s="670" t="s">
        <v>3854</v>
      </c>
      <c r="F812" s="670">
        <v>30.0</v>
      </c>
      <c r="G812" s="670" t="s">
        <v>1117</v>
      </c>
      <c r="H812" s="670" t="s">
        <v>2261</v>
      </c>
      <c r="I812" s="670" t="s">
        <v>2262</v>
      </c>
      <c r="J812" s="671">
        <v>46234.0</v>
      </c>
    </row>
    <row r="813">
      <c r="A813" s="670">
        <v>849.0</v>
      </c>
      <c r="B813" s="670" t="s">
        <v>2559</v>
      </c>
      <c r="C813" s="670" t="s">
        <v>2258</v>
      </c>
      <c r="D813" s="670" t="s">
        <v>3855</v>
      </c>
      <c r="E813" s="670" t="s">
        <v>3856</v>
      </c>
      <c r="F813" s="670">
        <v>42.0</v>
      </c>
      <c r="G813" s="670" t="s">
        <v>2442</v>
      </c>
      <c r="H813" s="670" t="s">
        <v>2261</v>
      </c>
      <c r="I813" s="670" t="s">
        <v>2262</v>
      </c>
      <c r="J813" s="671">
        <v>46234.0</v>
      </c>
    </row>
    <row r="814">
      <c r="A814" s="670">
        <v>850.0</v>
      </c>
      <c r="B814" s="670" t="s">
        <v>2719</v>
      </c>
      <c r="C814" s="670" t="s">
        <v>2258</v>
      </c>
      <c r="D814" s="670" t="s">
        <v>3857</v>
      </c>
      <c r="E814" s="670" t="s">
        <v>3858</v>
      </c>
      <c r="F814" s="670">
        <v>1900.0</v>
      </c>
      <c r="G814" s="670" t="s">
        <v>107</v>
      </c>
      <c r="H814" s="670" t="s">
        <v>2261</v>
      </c>
      <c r="I814" s="670" t="s">
        <v>2262</v>
      </c>
      <c r="J814" s="671">
        <v>46234.0</v>
      </c>
    </row>
    <row r="815">
      <c r="A815" s="670">
        <v>851.0</v>
      </c>
      <c r="B815" s="670" t="s">
        <v>2559</v>
      </c>
      <c r="C815" s="670" t="s">
        <v>2258</v>
      </c>
      <c r="D815" s="670" t="s">
        <v>3859</v>
      </c>
      <c r="E815" s="670" t="s">
        <v>3860</v>
      </c>
      <c r="F815" s="670">
        <v>1500.0</v>
      </c>
      <c r="G815" s="670" t="s">
        <v>107</v>
      </c>
      <c r="H815" s="670" t="s">
        <v>2261</v>
      </c>
      <c r="I815" s="670" t="s">
        <v>2262</v>
      </c>
      <c r="J815" s="671">
        <v>46234.0</v>
      </c>
    </row>
    <row r="816">
      <c r="A816" s="670">
        <v>852.0</v>
      </c>
      <c r="B816" s="670" t="s">
        <v>2257</v>
      </c>
      <c r="C816" s="670" t="s">
        <v>2258</v>
      </c>
      <c r="D816" s="670" t="s">
        <v>3861</v>
      </c>
      <c r="E816" s="670" t="s">
        <v>3862</v>
      </c>
      <c r="F816" s="670">
        <v>800.0</v>
      </c>
      <c r="G816" s="670" t="s">
        <v>107</v>
      </c>
      <c r="H816" s="670" t="s">
        <v>2261</v>
      </c>
      <c r="I816" s="670" t="s">
        <v>2262</v>
      </c>
      <c r="J816" s="671">
        <v>46234.0</v>
      </c>
    </row>
    <row r="817">
      <c r="A817" s="670">
        <v>853.0</v>
      </c>
      <c r="B817" s="670" t="s">
        <v>2719</v>
      </c>
      <c r="C817" s="670" t="s">
        <v>2258</v>
      </c>
      <c r="D817" s="670" t="s">
        <v>3863</v>
      </c>
      <c r="E817" s="670" t="s">
        <v>3864</v>
      </c>
      <c r="F817" s="670">
        <v>48.0</v>
      </c>
      <c r="G817" s="670" t="s">
        <v>107</v>
      </c>
      <c r="H817" s="670" t="s">
        <v>2261</v>
      </c>
      <c r="I817" s="670" t="s">
        <v>2262</v>
      </c>
      <c r="J817" s="671">
        <v>46234.0</v>
      </c>
    </row>
    <row r="818">
      <c r="A818" s="670">
        <v>854.0</v>
      </c>
      <c r="B818" s="670" t="s">
        <v>2257</v>
      </c>
      <c r="C818" s="670" t="s">
        <v>2258</v>
      </c>
      <c r="D818" s="670" t="s">
        <v>3865</v>
      </c>
      <c r="E818" s="670" t="s">
        <v>3866</v>
      </c>
      <c r="F818" s="670">
        <v>60.0</v>
      </c>
      <c r="G818" s="670" t="s">
        <v>107</v>
      </c>
      <c r="H818" s="670" t="s">
        <v>2261</v>
      </c>
      <c r="I818" s="670" t="s">
        <v>2262</v>
      </c>
      <c r="J818" s="671">
        <v>46234.0</v>
      </c>
    </row>
    <row r="819">
      <c r="A819" s="670">
        <v>855.0</v>
      </c>
      <c r="B819" s="670" t="s">
        <v>2559</v>
      </c>
      <c r="C819" s="670" t="s">
        <v>2258</v>
      </c>
      <c r="D819" s="670" t="s">
        <v>3867</v>
      </c>
      <c r="E819" s="670" t="s">
        <v>3868</v>
      </c>
      <c r="F819" s="670">
        <v>180.0</v>
      </c>
      <c r="G819" s="670" t="s">
        <v>107</v>
      </c>
      <c r="H819" s="670" t="s">
        <v>2261</v>
      </c>
      <c r="I819" s="670" t="s">
        <v>2262</v>
      </c>
      <c r="J819" s="671">
        <v>46234.0</v>
      </c>
    </row>
    <row r="820">
      <c r="A820" s="670">
        <v>856.0</v>
      </c>
      <c r="B820" s="670" t="s">
        <v>2257</v>
      </c>
      <c r="C820" s="670" t="s">
        <v>2258</v>
      </c>
      <c r="D820" s="670" t="s">
        <v>3869</v>
      </c>
      <c r="E820" s="670" t="s">
        <v>3870</v>
      </c>
      <c r="F820" s="670">
        <v>4300.0</v>
      </c>
      <c r="G820" s="670" t="s">
        <v>1117</v>
      </c>
      <c r="H820" s="670" t="s">
        <v>2261</v>
      </c>
      <c r="I820" s="670" t="s">
        <v>2262</v>
      </c>
      <c r="J820" s="671">
        <v>46234.0</v>
      </c>
    </row>
    <row r="821">
      <c r="A821" s="670">
        <v>857.0</v>
      </c>
      <c r="B821" s="670" t="s">
        <v>2719</v>
      </c>
      <c r="C821" s="670" t="s">
        <v>2258</v>
      </c>
      <c r="D821" s="670" t="s">
        <v>3871</v>
      </c>
      <c r="E821" s="670" t="s">
        <v>3872</v>
      </c>
      <c r="F821" s="670">
        <v>700.0</v>
      </c>
      <c r="G821" s="670" t="s">
        <v>43</v>
      </c>
      <c r="H821" s="670" t="s">
        <v>2261</v>
      </c>
      <c r="I821" s="670" t="s">
        <v>2262</v>
      </c>
      <c r="J821" s="671">
        <v>46234.0</v>
      </c>
    </row>
    <row r="822">
      <c r="A822" s="670">
        <v>859.0</v>
      </c>
      <c r="B822" s="670" t="s">
        <v>2559</v>
      </c>
      <c r="C822" s="670" t="s">
        <v>2258</v>
      </c>
      <c r="D822" s="670" t="s">
        <v>3873</v>
      </c>
      <c r="E822" s="670" t="s">
        <v>3874</v>
      </c>
      <c r="F822" s="670">
        <v>46.0</v>
      </c>
      <c r="G822" s="670" t="s">
        <v>2442</v>
      </c>
      <c r="H822" s="670" t="s">
        <v>2261</v>
      </c>
      <c r="I822" s="670" t="s">
        <v>2262</v>
      </c>
      <c r="J822" s="671">
        <v>46234.0</v>
      </c>
    </row>
    <row r="823">
      <c r="A823" s="670">
        <v>860.0</v>
      </c>
      <c r="B823" s="670" t="s">
        <v>2257</v>
      </c>
      <c r="C823" s="670" t="s">
        <v>2258</v>
      </c>
      <c r="D823" s="670" t="s">
        <v>3875</v>
      </c>
      <c r="E823" s="670" t="s">
        <v>3876</v>
      </c>
      <c r="F823" s="670">
        <v>9.0</v>
      </c>
      <c r="G823" s="670" t="s">
        <v>1117</v>
      </c>
      <c r="H823" s="670" t="s">
        <v>2261</v>
      </c>
      <c r="I823" s="670" t="s">
        <v>2262</v>
      </c>
      <c r="J823" s="671">
        <v>46234.0</v>
      </c>
    </row>
    <row r="824">
      <c r="A824" s="670">
        <v>861.0</v>
      </c>
      <c r="B824" s="670" t="s">
        <v>2257</v>
      </c>
      <c r="C824" s="670" t="s">
        <v>2258</v>
      </c>
      <c r="D824" s="670" t="s">
        <v>3877</v>
      </c>
      <c r="E824" s="670" t="s">
        <v>3878</v>
      </c>
      <c r="F824" s="670">
        <v>8.0</v>
      </c>
      <c r="G824" s="670" t="s">
        <v>43</v>
      </c>
      <c r="H824" s="670" t="s">
        <v>2261</v>
      </c>
      <c r="I824" s="670" t="s">
        <v>2262</v>
      </c>
      <c r="J824" s="671">
        <v>46234.0</v>
      </c>
    </row>
    <row r="825">
      <c r="A825" s="670">
        <v>862.0</v>
      </c>
      <c r="B825" s="670" t="s">
        <v>2257</v>
      </c>
      <c r="C825" s="670" t="s">
        <v>2258</v>
      </c>
      <c r="D825" s="670" t="s">
        <v>3879</v>
      </c>
      <c r="E825" s="670" t="s">
        <v>3880</v>
      </c>
      <c r="F825" s="670">
        <v>7.0</v>
      </c>
      <c r="G825" s="670" t="s">
        <v>43</v>
      </c>
      <c r="H825" s="670" t="s">
        <v>2261</v>
      </c>
      <c r="I825" s="670" t="s">
        <v>2262</v>
      </c>
      <c r="J825" s="671">
        <v>46234.0</v>
      </c>
    </row>
    <row r="826">
      <c r="A826" s="670">
        <v>864.0</v>
      </c>
      <c r="B826" s="670" t="s">
        <v>2257</v>
      </c>
      <c r="C826" s="670" t="s">
        <v>2258</v>
      </c>
      <c r="D826" s="670" t="s">
        <v>3881</v>
      </c>
      <c r="E826" s="670" t="s">
        <v>3882</v>
      </c>
      <c r="F826" s="670">
        <v>300.0</v>
      </c>
      <c r="G826" s="670" t="s">
        <v>755</v>
      </c>
      <c r="H826" s="670" t="s">
        <v>2261</v>
      </c>
      <c r="I826" s="670" t="s">
        <v>2262</v>
      </c>
      <c r="J826" s="671">
        <v>46234.0</v>
      </c>
    </row>
    <row r="827">
      <c r="A827" s="670">
        <v>865.0</v>
      </c>
      <c r="B827" s="670" t="s">
        <v>2257</v>
      </c>
      <c r="C827" s="670" t="s">
        <v>2258</v>
      </c>
      <c r="D827" s="670" t="s">
        <v>3883</v>
      </c>
      <c r="E827" s="670" t="s">
        <v>3884</v>
      </c>
      <c r="F827" s="670">
        <v>30000.0</v>
      </c>
      <c r="G827" s="670" t="s">
        <v>1117</v>
      </c>
      <c r="H827" s="670" t="s">
        <v>2261</v>
      </c>
      <c r="I827" s="670" t="s">
        <v>2262</v>
      </c>
      <c r="J827" s="671">
        <v>46234.0</v>
      </c>
    </row>
    <row r="828">
      <c r="A828" s="670">
        <v>866.0</v>
      </c>
      <c r="B828" s="670" t="s">
        <v>2257</v>
      </c>
      <c r="C828" s="670" t="s">
        <v>2258</v>
      </c>
      <c r="D828" s="670" t="s">
        <v>3885</v>
      </c>
      <c r="E828" s="670" t="s">
        <v>3886</v>
      </c>
      <c r="F828" s="670">
        <v>80.0</v>
      </c>
      <c r="G828" s="670" t="s">
        <v>759</v>
      </c>
      <c r="H828" s="670" t="s">
        <v>2261</v>
      </c>
      <c r="I828" s="670" t="s">
        <v>2262</v>
      </c>
      <c r="J828" s="671">
        <v>46234.0</v>
      </c>
    </row>
    <row r="829">
      <c r="A829" s="670">
        <v>867.0</v>
      </c>
      <c r="B829" s="670" t="s">
        <v>2257</v>
      </c>
      <c r="C829" s="670" t="s">
        <v>2258</v>
      </c>
      <c r="D829" s="670" t="s">
        <v>3888</v>
      </c>
      <c r="E829" s="670" t="s">
        <v>3889</v>
      </c>
      <c r="F829" s="670">
        <v>110.0</v>
      </c>
      <c r="G829" s="670" t="s">
        <v>2467</v>
      </c>
      <c r="H829" s="670" t="s">
        <v>2261</v>
      </c>
      <c r="I829" s="670" t="s">
        <v>2262</v>
      </c>
      <c r="J829" s="671">
        <v>46234.0</v>
      </c>
    </row>
    <row r="830">
      <c r="A830" s="670">
        <v>868.0</v>
      </c>
      <c r="B830" s="670" t="s">
        <v>2257</v>
      </c>
      <c r="C830" s="670" t="s">
        <v>2258</v>
      </c>
      <c r="D830" s="670" t="s">
        <v>3890</v>
      </c>
      <c r="E830" s="670" t="s">
        <v>3891</v>
      </c>
      <c r="F830" s="670">
        <v>66.0</v>
      </c>
      <c r="G830" s="670" t="s">
        <v>22</v>
      </c>
      <c r="H830" s="670" t="s">
        <v>2261</v>
      </c>
      <c r="I830" s="670" t="s">
        <v>2262</v>
      </c>
      <c r="J830" s="671">
        <v>46234.0</v>
      </c>
    </row>
    <row r="831">
      <c r="A831" s="670">
        <v>869.0</v>
      </c>
      <c r="B831" s="670" t="s">
        <v>2257</v>
      </c>
      <c r="C831" s="670" t="s">
        <v>2258</v>
      </c>
      <c r="D831" s="670" t="s">
        <v>3893</v>
      </c>
      <c r="E831" s="670" t="s">
        <v>3894</v>
      </c>
      <c r="F831" s="670">
        <v>76.0</v>
      </c>
      <c r="G831" s="670" t="s">
        <v>22</v>
      </c>
      <c r="H831" s="670" t="s">
        <v>2261</v>
      </c>
      <c r="I831" s="670" t="s">
        <v>2262</v>
      </c>
      <c r="J831" s="671">
        <v>46234.0</v>
      </c>
    </row>
    <row r="832">
      <c r="A832" s="670">
        <v>870.0</v>
      </c>
      <c r="B832" s="670" t="s">
        <v>2257</v>
      </c>
      <c r="C832" s="670" t="s">
        <v>2258</v>
      </c>
      <c r="D832" s="670" t="s">
        <v>3895</v>
      </c>
      <c r="E832" s="670" t="s">
        <v>3896</v>
      </c>
      <c r="F832" s="670">
        <v>355.0</v>
      </c>
      <c r="G832" s="670" t="s">
        <v>43</v>
      </c>
      <c r="H832" s="670" t="s">
        <v>2261</v>
      </c>
      <c r="I832" s="670" t="s">
        <v>2262</v>
      </c>
      <c r="J832" s="671">
        <v>46234.0</v>
      </c>
    </row>
    <row r="833">
      <c r="A833" s="670">
        <v>871.0</v>
      </c>
      <c r="B833" s="670" t="s">
        <v>2257</v>
      </c>
      <c r="C833" s="670" t="s">
        <v>2258</v>
      </c>
      <c r="D833" s="670" t="s">
        <v>3897</v>
      </c>
      <c r="E833" s="670" t="s">
        <v>3898</v>
      </c>
      <c r="F833" s="670">
        <v>920.0</v>
      </c>
      <c r="G833" s="670" t="s">
        <v>43</v>
      </c>
      <c r="H833" s="670" t="s">
        <v>2261</v>
      </c>
      <c r="I833" s="670" t="s">
        <v>2262</v>
      </c>
      <c r="J833" s="671">
        <v>46234.0</v>
      </c>
    </row>
    <row r="834">
      <c r="A834" s="670">
        <v>872.0</v>
      </c>
      <c r="B834" s="670" t="s">
        <v>2257</v>
      </c>
      <c r="C834" s="670" t="s">
        <v>2258</v>
      </c>
      <c r="D834" s="670" t="s">
        <v>3899</v>
      </c>
      <c r="E834" s="670" t="s">
        <v>3900</v>
      </c>
      <c r="F834" s="670">
        <v>2006.0</v>
      </c>
      <c r="G834" s="670" t="s">
        <v>107</v>
      </c>
      <c r="H834" s="670" t="s">
        <v>2261</v>
      </c>
      <c r="I834" s="670" t="s">
        <v>2262</v>
      </c>
      <c r="J834" s="671">
        <v>46234.0</v>
      </c>
    </row>
    <row r="835">
      <c r="A835" s="670">
        <v>873.0</v>
      </c>
      <c r="B835" s="670" t="s">
        <v>2257</v>
      </c>
      <c r="C835" s="670" t="s">
        <v>2258</v>
      </c>
      <c r="D835" s="670" t="s">
        <v>3901</v>
      </c>
      <c r="E835" s="670" t="s">
        <v>3902</v>
      </c>
      <c r="F835" s="670">
        <v>110.0</v>
      </c>
      <c r="G835" s="670" t="s">
        <v>22</v>
      </c>
      <c r="H835" s="670" t="s">
        <v>2261</v>
      </c>
      <c r="I835" s="670" t="s">
        <v>2262</v>
      </c>
      <c r="J835" s="671">
        <v>46234.0</v>
      </c>
    </row>
    <row r="836">
      <c r="A836" s="670">
        <v>874.0</v>
      </c>
      <c r="B836" s="670" t="s">
        <v>2257</v>
      </c>
      <c r="C836" s="670" t="s">
        <v>2258</v>
      </c>
      <c r="D836" s="670" t="s">
        <v>3903</v>
      </c>
      <c r="E836" s="670" t="s">
        <v>3904</v>
      </c>
      <c r="F836" s="670">
        <v>3300.0</v>
      </c>
      <c r="G836" s="670" t="s">
        <v>1117</v>
      </c>
      <c r="H836" s="670" t="s">
        <v>2261</v>
      </c>
      <c r="I836" s="670" t="s">
        <v>2262</v>
      </c>
      <c r="J836" s="671">
        <v>46234.0</v>
      </c>
    </row>
    <row r="837">
      <c r="A837" s="670">
        <v>875.0</v>
      </c>
      <c r="B837" s="670" t="s">
        <v>2257</v>
      </c>
      <c r="C837" s="670" t="s">
        <v>2258</v>
      </c>
      <c r="D837" s="670" t="s">
        <v>3905</v>
      </c>
      <c r="E837" s="670" t="s">
        <v>3906</v>
      </c>
      <c r="F837" s="670">
        <v>220.0</v>
      </c>
      <c r="G837" s="670" t="s">
        <v>22</v>
      </c>
      <c r="H837" s="670" t="s">
        <v>2261</v>
      </c>
      <c r="I837" s="670" t="s">
        <v>2262</v>
      </c>
      <c r="J837" s="671">
        <v>46234.0</v>
      </c>
    </row>
    <row r="838">
      <c r="A838" s="670">
        <v>876.0</v>
      </c>
      <c r="B838" s="670" t="s">
        <v>2257</v>
      </c>
      <c r="C838" s="673" t="s">
        <v>2258</v>
      </c>
      <c r="D838" s="670" t="s">
        <v>3908</v>
      </c>
      <c r="E838" s="670" t="s">
        <v>3909</v>
      </c>
      <c r="F838" s="670">
        <v>640.0</v>
      </c>
      <c r="G838" s="670" t="s">
        <v>1117</v>
      </c>
      <c r="H838" s="670" t="s">
        <v>2261</v>
      </c>
      <c r="I838" s="670" t="s">
        <v>2262</v>
      </c>
      <c r="J838" s="671">
        <v>46234.0</v>
      </c>
    </row>
    <row r="839">
      <c r="A839" s="670">
        <v>877.0</v>
      </c>
      <c r="B839" s="670" t="s">
        <v>2257</v>
      </c>
      <c r="C839" s="673" t="s">
        <v>2258</v>
      </c>
      <c r="D839" s="670" t="s">
        <v>3910</v>
      </c>
      <c r="E839" s="670" t="s">
        <v>3911</v>
      </c>
      <c r="F839" s="670">
        <v>850.0</v>
      </c>
      <c r="G839" s="670" t="s">
        <v>107</v>
      </c>
      <c r="H839" s="670" t="s">
        <v>2261</v>
      </c>
      <c r="I839" s="670" t="s">
        <v>2262</v>
      </c>
      <c r="J839" s="671">
        <v>46234.0</v>
      </c>
    </row>
    <row r="840">
      <c r="A840" s="670">
        <v>878.0</v>
      </c>
      <c r="B840" s="670" t="s">
        <v>2257</v>
      </c>
      <c r="C840" s="673" t="s">
        <v>2258</v>
      </c>
      <c r="D840" s="670" t="s">
        <v>3912</v>
      </c>
      <c r="E840" s="670" t="s">
        <v>3913</v>
      </c>
      <c r="F840" s="670">
        <v>1000.0</v>
      </c>
      <c r="G840" s="670" t="s">
        <v>107</v>
      </c>
      <c r="H840" s="670" t="s">
        <v>2261</v>
      </c>
      <c r="I840" s="670" t="s">
        <v>2262</v>
      </c>
      <c r="J840" s="671">
        <v>46234.0</v>
      </c>
    </row>
    <row r="841">
      <c r="A841" s="670">
        <v>879.0</v>
      </c>
      <c r="B841" s="670" t="s">
        <v>2257</v>
      </c>
      <c r="C841" s="673" t="s">
        <v>2258</v>
      </c>
      <c r="D841" s="670" t="s">
        <v>3914</v>
      </c>
      <c r="E841" s="670" t="s">
        <v>3915</v>
      </c>
      <c r="F841" s="670">
        <v>210.0</v>
      </c>
      <c r="G841" s="670" t="s">
        <v>759</v>
      </c>
      <c r="H841" s="670" t="s">
        <v>2572</v>
      </c>
      <c r="I841" s="670" t="s">
        <v>2573</v>
      </c>
      <c r="J841" s="671">
        <v>46234.0</v>
      </c>
    </row>
    <row r="842">
      <c r="A842" s="670">
        <v>880.0</v>
      </c>
      <c r="B842" s="670" t="s">
        <v>2257</v>
      </c>
      <c r="C842" s="673" t="s">
        <v>2258</v>
      </c>
      <c r="D842" s="670" t="s">
        <v>3917</v>
      </c>
      <c r="E842" s="670" t="s">
        <v>3918</v>
      </c>
      <c r="F842" s="670">
        <v>175.0</v>
      </c>
      <c r="G842" s="670" t="s">
        <v>759</v>
      </c>
      <c r="H842" s="670" t="s">
        <v>2261</v>
      </c>
      <c r="I842" s="670" t="s">
        <v>2262</v>
      </c>
      <c r="J842" s="671">
        <v>46234.0</v>
      </c>
    </row>
    <row r="843">
      <c r="A843" s="670">
        <v>881.0</v>
      </c>
      <c r="B843" s="670" t="s">
        <v>2257</v>
      </c>
      <c r="C843" s="673" t="s">
        <v>2258</v>
      </c>
      <c r="D843" s="670" t="s">
        <v>3919</v>
      </c>
      <c r="E843" s="670" t="s">
        <v>3920</v>
      </c>
      <c r="F843" s="670">
        <v>780.0</v>
      </c>
      <c r="G843" s="670" t="s">
        <v>2467</v>
      </c>
      <c r="H843" s="670" t="s">
        <v>2261</v>
      </c>
      <c r="I843" s="670" t="s">
        <v>2262</v>
      </c>
      <c r="J843" s="671">
        <v>46234.0</v>
      </c>
    </row>
    <row r="844">
      <c r="A844" s="670">
        <v>882.0</v>
      </c>
      <c r="B844" s="670" t="s">
        <v>2257</v>
      </c>
      <c r="C844" s="673" t="s">
        <v>2258</v>
      </c>
      <c r="D844" s="670" t="s">
        <v>3921</v>
      </c>
      <c r="E844" s="670" t="s">
        <v>3922</v>
      </c>
      <c r="F844" s="670">
        <v>580.0</v>
      </c>
      <c r="G844" s="670" t="s">
        <v>2467</v>
      </c>
      <c r="H844" s="670" t="s">
        <v>2261</v>
      </c>
      <c r="I844" s="670" t="s">
        <v>2262</v>
      </c>
      <c r="J844" s="671">
        <v>46234.0</v>
      </c>
    </row>
    <row r="845">
      <c r="A845" s="670">
        <v>883.0</v>
      </c>
      <c r="B845" s="670" t="s">
        <v>2257</v>
      </c>
      <c r="C845" s="673" t="s">
        <v>2258</v>
      </c>
      <c r="D845" s="670" t="s">
        <v>3923</v>
      </c>
      <c r="E845" s="670" t="s">
        <v>3924</v>
      </c>
      <c r="F845" s="670">
        <v>620.0</v>
      </c>
      <c r="G845" s="670" t="s">
        <v>759</v>
      </c>
      <c r="H845" s="670" t="s">
        <v>2261</v>
      </c>
      <c r="I845" s="670" t="s">
        <v>2262</v>
      </c>
      <c r="J845" s="671">
        <v>46234.0</v>
      </c>
    </row>
    <row r="846">
      <c r="A846" s="670">
        <v>884.0</v>
      </c>
      <c r="B846" s="670" t="s">
        <v>2257</v>
      </c>
      <c r="C846" s="673" t="s">
        <v>2258</v>
      </c>
      <c r="D846" s="670" t="s">
        <v>3925</v>
      </c>
      <c r="E846" s="670" t="s">
        <v>3926</v>
      </c>
      <c r="F846" s="670">
        <v>160.0</v>
      </c>
      <c r="G846" s="670" t="s">
        <v>2467</v>
      </c>
      <c r="H846" s="670" t="s">
        <v>2261</v>
      </c>
      <c r="I846" s="670" t="s">
        <v>2262</v>
      </c>
      <c r="J846" s="671">
        <v>46234.0</v>
      </c>
    </row>
    <row r="847">
      <c r="A847" s="670">
        <v>885.0</v>
      </c>
      <c r="B847" s="670" t="s">
        <v>2257</v>
      </c>
      <c r="C847" s="673" t="s">
        <v>2258</v>
      </c>
      <c r="D847" s="670" t="s">
        <v>3927</v>
      </c>
      <c r="E847" s="670" t="s">
        <v>3928</v>
      </c>
      <c r="F847" s="670">
        <v>250.0</v>
      </c>
      <c r="G847" s="670" t="s">
        <v>2467</v>
      </c>
      <c r="H847" s="670" t="s">
        <v>2261</v>
      </c>
      <c r="I847" s="670" t="s">
        <v>2262</v>
      </c>
      <c r="J847" s="671">
        <v>46234.0</v>
      </c>
    </row>
    <row r="848">
      <c r="A848" s="670">
        <v>886.0</v>
      </c>
      <c r="B848" s="670" t="s">
        <v>2257</v>
      </c>
      <c r="C848" s="673" t="s">
        <v>2258</v>
      </c>
      <c r="D848" s="670" t="s">
        <v>3929</v>
      </c>
      <c r="E848" s="670" t="s">
        <v>3930</v>
      </c>
      <c r="F848" s="670">
        <v>38.0</v>
      </c>
      <c r="G848" s="670" t="s">
        <v>759</v>
      </c>
      <c r="H848" s="670" t="s">
        <v>2261</v>
      </c>
      <c r="I848" s="670" t="s">
        <v>2262</v>
      </c>
      <c r="J848" s="671">
        <v>46234.0</v>
      </c>
    </row>
    <row r="849">
      <c r="A849" s="670">
        <v>887.0</v>
      </c>
      <c r="B849" s="670" t="s">
        <v>2257</v>
      </c>
      <c r="C849" s="673" t="s">
        <v>2258</v>
      </c>
      <c r="D849" s="670" t="s">
        <v>3931</v>
      </c>
      <c r="E849" s="670" t="s">
        <v>3932</v>
      </c>
      <c r="F849" s="670">
        <v>1700.0</v>
      </c>
      <c r="G849" s="670" t="s">
        <v>305</v>
      </c>
      <c r="H849" s="670" t="s">
        <v>2261</v>
      </c>
      <c r="I849" s="670" t="s">
        <v>2262</v>
      </c>
      <c r="J849" s="671">
        <v>46234.0</v>
      </c>
    </row>
    <row r="850">
      <c r="A850" s="670">
        <v>888.0</v>
      </c>
      <c r="B850" s="670" t="s">
        <v>2257</v>
      </c>
      <c r="C850" s="673" t="s">
        <v>2258</v>
      </c>
      <c r="D850" s="670" t="s">
        <v>3933</v>
      </c>
      <c r="E850" s="670" t="s">
        <v>3934</v>
      </c>
      <c r="F850" s="670">
        <v>500.0</v>
      </c>
      <c r="G850" s="670" t="s">
        <v>1117</v>
      </c>
      <c r="H850" s="670" t="s">
        <v>2261</v>
      </c>
      <c r="I850" s="670" t="s">
        <v>2262</v>
      </c>
      <c r="J850" s="671">
        <v>46234.0</v>
      </c>
    </row>
    <row r="851">
      <c r="A851" s="670">
        <v>889.0</v>
      </c>
      <c r="B851" s="670" t="s">
        <v>2257</v>
      </c>
      <c r="C851" s="673" t="s">
        <v>2258</v>
      </c>
      <c r="D851" s="670" t="s">
        <v>3935</v>
      </c>
      <c r="E851" s="670" t="s">
        <v>3936</v>
      </c>
      <c r="F851" s="670">
        <v>675.0</v>
      </c>
      <c r="G851" s="670" t="s">
        <v>1117</v>
      </c>
      <c r="H851" s="670" t="s">
        <v>2261</v>
      </c>
      <c r="I851" s="670" t="s">
        <v>2262</v>
      </c>
      <c r="J851" s="671">
        <v>46234.0</v>
      </c>
    </row>
    <row r="852">
      <c r="A852" s="670">
        <v>890.0</v>
      </c>
      <c r="B852" s="670" t="s">
        <v>2257</v>
      </c>
      <c r="C852" s="673" t="s">
        <v>2258</v>
      </c>
      <c r="D852" s="670" t="s">
        <v>3937</v>
      </c>
      <c r="E852" s="670" t="s">
        <v>3938</v>
      </c>
      <c r="F852" s="670">
        <v>1350.0</v>
      </c>
      <c r="G852" s="670" t="s">
        <v>1117</v>
      </c>
      <c r="H852" s="670" t="s">
        <v>2261</v>
      </c>
      <c r="I852" s="670" t="s">
        <v>2262</v>
      </c>
      <c r="J852" s="671">
        <v>46234.0</v>
      </c>
    </row>
    <row r="853">
      <c r="A853" s="670">
        <v>891.0</v>
      </c>
      <c r="B853" s="670" t="s">
        <v>2257</v>
      </c>
      <c r="C853" s="670" t="s">
        <v>2258</v>
      </c>
      <c r="D853" s="670" t="s">
        <v>3939</v>
      </c>
      <c r="E853" s="670" t="s">
        <v>3940</v>
      </c>
      <c r="F853" s="670">
        <v>5000.0</v>
      </c>
      <c r="G853" s="670" t="s">
        <v>1570</v>
      </c>
      <c r="H853" s="670" t="s">
        <v>2261</v>
      </c>
      <c r="I853" s="670" t="s">
        <v>2262</v>
      </c>
      <c r="J853" s="671">
        <v>46234.0</v>
      </c>
    </row>
    <row r="854">
      <c r="A854" s="670">
        <v>892.0</v>
      </c>
      <c r="B854" s="670" t="s">
        <v>2257</v>
      </c>
      <c r="C854" s="673" t="s">
        <v>2258</v>
      </c>
      <c r="D854" s="670" t="s">
        <v>3941</v>
      </c>
      <c r="E854" s="670" t="s">
        <v>3942</v>
      </c>
      <c r="F854" s="670">
        <v>1375.0</v>
      </c>
      <c r="G854" s="670" t="s">
        <v>43</v>
      </c>
      <c r="H854" s="670" t="s">
        <v>2261</v>
      </c>
      <c r="I854" s="670" t="s">
        <v>2262</v>
      </c>
      <c r="J854" s="671">
        <v>46234.0</v>
      </c>
    </row>
    <row r="855">
      <c r="A855" s="670">
        <v>893.0</v>
      </c>
      <c r="B855" s="670" t="s">
        <v>2257</v>
      </c>
      <c r="C855" s="670" t="s">
        <v>2258</v>
      </c>
      <c r="D855" s="670" t="s">
        <v>3943</v>
      </c>
      <c r="E855" s="670" t="s">
        <v>3944</v>
      </c>
      <c r="F855" s="670">
        <v>1450.0</v>
      </c>
      <c r="G855" s="670" t="s">
        <v>1117</v>
      </c>
      <c r="H855" s="670" t="s">
        <v>2261</v>
      </c>
      <c r="I855" s="670" t="s">
        <v>2262</v>
      </c>
      <c r="J855" s="671">
        <v>46234.0</v>
      </c>
    </row>
    <row r="856">
      <c r="A856" s="670">
        <v>894.0</v>
      </c>
      <c r="B856" s="670" t="s">
        <v>2257</v>
      </c>
      <c r="C856" s="673" t="s">
        <v>2258</v>
      </c>
      <c r="D856" s="670" t="s">
        <v>3945</v>
      </c>
      <c r="E856" s="670" t="s">
        <v>3946</v>
      </c>
      <c r="F856" s="670">
        <v>1000.0</v>
      </c>
      <c r="G856" s="670" t="s">
        <v>1117</v>
      </c>
      <c r="H856" s="670" t="s">
        <v>2261</v>
      </c>
      <c r="I856" s="670" t="s">
        <v>2262</v>
      </c>
      <c r="J856" s="671">
        <v>46234.0</v>
      </c>
    </row>
    <row r="857">
      <c r="A857" s="670">
        <v>895.0</v>
      </c>
      <c r="B857" s="670" t="s">
        <v>2257</v>
      </c>
      <c r="C857" s="670" t="s">
        <v>2258</v>
      </c>
      <c r="D857" s="670" t="s">
        <v>3947</v>
      </c>
      <c r="E857" s="670" t="s">
        <v>3948</v>
      </c>
      <c r="F857" s="670">
        <v>250.0</v>
      </c>
      <c r="G857" s="670" t="s">
        <v>1117</v>
      </c>
      <c r="H857" s="670" t="s">
        <v>2261</v>
      </c>
      <c r="I857" s="670" t="s">
        <v>2262</v>
      </c>
      <c r="J857" s="671">
        <v>46234.0</v>
      </c>
    </row>
    <row r="858">
      <c r="A858" s="670">
        <v>896.0</v>
      </c>
      <c r="B858" s="670" t="s">
        <v>2257</v>
      </c>
      <c r="C858" s="673" t="s">
        <v>2258</v>
      </c>
      <c r="D858" s="670" t="s">
        <v>3949</v>
      </c>
      <c r="E858" s="670" t="s">
        <v>3950</v>
      </c>
      <c r="F858" s="670">
        <v>13000.0</v>
      </c>
      <c r="G858" s="670" t="s">
        <v>1117</v>
      </c>
      <c r="H858" s="670" t="s">
        <v>2261</v>
      </c>
      <c r="I858" s="670" t="s">
        <v>2262</v>
      </c>
      <c r="J858" s="671">
        <v>46234.0</v>
      </c>
    </row>
    <row r="859">
      <c r="A859" s="670">
        <v>897.0</v>
      </c>
      <c r="B859" s="670" t="s">
        <v>2257</v>
      </c>
      <c r="C859" s="670" t="s">
        <v>2258</v>
      </c>
      <c r="D859" s="670" t="s">
        <v>3952</v>
      </c>
      <c r="E859" s="670" t="s">
        <v>3953</v>
      </c>
      <c r="F859" s="670">
        <v>2250.0</v>
      </c>
      <c r="G859" s="670" t="s">
        <v>1117</v>
      </c>
      <c r="H859" s="670" t="s">
        <v>2261</v>
      </c>
      <c r="I859" s="670" t="s">
        <v>2262</v>
      </c>
      <c r="J859" s="671">
        <v>46234.0</v>
      </c>
    </row>
    <row r="860">
      <c r="A860" s="670">
        <v>898.0</v>
      </c>
      <c r="B860" s="670" t="s">
        <v>2257</v>
      </c>
      <c r="C860" s="673" t="s">
        <v>2258</v>
      </c>
      <c r="D860" s="670" t="s">
        <v>3954</v>
      </c>
      <c r="E860" s="670" t="s">
        <v>3955</v>
      </c>
      <c r="F860" s="670">
        <v>3100.0</v>
      </c>
      <c r="G860" s="670" t="s">
        <v>1117</v>
      </c>
      <c r="H860" s="670" t="s">
        <v>2261</v>
      </c>
      <c r="I860" s="670" t="s">
        <v>2262</v>
      </c>
      <c r="J860" s="671">
        <v>46234.0</v>
      </c>
    </row>
    <row r="861">
      <c r="A861" s="670">
        <v>899.0</v>
      </c>
      <c r="B861" s="670" t="s">
        <v>2257</v>
      </c>
      <c r="C861" s="670" t="s">
        <v>2258</v>
      </c>
      <c r="D861" s="670" t="s">
        <v>3956</v>
      </c>
      <c r="E861" s="670" t="s">
        <v>3957</v>
      </c>
      <c r="F861" s="670">
        <v>925.0</v>
      </c>
      <c r="G861" s="670" t="s">
        <v>1117</v>
      </c>
      <c r="H861" s="670" t="s">
        <v>2261</v>
      </c>
      <c r="I861" s="670" t="s">
        <v>2262</v>
      </c>
      <c r="J861" s="671">
        <v>46234.0</v>
      </c>
    </row>
    <row r="862">
      <c r="A862" s="670">
        <v>900.0</v>
      </c>
      <c r="B862" s="670" t="s">
        <v>2257</v>
      </c>
      <c r="C862" s="670" t="s">
        <v>2258</v>
      </c>
      <c r="D862" s="670" t="s">
        <v>3958</v>
      </c>
      <c r="E862" s="670" t="s">
        <v>3959</v>
      </c>
      <c r="F862" s="670">
        <v>175.0</v>
      </c>
      <c r="G862" s="670" t="s">
        <v>1117</v>
      </c>
      <c r="H862" s="670" t="s">
        <v>2261</v>
      </c>
      <c r="I862" s="670" t="s">
        <v>2262</v>
      </c>
      <c r="J862" s="671">
        <v>46234.0</v>
      </c>
    </row>
    <row r="863">
      <c r="A863" s="670">
        <v>901.0</v>
      </c>
      <c r="B863" s="670" t="s">
        <v>2257</v>
      </c>
      <c r="C863" s="670" t="s">
        <v>2258</v>
      </c>
      <c r="D863" s="670" t="s">
        <v>3960</v>
      </c>
      <c r="E863" s="670" t="s">
        <v>3961</v>
      </c>
      <c r="F863" s="670">
        <v>175.0</v>
      </c>
      <c r="G863" s="670" t="s">
        <v>1117</v>
      </c>
      <c r="H863" s="670" t="s">
        <v>2261</v>
      </c>
      <c r="I863" s="670" t="s">
        <v>2262</v>
      </c>
      <c r="J863" s="671">
        <v>46234.0</v>
      </c>
    </row>
    <row r="864">
      <c r="A864" s="670">
        <v>902.0</v>
      </c>
      <c r="B864" s="670" t="s">
        <v>2257</v>
      </c>
      <c r="C864" s="670" t="s">
        <v>2258</v>
      </c>
      <c r="D864" s="670" t="s">
        <v>3962</v>
      </c>
      <c r="E864" s="670" t="s">
        <v>3963</v>
      </c>
      <c r="F864" s="670">
        <v>650.0</v>
      </c>
      <c r="G864" s="670" t="s">
        <v>1117</v>
      </c>
      <c r="H864" s="670" t="s">
        <v>2261</v>
      </c>
      <c r="I864" s="670" t="s">
        <v>2262</v>
      </c>
      <c r="J864" s="671">
        <v>46234.0</v>
      </c>
    </row>
    <row r="865">
      <c r="A865" s="670">
        <v>903.0</v>
      </c>
      <c r="B865" s="670" t="s">
        <v>2257</v>
      </c>
      <c r="C865" s="670" t="s">
        <v>2258</v>
      </c>
      <c r="D865" s="670" t="s">
        <v>3964</v>
      </c>
      <c r="E865" s="670" t="s">
        <v>3965</v>
      </c>
      <c r="F865" s="670">
        <v>1250.0</v>
      </c>
      <c r="G865" s="670" t="s">
        <v>1117</v>
      </c>
      <c r="H865" s="670" t="s">
        <v>2261</v>
      </c>
      <c r="I865" s="670" t="s">
        <v>2262</v>
      </c>
      <c r="J865" s="671">
        <v>46234.0</v>
      </c>
    </row>
    <row r="866">
      <c r="A866" s="670">
        <v>904.0</v>
      </c>
      <c r="B866" s="670" t="s">
        <v>2257</v>
      </c>
      <c r="C866" s="670" t="s">
        <v>2258</v>
      </c>
      <c r="D866" s="670" t="s">
        <v>3966</v>
      </c>
      <c r="E866" s="670" t="s">
        <v>3967</v>
      </c>
      <c r="F866" s="670">
        <v>500.0</v>
      </c>
      <c r="G866" s="670" t="s">
        <v>1117</v>
      </c>
      <c r="H866" s="670" t="s">
        <v>2261</v>
      </c>
      <c r="I866" s="670" t="s">
        <v>2262</v>
      </c>
      <c r="J866" s="671">
        <v>46234.0</v>
      </c>
    </row>
    <row r="867">
      <c r="A867" s="670">
        <v>905.0</v>
      </c>
      <c r="B867" s="670" t="s">
        <v>2257</v>
      </c>
      <c r="C867" s="670" t="s">
        <v>2258</v>
      </c>
      <c r="D867" s="670" t="s">
        <v>3968</v>
      </c>
      <c r="E867" s="670" t="s">
        <v>3969</v>
      </c>
      <c r="F867" s="670">
        <v>275.0</v>
      </c>
      <c r="G867" s="670" t="s">
        <v>1570</v>
      </c>
      <c r="H867" s="670" t="s">
        <v>2261</v>
      </c>
      <c r="I867" s="670" t="s">
        <v>2262</v>
      </c>
      <c r="J867" s="671">
        <v>46234.0</v>
      </c>
    </row>
    <row r="868">
      <c r="A868" s="670">
        <v>906.0</v>
      </c>
      <c r="B868" s="670" t="s">
        <v>2257</v>
      </c>
      <c r="C868" s="670" t="s">
        <v>2258</v>
      </c>
      <c r="D868" s="670" t="s">
        <v>3971</v>
      </c>
      <c r="E868" s="670" t="s">
        <v>3972</v>
      </c>
      <c r="F868" s="670">
        <v>1250.0</v>
      </c>
      <c r="G868" s="670" t="s">
        <v>1117</v>
      </c>
      <c r="H868" s="670" t="s">
        <v>2261</v>
      </c>
      <c r="I868" s="670" t="s">
        <v>2262</v>
      </c>
      <c r="J868" s="671">
        <v>46234.0</v>
      </c>
    </row>
    <row r="869">
      <c r="A869" s="670">
        <v>907.0</v>
      </c>
      <c r="B869" s="670" t="s">
        <v>2719</v>
      </c>
      <c r="C869" s="670" t="s">
        <v>2258</v>
      </c>
      <c r="D869" s="670" t="s">
        <v>3973</v>
      </c>
      <c r="E869" s="670" t="s">
        <v>3974</v>
      </c>
      <c r="F869" s="670">
        <v>800.0</v>
      </c>
      <c r="G869" s="670" t="s">
        <v>1117</v>
      </c>
      <c r="H869" s="670" t="s">
        <v>2261</v>
      </c>
      <c r="I869" s="670" t="s">
        <v>2262</v>
      </c>
      <c r="J869" s="671">
        <v>46234.0</v>
      </c>
    </row>
    <row r="870">
      <c r="A870" s="670">
        <v>909.0</v>
      </c>
      <c r="B870" s="670" t="s">
        <v>2257</v>
      </c>
      <c r="C870" s="670" t="s">
        <v>2258</v>
      </c>
      <c r="D870" s="670" t="s">
        <v>3975</v>
      </c>
      <c r="E870" s="670" t="s">
        <v>3976</v>
      </c>
      <c r="F870" s="670">
        <v>8.0</v>
      </c>
      <c r="G870" s="670" t="s">
        <v>1117</v>
      </c>
      <c r="H870" s="670" t="s">
        <v>2572</v>
      </c>
      <c r="I870" s="670" t="s">
        <v>2573</v>
      </c>
      <c r="J870" s="671">
        <v>46234.0</v>
      </c>
    </row>
    <row r="871">
      <c r="A871" s="670">
        <v>910.0</v>
      </c>
      <c r="B871" s="670" t="s">
        <v>2257</v>
      </c>
      <c r="C871" s="670" t="s">
        <v>2258</v>
      </c>
      <c r="D871" s="670" t="s">
        <v>3977</v>
      </c>
      <c r="E871" s="670" t="s">
        <v>3978</v>
      </c>
      <c r="F871" s="670">
        <v>250.0</v>
      </c>
      <c r="G871" s="670" t="s">
        <v>1117</v>
      </c>
      <c r="H871" s="670" t="s">
        <v>2261</v>
      </c>
      <c r="I871" s="670" t="s">
        <v>2262</v>
      </c>
      <c r="J871" s="671">
        <v>46234.0</v>
      </c>
    </row>
    <row r="872">
      <c r="A872" s="670">
        <v>911.0</v>
      </c>
      <c r="B872" s="670" t="s">
        <v>2257</v>
      </c>
      <c r="C872" s="670" t="s">
        <v>2258</v>
      </c>
      <c r="D872" s="670" t="s">
        <v>3979</v>
      </c>
      <c r="E872" s="670" t="s">
        <v>3980</v>
      </c>
      <c r="F872" s="670">
        <v>1000.0</v>
      </c>
      <c r="G872" s="670" t="s">
        <v>1117</v>
      </c>
      <c r="H872" s="670" t="s">
        <v>2261</v>
      </c>
      <c r="I872" s="670" t="s">
        <v>2262</v>
      </c>
      <c r="J872" s="671">
        <v>46234.0</v>
      </c>
    </row>
    <row r="873">
      <c r="A873" s="670">
        <v>912.0</v>
      </c>
      <c r="B873" s="670" t="s">
        <v>2257</v>
      </c>
      <c r="C873" s="670" t="s">
        <v>2258</v>
      </c>
      <c r="D873" s="670" t="s">
        <v>3981</v>
      </c>
      <c r="E873" s="670" t="s">
        <v>3982</v>
      </c>
      <c r="F873" s="670">
        <v>20.0</v>
      </c>
      <c r="G873" s="670" t="s">
        <v>1117</v>
      </c>
      <c r="H873" s="670" t="s">
        <v>2261</v>
      </c>
      <c r="I873" s="670" t="s">
        <v>2262</v>
      </c>
      <c r="J873" s="671">
        <v>46234.0</v>
      </c>
    </row>
    <row r="874">
      <c r="A874" s="670">
        <v>913.0</v>
      </c>
      <c r="B874" s="670" t="s">
        <v>2257</v>
      </c>
      <c r="C874" s="670" t="s">
        <v>2258</v>
      </c>
      <c r="D874" s="670" t="s">
        <v>3983</v>
      </c>
      <c r="E874" s="670" t="s">
        <v>3984</v>
      </c>
      <c r="F874" s="670">
        <v>292.0</v>
      </c>
      <c r="G874" s="670" t="s">
        <v>43</v>
      </c>
      <c r="H874" s="670" t="s">
        <v>2261</v>
      </c>
      <c r="I874" s="670" t="s">
        <v>2262</v>
      </c>
      <c r="J874" s="671">
        <v>46234.0</v>
      </c>
    </row>
    <row r="875">
      <c r="A875" s="670">
        <v>914.0</v>
      </c>
      <c r="B875" s="670" t="s">
        <v>2257</v>
      </c>
      <c r="C875" s="670" t="s">
        <v>2258</v>
      </c>
      <c r="D875" s="670" t="s">
        <v>3985</v>
      </c>
      <c r="E875" s="670" t="s">
        <v>3986</v>
      </c>
      <c r="F875" s="670">
        <v>328.0</v>
      </c>
      <c r="G875" s="670" t="s">
        <v>43</v>
      </c>
      <c r="H875" s="670" t="s">
        <v>2261</v>
      </c>
      <c r="I875" s="670" t="s">
        <v>2262</v>
      </c>
      <c r="J875" s="671">
        <v>46234.0</v>
      </c>
    </row>
    <row r="876">
      <c r="A876" s="670">
        <v>915.0</v>
      </c>
      <c r="B876" s="670" t="s">
        <v>2257</v>
      </c>
      <c r="C876" s="670" t="s">
        <v>2258</v>
      </c>
      <c r="D876" s="670" t="s">
        <v>3987</v>
      </c>
      <c r="E876" s="670" t="s">
        <v>3988</v>
      </c>
      <c r="F876" s="670">
        <v>366.0</v>
      </c>
      <c r="G876" s="670" t="s">
        <v>43</v>
      </c>
      <c r="H876" s="670" t="s">
        <v>2261</v>
      </c>
      <c r="I876" s="670" t="s">
        <v>2262</v>
      </c>
      <c r="J876" s="671">
        <v>46234.0</v>
      </c>
    </row>
    <row r="877">
      <c r="A877" s="670">
        <v>916.0</v>
      </c>
      <c r="B877" s="670" t="s">
        <v>2257</v>
      </c>
      <c r="C877" s="670" t="s">
        <v>2258</v>
      </c>
      <c r="D877" s="670" t="s">
        <v>3990</v>
      </c>
      <c r="E877" s="670" t="s">
        <v>3991</v>
      </c>
      <c r="F877" s="670">
        <v>447.0</v>
      </c>
      <c r="G877" s="670" t="s">
        <v>43</v>
      </c>
      <c r="H877" s="670" t="s">
        <v>2261</v>
      </c>
      <c r="I877" s="670" t="s">
        <v>2262</v>
      </c>
      <c r="J877" s="671">
        <v>46234.0</v>
      </c>
    </row>
    <row r="878">
      <c r="A878" s="670">
        <v>917.0</v>
      </c>
      <c r="B878" s="670" t="s">
        <v>2257</v>
      </c>
      <c r="C878" s="670" t="s">
        <v>2258</v>
      </c>
      <c r="D878" s="670" t="s">
        <v>3992</v>
      </c>
      <c r="E878" s="670" t="s">
        <v>3993</v>
      </c>
      <c r="F878" s="670">
        <v>537.0</v>
      </c>
      <c r="G878" s="670" t="s">
        <v>43</v>
      </c>
      <c r="H878" s="670" t="s">
        <v>2261</v>
      </c>
      <c r="I878" s="670" t="s">
        <v>2262</v>
      </c>
      <c r="J878" s="671">
        <v>46234.0</v>
      </c>
    </row>
    <row r="879">
      <c r="A879" s="670">
        <v>918.0</v>
      </c>
      <c r="B879" s="670" t="s">
        <v>2257</v>
      </c>
      <c r="C879" s="670" t="s">
        <v>2258</v>
      </c>
      <c r="D879" s="670" t="s">
        <v>3994</v>
      </c>
      <c r="E879" s="670" t="s">
        <v>3995</v>
      </c>
      <c r="F879" s="670">
        <v>634.0</v>
      </c>
      <c r="G879" s="670" t="s">
        <v>43</v>
      </c>
      <c r="H879" s="670" t="s">
        <v>2261</v>
      </c>
      <c r="I879" s="670" t="s">
        <v>2262</v>
      </c>
      <c r="J879" s="671">
        <v>46234.0</v>
      </c>
    </row>
    <row r="880">
      <c r="A880" s="670">
        <v>919.0</v>
      </c>
      <c r="B880" s="670" t="s">
        <v>2257</v>
      </c>
      <c r="C880" s="670" t="s">
        <v>2258</v>
      </c>
      <c r="D880" s="670" t="s">
        <v>3996</v>
      </c>
      <c r="E880" s="670" t="s">
        <v>3997</v>
      </c>
      <c r="F880" s="670">
        <v>741.0</v>
      </c>
      <c r="G880" s="670" t="s">
        <v>43</v>
      </c>
      <c r="H880" s="670" t="s">
        <v>2261</v>
      </c>
      <c r="I880" s="670" t="s">
        <v>2262</v>
      </c>
      <c r="J880" s="671">
        <v>46234.0</v>
      </c>
    </row>
    <row r="881">
      <c r="A881" s="670">
        <v>920.0</v>
      </c>
      <c r="B881" s="670" t="s">
        <v>2257</v>
      </c>
      <c r="C881" s="670" t="s">
        <v>2258</v>
      </c>
      <c r="D881" s="670" t="s">
        <v>3998</v>
      </c>
      <c r="E881" s="670" t="s">
        <v>3999</v>
      </c>
      <c r="F881" s="670">
        <v>60.0</v>
      </c>
      <c r="G881" s="670" t="s">
        <v>2543</v>
      </c>
      <c r="H881" s="670" t="s">
        <v>2261</v>
      </c>
      <c r="I881" s="670" t="s">
        <v>2262</v>
      </c>
      <c r="J881" s="671">
        <v>46234.0</v>
      </c>
    </row>
    <row r="882">
      <c r="A882" s="670">
        <v>921.0</v>
      </c>
      <c r="B882" s="670" t="s">
        <v>2257</v>
      </c>
      <c r="C882" s="670" t="s">
        <v>2258</v>
      </c>
      <c r="D882" s="670" t="s">
        <v>4000</v>
      </c>
      <c r="E882" s="670" t="s">
        <v>4001</v>
      </c>
      <c r="F882" s="670">
        <v>212.0</v>
      </c>
      <c r="G882" s="670" t="s">
        <v>759</v>
      </c>
      <c r="H882" s="670" t="s">
        <v>2261</v>
      </c>
      <c r="I882" s="670" t="s">
        <v>2262</v>
      </c>
      <c r="J882" s="671">
        <v>46234.0</v>
      </c>
    </row>
    <row r="883">
      <c r="A883" s="670">
        <v>922.0</v>
      </c>
      <c r="B883" s="670" t="s">
        <v>2257</v>
      </c>
      <c r="C883" s="670" t="s">
        <v>2258</v>
      </c>
      <c r="D883" s="670" t="s">
        <v>4002</v>
      </c>
      <c r="E883" s="670" t="s">
        <v>4003</v>
      </c>
      <c r="F883" s="670">
        <v>85.0</v>
      </c>
      <c r="G883" s="670" t="s">
        <v>759</v>
      </c>
      <c r="H883" s="670" t="s">
        <v>2261</v>
      </c>
      <c r="I883" s="670" t="s">
        <v>2262</v>
      </c>
      <c r="J883" s="671">
        <v>46234.0</v>
      </c>
    </row>
    <row r="884">
      <c r="A884" s="670">
        <v>923.0</v>
      </c>
      <c r="B884" s="670" t="s">
        <v>2257</v>
      </c>
      <c r="C884" s="670" t="s">
        <v>2258</v>
      </c>
      <c r="D884" s="670" t="s">
        <v>4004</v>
      </c>
      <c r="E884" s="670" t="s">
        <v>4005</v>
      </c>
      <c r="F884" s="670">
        <v>36.0</v>
      </c>
      <c r="G884" s="670" t="s">
        <v>43</v>
      </c>
      <c r="H884" s="670" t="s">
        <v>2261</v>
      </c>
      <c r="I884" s="670" t="s">
        <v>2262</v>
      </c>
      <c r="J884" s="671">
        <v>46234.0</v>
      </c>
    </row>
    <row r="885">
      <c r="A885" s="670">
        <v>924.0</v>
      </c>
      <c r="B885" s="670" t="s">
        <v>2257</v>
      </c>
      <c r="C885" s="670" t="s">
        <v>2258</v>
      </c>
      <c r="D885" s="670" t="s">
        <v>4006</v>
      </c>
      <c r="E885" s="670" t="s">
        <v>4007</v>
      </c>
      <c r="F885" s="670">
        <v>1593.0</v>
      </c>
      <c r="G885" s="670" t="s">
        <v>43</v>
      </c>
      <c r="H885" s="670" t="s">
        <v>2261</v>
      </c>
      <c r="I885" s="670" t="s">
        <v>2262</v>
      </c>
      <c r="J885" s="671">
        <v>46234.0</v>
      </c>
    </row>
    <row r="886">
      <c r="A886" s="670">
        <v>925.0</v>
      </c>
      <c r="B886" s="670" t="s">
        <v>2257</v>
      </c>
      <c r="C886" s="670" t="s">
        <v>2258</v>
      </c>
      <c r="D886" s="670" t="s">
        <v>4010</v>
      </c>
      <c r="E886" s="670" t="s">
        <v>4011</v>
      </c>
      <c r="F886" s="670">
        <v>1715.0</v>
      </c>
      <c r="G886" s="670" t="s">
        <v>43</v>
      </c>
      <c r="H886" s="670" t="s">
        <v>2261</v>
      </c>
      <c r="I886" s="670" t="s">
        <v>2262</v>
      </c>
      <c r="J886" s="671">
        <v>46234.0</v>
      </c>
    </row>
    <row r="887">
      <c r="A887" s="670">
        <v>926.0</v>
      </c>
      <c r="B887" s="670" t="s">
        <v>2257</v>
      </c>
      <c r="C887" s="670" t="s">
        <v>2258</v>
      </c>
      <c r="D887" s="670" t="s">
        <v>4012</v>
      </c>
      <c r="E887" s="670" t="s">
        <v>4013</v>
      </c>
      <c r="F887" s="670">
        <v>22.0</v>
      </c>
      <c r="G887" s="670" t="s">
        <v>22</v>
      </c>
      <c r="H887" s="670" t="s">
        <v>2261</v>
      </c>
      <c r="I887" s="670" t="s">
        <v>2262</v>
      </c>
      <c r="J887" s="671">
        <v>46234.0</v>
      </c>
    </row>
    <row r="888">
      <c r="A888" s="670">
        <v>927.0</v>
      </c>
      <c r="B888" s="670" t="s">
        <v>2257</v>
      </c>
      <c r="C888" s="670" t="s">
        <v>2258</v>
      </c>
      <c r="D888" s="670" t="s">
        <v>4014</v>
      </c>
      <c r="E888" s="670" t="s">
        <v>4015</v>
      </c>
      <c r="F888" s="670">
        <v>1.0</v>
      </c>
      <c r="G888" s="670" t="s">
        <v>22</v>
      </c>
      <c r="H888" s="670" t="s">
        <v>2261</v>
      </c>
      <c r="I888" s="670" t="s">
        <v>2262</v>
      </c>
      <c r="J888" s="671">
        <v>46234.0</v>
      </c>
    </row>
    <row r="889">
      <c r="A889" s="670">
        <v>928.0</v>
      </c>
      <c r="B889" s="670" t="s">
        <v>2257</v>
      </c>
      <c r="C889" s="670" t="s">
        <v>2258</v>
      </c>
      <c r="D889" s="670" t="s">
        <v>4016</v>
      </c>
      <c r="E889" s="670" t="s">
        <v>4017</v>
      </c>
      <c r="F889" s="670">
        <v>170.0</v>
      </c>
      <c r="G889" s="670" t="s">
        <v>759</v>
      </c>
      <c r="H889" s="670" t="s">
        <v>2261</v>
      </c>
      <c r="I889" s="670" t="s">
        <v>2262</v>
      </c>
      <c r="J889" s="671">
        <v>46234.0</v>
      </c>
    </row>
    <row r="890">
      <c r="A890" s="670">
        <v>929.0</v>
      </c>
      <c r="B890" s="670" t="s">
        <v>2257</v>
      </c>
      <c r="C890" s="670" t="s">
        <v>2258</v>
      </c>
      <c r="D890" s="670" t="s">
        <v>4018</v>
      </c>
      <c r="E890" s="670" t="s">
        <v>4019</v>
      </c>
      <c r="F890" s="670">
        <v>1.0</v>
      </c>
      <c r="G890" s="670" t="s">
        <v>43</v>
      </c>
      <c r="H890" s="670" t="s">
        <v>2261</v>
      </c>
      <c r="I890" s="670" t="s">
        <v>2262</v>
      </c>
      <c r="J890" s="671">
        <v>46234.0</v>
      </c>
    </row>
    <row r="891">
      <c r="A891" s="670">
        <v>930.0</v>
      </c>
      <c r="B891" s="670" t="s">
        <v>2257</v>
      </c>
      <c r="C891" s="670" t="s">
        <v>2258</v>
      </c>
      <c r="D891" s="670" t="s">
        <v>4020</v>
      </c>
      <c r="E891" s="670" t="s">
        <v>4021</v>
      </c>
      <c r="F891" s="670">
        <v>255.0</v>
      </c>
      <c r="G891" s="670" t="s">
        <v>824</v>
      </c>
      <c r="H891" s="670" t="s">
        <v>2261</v>
      </c>
      <c r="I891" s="670" t="s">
        <v>2262</v>
      </c>
      <c r="J891" s="671">
        <v>46234.0</v>
      </c>
    </row>
    <row r="892">
      <c r="A892" s="670">
        <v>931.0</v>
      </c>
      <c r="B892" s="670" t="s">
        <v>2257</v>
      </c>
      <c r="C892" s="670" t="s">
        <v>2258</v>
      </c>
      <c r="D892" s="670" t="s">
        <v>4022</v>
      </c>
      <c r="E892" s="670" t="s">
        <v>4023</v>
      </c>
      <c r="F892" s="670">
        <v>58.0</v>
      </c>
      <c r="G892" s="670" t="s">
        <v>43</v>
      </c>
      <c r="H892" s="670" t="s">
        <v>2261</v>
      </c>
      <c r="I892" s="670" t="s">
        <v>2262</v>
      </c>
      <c r="J892" s="671">
        <v>46234.0</v>
      </c>
    </row>
    <row r="893">
      <c r="A893" s="670">
        <v>932.0</v>
      </c>
      <c r="B893" s="670" t="s">
        <v>2257</v>
      </c>
      <c r="C893" s="670" t="s">
        <v>2258</v>
      </c>
      <c r="D893" s="670" t="s">
        <v>4024</v>
      </c>
      <c r="E893" s="670" t="s">
        <v>4025</v>
      </c>
      <c r="F893" s="670">
        <v>63.0</v>
      </c>
      <c r="G893" s="670" t="s">
        <v>43</v>
      </c>
      <c r="H893" s="670" t="s">
        <v>2261</v>
      </c>
      <c r="I893" s="670" t="s">
        <v>2262</v>
      </c>
      <c r="J893" s="671">
        <v>46234.0</v>
      </c>
    </row>
    <row r="894">
      <c r="A894" s="670">
        <v>933.0</v>
      </c>
      <c r="B894" s="670" t="s">
        <v>2257</v>
      </c>
      <c r="C894" s="670" t="s">
        <v>2258</v>
      </c>
      <c r="D894" s="670" t="s">
        <v>4026</v>
      </c>
      <c r="E894" s="670" t="s">
        <v>4027</v>
      </c>
      <c r="F894" s="670">
        <v>78.0</v>
      </c>
      <c r="G894" s="670" t="s">
        <v>43</v>
      </c>
      <c r="H894" s="670" t="s">
        <v>2261</v>
      </c>
      <c r="I894" s="670" t="s">
        <v>2262</v>
      </c>
      <c r="J894" s="671">
        <v>46234.0</v>
      </c>
    </row>
    <row r="895">
      <c r="A895" s="670">
        <v>934.0</v>
      </c>
      <c r="B895" s="670" t="s">
        <v>2257</v>
      </c>
      <c r="C895" s="670" t="s">
        <v>2258</v>
      </c>
      <c r="D895" s="670" t="s">
        <v>4028</v>
      </c>
      <c r="E895" s="670" t="s">
        <v>4029</v>
      </c>
      <c r="F895" s="670">
        <v>102.0</v>
      </c>
      <c r="G895" s="670" t="s">
        <v>43</v>
      </c>
      <c r="H895" s="670" t="s">
        <v>2261</v>
      </c>
      <c r="I895" s="670" t="s">
        <v>2262</v>
      </c>
      <c r="J895" s="671">
        <v>46234.0</v>
      </c>
    </row>
    <row r="896">
      <c r="A896" s="670">
        <v>935.0</v>
      </c>
      <c r="B896" s="670" t="s">
        <v>2257</v>
      </c>
      <c r="C896" s="670" t="s">
        <v>2258</v>
      </c>
      <c r="D896" s="670" t="s">
        <v>1643</v>
      </c>
      <c r="E896" s="670" t="s">
        <v>1645</v>
      </c>
      <c r="F896" s="670">
        <v>52.0</v>
      </c>
      <c r="G896" s="670" t="s">
        <v>43</v>
      </c>
      <c r="H896" s="670" t="s">
        <v>2261</v>
      </c>
      <c r="I896" s="670" t="s">
        <v>2262</v>
      </c>
      <c r="J896" s="671">
        <v>46234.0</v>
      </c>
    </row>
    <row r="897">
      <c r="A897" s="670">
        <v>936.0</v>
      </c>
      <c r="B897" s="670" t="s">
        <v>2257</v>
      </c>
      <c r="C897" s="670" t="s">
        <v>2258</v>
      </c>
      <c r="D897" s="670" t="s">
        <v>4031</v>
      </c>
      <c r="E897" s="670" t="s">
        <v>4032</v>
      </c>
      <c r="F897" s="670">
        <v>89.0</v>
      </c>
      <c r="G897" s="670" t="s">
        <v>43</v>
      </c>
      <c r="H897" s="670" t="s">
        <v>2261</v>
      </c>
      <c r="I897" s="670" t="s">
        <v>2262</v>
      </c>
      <c r="J897" s="671">
        <v>46234.0</v>
      </c>
    </row>
    <row r="898">
      <c r="A898" s="670">
        <v>937.0</v>
      </c>
      <c r="B898" s="670" t="s">
        <v>2257</v>
      </c>
      <c r="C898" s="670" t="s">
        <v>2258</v>
      </c>
      <c r="D898" s="670" t="s">
        <v>1661</v>
      </c>
      <c r="E898" s="670" t="s">
        <v>1662</v>
      </c>
      <c r="F898" s="670">
        <v>160.0</v>
      </c>
      <c r="G898" s="670" t="s">
        <v>43</v>
      </c>
      <c r="H898" s="670" t="s">
        <v>2261</v>
      </c>
      <c r="I898" s="670" t="s">
        <v>2262</v>
      </c>
      <c r="J898" s="671">
        <v>46234.0</v>
      </c>
    </row>
    <row r="899">
      <c r="A899" s="670">
        <v>938.0</v>
      </c>
      <c r="B899" s="670" t="s">
        <v>2257</v>
      </c>
      <c r="C899" s="670" t="s">
        <v>2258</v>
      </c>
      <c r="D899" s="670" t="s">
        <v>1680</v>
      </c>
      <c r="E899" s="670" t="s">
        <v>1681</v>
      </c>
      <c r="F899" s="670">
        <v>185.0</v>
      </c>
      <c r="G899" s="670" t="s">
        <v>43</v>
      </c>
      <c r="H899" s="670" t="s">
        <v>2261</v>
      </c>
      <c r="I899" s="670" t="s">
        <v>2262</v>
      </c>
      <c r="J899" s="671">
        <v>46234.0</v>
      </c>
    </row>
    <row r="900">
      <c r="A900" s="670">
        <v>939.0</v>
      </c>
      <c r="B900" s="670" t="s">
        <v>2257</v>
      </c>
      <c r="C900" s="670" t="s">
        <v>2258</v>
      </c>
      <c r="D900" s="670" t="s">
        <v>1696</v>
      </c>
      <c r="E900" s="670" t="s">
        <v>1697</v>
      </c>
      <c r="F900" s="670">
        <v>211.0</v>
      </c>
      <c r="G900" s="670" t="s">
        <v>43</v>
      </c>
      <c r="H900" s="670" t="s">
        <v>2572</v>
      </c>
      <c r="I900" s="670" t="s">
        <v>2573</v>
      </c>
      <c r="J900" s="671">
        <v>46234.0</v>
      </c>
    </row>
    <row r="901">
      <c r="A901" s="670">
        <v>940.0</v>
      </c>
      <c r="B901" s="670" t="s">
        <v>2257</v>
      </c>
      <c r="C901" s="670" t="s">
        <v>2258</v>
      </c>
      <c r="D901" s="670" t="s">
        <v>1706</v>
      </c>
      <c r="E901" s="670" t="s">
        <v>1707</v>
      </c>
      <c r="F901" s="670">
        <v>340.0</v>
      </c>
      <c r="G901" s="670" t="s">
        <v>43</v>
      </c>
      <c r="H901" s="670" t="s">
        <v>2261</v>
      </c>
      <c r="I901" s="670" t="s">
        <v>2262</v>
      </c>
      <c r="J901" s="671">
        <v>46234.0</v>
      </c>
    </row>
    <row r="902">
      <c r="A902" s="670">
        <v>941.0</v>
      </c>
      <c r="B902" s="670" t="s">
        <v>2257</v>
      </c>
      <c r="C902" s="670" t="s">
        <v>2258</v>
      </c>
      <c r="D902" s="670" t="s">
        <v>1715</v>
      </c>
      <c r="E902" s="670" t="s">
        <v>1716</v>
      </c>
      <c r="F902" s="670">
        <v>893.0</v>
      </c>
      <c r="G902" s="670" t="s">
        <v>43</v>
      </c>
      <c r="H902" s="670" t="s">
        <v>2261</v>
      </c>
      <c r="I902" s="670" t="s">
        <v>2262</v>
      </c>
      <c r="J902" s="671">
        <v>46234.0</v>
      </c>
    </row>
    <row r="903">
      <c r="A903" s="670">
        <v>942.0</v>
      </c>
      <c r="B903" s="670" t="s">
        <v>2257</v>
      </c>
      <c r="C903" s="670" t="s">
        <v>2258</v>
      </c>
      <c r="D903" s="670" t="s">
        <v>1724</v>
      </c>
      <c r="E903" s="670" t="s">
        <v>1725</v>
      </c>
      <c r="F903" s="670">
        <v>1000.0</v>
      </c>
      <c r="G903" s="670" t="s">
        <v>43</v>
      </c>
      <c r="H903" s="670" t="s">
        <v>2261</v>
      </c>
      <c r="I903" s="670" t="s">
        <v>2262</v>
      </c>
      <c r="J903" s="671">
        <v>46234.0</v>
      </c>
    </row>
    <row r="904">
      <c r="A904" s="670">
        <v>943.0</v>
      </c>
      <c r="B904" s="670" t="s">
        <v>2257</v>
      </c>
      <c r="C904" s="670" t="s">
        <v>2258</v>
      </c>
      <c r="D904" s="670" t="s">
        <v>4034</v>
      </c>
      <c r="E904" s="670" t="s">
        <v>4036</v>
      </c>
      <c r="F904" s="670">
        <v>51.0</v>
      </c>
      <c r="G904" s="670" t="s">
        <v>43</v>
      </c>
      <c r="H904" s="670" t="s">
        <v>2261</v>
      </c>
      <c r="I904" s="670" t="s">
        <v>2262</v>
      </c>
      <c r="J904" s="671">
        <v>46234.0</v>
      </c>
    </row>
    <row r="905">
      <c r="A905" s="670">
        <v>944.0</v>
      </c>
      <c r="B905" s="670" t="s">
        <v>2257</v>
      </c>
      <c r="C905" s="670" t="s">
        <v>2258</v>
      </c>
      <c r="D905" s="670" t="s">
        <v>4037</v>
      </c>
      <c r="E905" s="670" t="s">
        <v>4038</v>
      </c>
      <c r="F905" s="670">
        <v>93.0</v>
      </c>
      <c r="G905" s="670" t="s">
        <v>43</v>
      </c>
      <c r="H905" s="670" t="s">
        <v>2261</v>
      </c>
      <c r="I905" s="670" t="s">
        <v>2262</v>
      </c>
      <c r="J905" s="671">
        <v>46234.0</v>
      </c>
    </row>
    <row r="906">
      <c r="A906" s="670">
        <v>945.0</v>
      </c>
      <c r="B906" s="670" t="s">
        <v>2257</v>
      </c>
      <c r="C906" s="670" t="s">
        <v>2258</v>
      </c>
      <c r="D906" s="670" t="s">
        <v>4039</v>
      </c>
      <c r="E906" s="670" t="s">
        <v>4040</v>
      </c>
      <c r="F906" s="670">
        <v>136.0</v>
      </c>
      <c r="G906" s="670" t="s">
        <v>43</v>
      </c>
      <c r="H906" s="670" t="s">
        <v>2261</v>
      </c>
      <c r="I906" s="670" t="s">
        <v>2262</v>
      </c>
      <c r="J906" s="671">
        <v>46234.0</v>
      </c>
    </row>
    <row r="907">
      <c r="A907" s="670">
        <v>946.0</v>
      </c>
      <c r="B907" s="670" t="s">
        <v>2257</v>
      </c>
      <c r="C907" s="670" t="s">
        <v>2258</v>
      </c>
      <c r="D907" s="670" t="s">
        <v>4041</v>
      </c>
      <c r="E907" s="670" t="s">
        <v>4042</v>
      </c>
      <c r="F907" s="670">
        <v>178.0</v>
      </c>
      <c r="G907" s="670" t="s">
        <v>43</v>
      </c>
      <c r="H907" s="670" t="s">
        <v>2261</v>
      </c>
      <c r="I907" s="670" t="s">
        <v>2262</v>
      </c>
      <c r="J907" s="671">
        <v>46234.0</v>
      </c>
    </row>
    <row r="908">
      <c r="A908" s="670">
        <v>947.0</v>
      </c>
      <c r="B908" s="670" t="s">
        <v>2257</v>
      </c>
      <c r="C908" s="673" t="s">
        <v>2258</v>
      </c>
      <c r="D908" s="670" t="s">
        <v>4044</v>
      </c>
      <c r="E908" s="670" t="s">
        <v>4045</v>
      </c>
      <c r="F908" s="670">
        <v>255.0</v>
      </c>
      <c r="G908" s="670" t="s">
        <v>43</v>
      </c>
      <c r="H908" s="670" t="s">
        <v>2261</v>
      </c>
      <c r="I908" s="670" t="s">
        <v>2262</v>
      </c>
      <c r="J908" s="671">
        <v>46234.0</v>
      </c>
    </row>
    <row r="909">
      <c r="A909" s="670">
        <v>948.0</v>
      </c>
      <c r="B909" s="670" t="s">
        <v>2257</v>
      </c>
      <c r="C909" s="670" t="s">
        <v>2258</v>
      </c>
      <c r="D909" s="670" t="s">
        <v>4046</v>
      </c>
      <c r="E909" s="670" t="s">
        <v>4047</v>
      </c>
      <c r="F909" s="670">
        <v>357.0</v>
      </c>
      <c r="G909" s="670" t="s">
        <v>43</v>
      </c>
      <c r="H909" s="670" t="s">
        <v>2261</v>
      </c>
      <c r="I909" s="670" t="s">
        <v>2262</v>
      </c>
      <c r="J909" s="671">
        <v>46234.0</v>
      </c>
    </row>
    <row r="910">
      <c r="A910" s="670">
        <v>949.0</v>
      </c>
      <c r="B910" s="670" t="s">
        <v>2257</v>
      </c>
      <c r="C910" s="670" t="s">
        <v>2258</v>
      </c>
      <c r="D910" s="670" t="s">
        <v>4048</v>
      </c>
      <c r="E910" s="670" t="s">
        <v>4049</v>
      </c>
      <c r="F910" s="670">
        <v>476.0</v>
      </c>
      <c r="G910" s="670" t="s">
        <v>43</v>
      </c>
      <c r="H910" s="670" t="s">
        <v>2261</v>
      </c>
      <c r="I910" s="670" t="s">
        <v>2262</v>
      </c>
      <c r="J910" s="671">
        <v>46234.0</v>
      </c>
    </row>
    <row r="911">
      <c r="A911" s="670">
        <v>950.0</v>
      </c>
      <c r="B911" s="670" t="s">
        <v>2257</v>
      </c>
      <c r="C911" s="670" t="s">
        <v>2258</v>
      </c>
      <c r="D911" s="670" t="s">
        <v>4050</v>
      </c>
      <c r="E911" s="670" t="s">
        <v>4051</v>
      </c>
      <c r="F911" s="670">
        <v>638.0</v>
      </c>
      <c r="G911" s="670" t="s">
        <v>43</v>
      </c>
      <c r="H911" s="670" t="s">
        <v>2261</v>
      </c>
      <c r="I911" s="670" t="s">
        <v>2262</v>
      </c>
      <c r="J911" s="671">
        <v>46234.0</v>
      </c>
    </row>
    <row r="912">
      <c r="A912" s="670">
        <v>951.0</v>
      </c>
      <c r="B912" s="670" t="s">
        <v>2257</v>
      </c>
      <c r="C912" s="670" t="s">
        <v>2258</v>
      </c>
      <c r="D912" s="670" t="s">
        <v>4052</v>
      </c>
      <c r="E912" s="670" t="s">
        <v>4053</v>
      </c>
      <c r="F912" s="670">
        <v>808.0</v>
      </c>
      <c r="G912" s="670" t="s">
        <v>43</v>
      </c>
      <c r="H912" s="670" t="s">
        <v>2261</v>
      </c>
      <c r="I912" s="670" t="s">
        <v>2262</v>
      </c>
      <c r="J912" s="671">
        <v>46234.0</v>
      </c>
    </row>
    <row r="913">
      <c r="A913" s="670">
        <v>952.0</v>
      </c>
      <c r="B913" s="670" t="s">
        <v>2257</v>
      </c>
      <c r="C913" s="670" t="s">
        <v>2258</v>
      </c>
      <c r="D913" s="670" t="s">
        <v>4054</v>
      </c>
      <c r="E913" s="670" t="s">
        <v>4055</v>
      </c>
      <c r="F913" s="670">
        <v>978.0</v>
      </c>
      <c r="G913" s="670" t="s">
        <v>43</v>
      </c>
      <c r="H913" s="670" t="s">
        <v>2261</v>
      </c>
      <c r="I913" s="670" t="s">
        <v>2262</v>
      </c>
      <c r="J913" s="671">
        <v>46234.0</v>
      </c>
    </row>
    <row r="914">
      <c r="A914" s="670">
        <v>953.0</v>
      </c>
      <c r="B914" s="670" t="s">
        <v>2257</v>
      </c>
      <c r="C914" s="670" t="s">
        <v>2258</v>
      </c>
      <c r="D914" s="670" t="s">
        <v>4056</v>
      </c>
      <c r="E914" s="670" t="s">
        <v>4057</v>
      </c>
      <c r="F914" s="670">
        <v>14.0</v>
      </c>
      <c r="G914" s="670" t="s">
        <v>43</v>
      </c>
      <c r="H914" s="670" t="s">
        <v>2261</v>
      </c>
      <c r="I914" s="670" t="s">
        <v>2262</v>
      </c>
      <c r="J914" s="671">
        <v>46234.0</v>
      </c>
    </row>
    <row r="915">
      <c r="A915" s="670">
        <v>954.0</v>
      </c>
      <c r="B915" s="670" t="s">
        <v>2257</v>
      </c>
      <c r="C915" s="670" t="s">
        <v>2258</v>
      </c>
      <c r="D915" s="670" t="s">
        <v>4058</v>
      </c>
      <c r="E915" s="670" t="s">
        <v>4060</v>
      </c>
      <c r="F915" s="670">
        <v>20.0</v>
      </c>
      <c r="G915" s="670" t="s">
        <v>43</v>
      </c>
      <c r="H915" s="670" t="s">
        <v>2261</v>
      </c>
      <c r="I915" s="670" t="s">
        <v>2262</v>
      </c>
      <c r="J915" s="671">
        <v>46234.0</v>
      </c>
    </row>
    <row r="916">
      <c r="A916" s="670">
        <v>955.0</v>
      </c>
      <c r="B916" s="670" t="s">
        <v>2257</v>
      </c>
      <c r="C916" s="670" t="s">
        <v>2258</v>
      </c>
      <c r="D916" s="670" t="s">
        <v>4061</v>
      </c>
      <c r="E916" s="670" t="s">
        <v>4062</v>
      </c>
      <c r="F916" s="670">
        <v>297.0</v>
      </c>
      <c r="G916" s="670" t="s">
        <v>22</v>
      </c>
      <c r="H916" s="670" t="s">
        <v>2261</v>
      </c>
      <c r="I916" s="670" t="s">
        <v>2262</v>
      </c>
      <c r="J916" s="671">
        <v>46234.0</v>
      </c>
    </row>
    <row r="917">
      <c r="A917" s="670">
        <v>956.0</v>
      </c>
      <c r="B917" s="670" t="s">
        <v>2257</v>
      </c>
      <c r="C917" s="670" t="s">
        <v>2258</v>
      </c>
      <c r="D917" s="670" t="s">
        <v>826</v>
      </c>
      <c r="E917" s="670" t="s">
        <v>828</v>
      </c>
      <c r="F917" s="670">
        <v>6553.0</v>
      </c>
      <c r="G917" s="670" t="s">
        <v>824</v>
      </c>
      <c r="H917" s="670" t="s">
        <v>2261</v>
      </c>
      <c r="I917" s="670" t="s">
        <v>2262</v>
      </c>
      <c r="J917" s="671">
        <v>46234.0</v>
      </c>
    </row>
    <row r="918">
      <c r="A918" s="670">
        <v>957.0</v>
      </c>
      <c r="B918" s="670" t="s">
        <v>2257</v>
      </c>
      <c r="C918" s="670" t="s">
        <v>2258</v>
      </c>
      <c r="D918" s="670" t="s">
        <v>2218</v>
      </c>
      <c r="E918" s="670" t="s">
        <v>2219</v>
      </c>
      <c r="F918" s="670">
        <v>6553.0</v>
      </c>
      <c r="G918" s="670" t="s">
        <v>824</v>
      </c>
      <c r="H918" s="670" t="s">
        <v>2261</v>
      </c>
      <c r="I918" s="670" t="s">
        <v>2262</v>
      </c>
      <c r="J918" s="671">
        <v>46234.0</v>
      </c>
    </row>
    <row r="919">
      <c r="A919" s="670">
        <v>958.0</v>
      </c>
      <c r="B919" s="670" t="s">
        <v>2257</v>
      </c>
      <c r="C919" s="670" t="s">
        <v>2258</v>
      </c>
      <c r="D919" s="670" t="s">
        <v>4063</v>
      </c>
      <c r="E919" s="670" t="s">
        <v>4064</v>
      </c>
      <c r="F919" s="670">
        <v>6553.0</v>
      </c>
      <c r="G919" s="670" t="s">
        <v>824</v>
      </c>
      <c r="H919" s="670" t="s">
        <v>2261</v>
      </c>
      <c r="I919" s="670" t="s">
        <v>2262</v>
      </c>
      <c r="J919" s="671">
        <v>46234.0</v>
      </c>
    </row>
    <row r="920">
      <c r="A920" s="670">
        <v>959.0</v>
      </c>
      <c r="B920" s="670" t="s">
        <v>2257</v>
      </c>
      <c r="C920" s="670" t="s">
        <v>2258</v>
      </c>
      <c r="D920" s="670" t="s">
        <v>4065</v>
      </c>
      <c r="E920" s="670" t="s">
        <v>4066</v>
      </c>
      <c r="F920" s="670">
        <v>8510.0</v>
      </c>
      <c r="G920" s="670" t="s">
        <v>824</v>
      </c>
      <c r="H920" s="670" t="s">
        <v>2261</v>
      </c>
      <c r="I920" s="670" t="s">
        <v>2262</v>
      </c>
      <c r="J920" s="671">
        <v>46234.0</v>
      </c>
    </row>
    <row r="921">
      <c r="A921" s="670">
        <v>960.0</v>
      </c>
      <c r="B921" s="670" t="s">
        <v>2257</v>
      </c>
      <c r="C921" s="670" t="s">
        <v>2258</v>
      </c>
      <c r="D921" s="670" t="s">
        <v>949</v>
      </c>
      <c r="E921" s="670" t="s">
        <v>2220</v>
      </c>
      <c r="F921" s="670">
        <v>64.0</v>
      </c>
      <c r="G921" s="670" t="s">
        <v>43</v>
      </c>
      <c r="H921" s="670" t="s">
        <v>2261</v>
      </c>
      <c r="I921" s="670" t="s">
        <v>2262</v>
      </c>
      <c r="J921" s="671">
        <v>46234.0</v>
      </c>
    </row>
    <row r="922">
      <c r="A922" s="670">
        <v>961.0</v>
      </c>
      <c r="B922" s="670" t="s">
        <v>2257</v>
      </c>
      <c r="C922" s="670" t="s">
        <v>2258</v>
      </c>
      <c r="D922" s="670" t="s">
        <v>4067</v>
      </c>
      <c r="E922" s="670" t="s">
        <v>4068</v>
      </c>
      <c r="F922" s="670">
        <v>178.0</v>
      </c>
      <c r="G922" s="670" t="s">
        <v>43</v>
      </c>
      <c r="H922" s="670" t="s">
        <v>2261</v>
      </c>
      <c r="I922" s="670" t="s">
        <v>2262</v>
      </c>
      <c r="J922" s="671">
        <v>46234.0</v>
      </c>
    </row>
    <row r="923">
      <c r="A923" s="670">
        <v>962.0</v>
      </c>
      <c r="B923" s="670" t="s">
        <v>2257</v>
      </c>
      <c r="C923" s="670" t="s">
        <v>2258</v>
      </c>
      <c r="D923" s="670" t="s">
        <v>4070</v>
      </c>
      <c r="E923" s="670" t="s">
        <v>4071</v>
      </c>
      <c r="F923" s="670">
        <v>462.0</v>
      </c>
      <c r="G923" s="670" t="s">
        <v>22</v>
      </c>
      <c r="H923" s="670" t="s">
        <v>2261</v>
      </c>
      <c r="I923" s="670" t="s">
        <v>2262</v>
      </c>
      <c r="J923" s="671">
        <v>46234.0</v>
      </c>
    </row>
    <row r="924">
      <c r="A924" s="670">
        <v>963.0</v>
      </c>
      <c r="B924" s="670" t="s">
        <v>2257</v>
      </c>
      <c r="C924" s="670" t="s">
        <v>2258</v>
      </c>
      <c r="D924" s="670" t="s">
        <v>4072</v>
      </c>
      <c r="E924" s="670" t="s">
        <v>4073</v>
      </c>
      <c r="F924" s="670">
        <v>482.0</v>
      </c>
      <c r="G924" s="670" t="s">
        <v>43</v>
      </c>
      <c r="H924" s="670" t="s">
        <v>2261</v>
      </c>
      <c r="I924" s="670" t="s">
        <v>2262</v>
      </c>
      <c r="J924" s="671">
        <v>46234.0</v>
      </c>
    </row>
    <row r="925">
      <c r="A925" s="670">
        <v>964.0</v>
      </c>
      <c r="B925" s="670" t="s">
        <v>2257</v>
      </c>
      <c r="C925" s="670" t="s">
        <v>2258</v>
      </c>
      <c r="D925" s="670" t="s">
        <v>4075</v>
      </c>
      <c r="E925" s="670" t="s">
        <v>4076</v>
      </c>
      <c r="F925" s="670">
        <v>787.0</v>
      </c>
      <c r="G925" s="670" t="s">
        <v>22</v>
      </c>
      <c r="H925" s="670" t="s">
        <v>2261</v>
      </c>
      <c r="I925" s="670" t="s">
        <v>2262</v>
      </c>
      <c r="J925" s="671">
        <v>46234.0</v>
      </c>
    </row>
    <row r="926">
      <c r="A926" s="670">
        <v>965.0</v>
      </c>
      <c r="B926" s="670" t="s">
        <v>2257</v>
      </c>
      <c r="C926" s="670" t="s">
        <v>2258</v>
      </c>
      <c r="D926" s="670" t="s">
        <v>4078</v>
      </c>
      <c r="E926" s="670" t="s">
        <v>4079</v>
      </c>
      <c r="F926" s="670">
        <v>901.0</v>
      </c>
      <c r="G926" s="670" t="s">
        <v>22</v>
      </c>
      <c r="H926" s="670" t="s">
        <v>2261</v>
      </c>
      <c r="I926" s="670" t="s">
        <v>2262</v>
      </c>
      <c r="J926" s="671">
        <v>46234.0</v>
      </c>
    </row>
    <row r="927">
      <c r="A927" s="670">
        <v>966.0</v>
      </c>
      <c r="B927" s="670" t="s">
        <v>2257</v>
      </c>
      <c r="C927" s="670" t="s">
        <v>2258</v>
      </c>
      <c r="D927" s="670" t="s">
        <v>4081</v>
      </c>
      <c r="E927" s="670" t="s">
        <v>4082</v>
      </c>
      <c r="F927" s="670">
        <v>350.0</v>
      </c>
      <c r="G927" s="670" t="s">
        <v>22</v>
      </c>
      <c r="H927" s="670" t="s">
        <v>2261</v>
      </c>
      <c r="I927" s="670" t="s">
        <v>2262</v>
      </c>
      <c r="J927" s="671">
        <v>46234.0</v>
      </c>
    </row>
    <row r="928">
      <c r="A928" s="670">
        <v>967.0</v>
      </c>
      <c r="B928" s="670" t="s">
        <v>2257</v>
      </c>
      <c r="C928" s="670" t="s">
        <v>2258</v>
      </c>
      <c r="D928" s="670" t="s">
        <v>4083</v>
      </c>
      <c r="E928" s="670" t="s">
        <v>4084</v>
      </c>
      <c r="F928" s="670">
        <v>435.0</v>
      </c>
      <c r="G928" s="670" t="s">
        <v>22</v>
      </c>
      <c r="H928" s="670" t="s">
        <v>2261</v>
      </c>
      <c r="I928" s="670" t="s">
        <v>2262</v>
      </c>
      <c r="J928" s="671">
        <v>46234.0</v>
      </c>
    </row>
    <row r="929">
      <c r="A929" s="670">
        <v>968.0</v>
      </c>
      <c r="B929" s="670" t="s">
        <v>2257</v>
      </c>
      <c r="C929" s="670" t="s">
        <v>2258</v>
      </c>
      <c r="D929" s="670" t="s">
        <v>4085</v>
      </c>
      <c r="E929" s="670" t="s">
        <v>4086</v>
      </c>
      <c r="F929" s="670">
        <v>645.0</v>
      </c>
      <c r="G929" s="670" t="s">
        <v>22</v>
      </c>
      <c r="H929" s="670" t="s">
        <v>2572</v>
      </c>
      <c r="I929" s="670" t="s">
        <v>2573</v>
      </c>
      <c r="J929" s="671">
        <v>46234.0</v>
      </c>
    </row>
    <row r="930">
      <c r="A930" s="670">
        <v>969.0</v>
      </c>
      <c r="B930" s="670" t="s">
        <v>2257</v>
      </c>
      <c r="C930" s="670" t="s">
        <v>2258</v>
      </c>
      <c r="D930" s="670" t="s">
        <v>4087</v>
      </c>
      <c r="E930" s="670" t="s">
        <v>4088</v>
      </c>
      <c r="F930" s="670">
        <v>738.0</v>
      </c>
      <c r="G930" s="670" t="s">
        <v>22</v>
      </c>
      <c r="H930" s="670" t="s">
        <v>2261</v>
      </c>
      <c r="I930" s="670" t="s">
        <v>2262</v>
      </c>
      <c r="J930" s="671">
        <v>46234.0</v>
      </c>
    </row>
    <row r="931">
      <c r="A931" s="670">
        <v>970.0</v>
      </c>
      <c r="B931" s="670" t="s">
        <v>2257</v>
      </c>
      <c r="C931" s="670" t="s">
        <v>2258</v>
      </c>
      <c r="D931" s="670" t="s">
        <v>4089</v>
      </c>
      <c r="E931" s="670" t="s">
        <v>4090</v>
      </c>
      <c r="F931" s="670">
        <v>647.0</v>
      </c>
      <c r="G931" s="670" t="s">
        <v>22</v>
      </c>
      <c r="H931" s="670" t="s">
        <v>2261</v>
      </c>
      <c r="I931" s="670" t="s">
        <v>2262</v>
      </c>
      <c r="J931" s="671">
        <v>46234.0</v>
      </c>
    </row>
    <row r="932">
      <c r="A932" s="670">
        <v>971.0</v>
      </c>
      <c r="B932" s="670" t="s">
        <v>2257</v>
      </c>
      <c r="C932" s="670" t="s">
        <v>2258</v>
      </c>
      <c r="D932" s="670" t="s">
        <v>4091</v>
      </c>
      <c r="E932" s="670" t="s">
        <v>4092</v>
      </c>
      <c r="F932" s="670">
        <v>884.0</v>
      </c>
      <c r="G932" s="670" t="s">
        <v>22</v>
      </c>
      <c r="H932" s="670" t="s">
        <v>2261</v>
      </c>
      <c r="I932" s="670" t="s">
        <v>2262</v>
      </c>
      <c r="J932" s="671">
        <v>46234.0</v>
      </c>
    </row>
    <row r="933">
      <c r="A933" s="670">
        <v>972.0</v>
      </c>
      <c r="B933" s="670" t="s">
        <v>2257</v>
      </c>
      <c r="C933" s="670" t="s">
        <v>2258</v>
      </c>
      <c r="D933" s="670" t="s">
        <v>4093</v>
      </c>
      <c r="E933" s="670" t="s">
        <v>4094</v>
      </c>
      <c r="F933" s="670">
        <v>1545.0</v>
      </c>
      <c r="G933" s="670" t="s">
        <v>22</v>
      </c>
      <c r="H933" s="670" t="s">
        <v>2261</v>
      </c>
      <c r="I933" s="670" t="s">
        <v>2262</v>
      </c>
      <c r="J933" s="671">
        <v>46234.0</v>
      </c>
    </row>
    <row r="934">
      <c r="A934" s="670">
        <v>973.0</v>
      </c>
      <c r="B934" s="670" t="s">
        <v>2257</v>
      </c>
      <c r="C934" s="670" t="s">
        <v>2258</v>
      </c>
      <c r="D934" s="670" t="s">
        <v>4095</v>
      </c>
      <c r="E934" s="670" t="s">
        <v>4096</v>
      </c>
      <c r="F934" s="670">
        <v>1737.0</v>
      </c>
      <c r="G934" s="670" t="s">
        <v>22</v>
      </c>
      <c r="H934" s="670" t="s">
        <v>2261</v>
      </c>
      <c r="I934" s="670" t="s">
        <v>2262</v>
      </c>
      <c r="J934" s="671">
        <v>46234.0</v>
      </c>
    </row>
    <row r="935">
      <c r="A935" s="670">
        <v>974.0</v>
      </c>
      <c r="B935" s="670" t="s">
        <v>2257</v>
      </c>
      <c r="C935" s="670" t="s">
        <v>2258</v>
      </c>
      <c r="D935" s="670" t="s">
        <v>4097</v>
      </c>
      <c r="E935" s="670" t="s">
        <v>4098</v>
      </c>
      <c r="F935" s="670">
        <v>1926.0</v>
      </c>
      <c r="G935" s="670" t="s">
        <v>22</v>
      </c>
      <c r="H935" s="670" t="s">
        <v>2261</v>
      </c>
      <c r="I935" s="670" t="s">
        <v>2262</v>
      </c>
      <c r="J935" s="671">
        <v>46234.0</v>
      </c>
    </row>
    <row r="936">
      <c r="A936" s="670">
        <v>975.0</v>
      </c>
      <c r="B936" s="670" t="s">
        <v>2257</v>
      </c>
      <c r="C936" s="670" t="s">
        <v>2258</v>
      </c>
      <c r="D936" s="670" t="s">
        <v>4099</v>
      </c>
      <c r="E936" s="670" t="s">
        <v>4100</v>
      </c>
      <c r="F936" s="670">
        <v>2211.0</v>
      </c>
      <c r="G936" s="670" t="s">
        <v>22</v>
      </c>
      <c r="H936" s="670" t="s">
        <v>2261</v>
      </c>
      <c r="I936" s="670" t="s">
        <v>2262</v>
      </c>
      <c r="J936" s="671">
        <v>46234.0</v>
      </c>
    </row>
    <row r="937">
      <c r="A937" s="670">
        <v>976.0</v>
      </c>
      <c r="B937" s="670" t="s">
        <v>2257</v>
      </c>
      <c r="C937" s="670" t="s">
        <v>2258</v>
      </c>
      <c r="D937" s="670" t="s">
        <v>4101</v>
      </c>
      <c r="E937" s="670" t="s">
        <v>4102</v>
      </c>
      <c r="F937" s="670">
        <v>2937.0</v>
      </c>
      <c r="G937" s="670" t="s">
        <v>22</v>
      </c>
      <c r="H937" s="670" t="s">
        <v>2261</v>
      </c>
      <c r="I937" s="670" t="s">
        <v>2262</v>
      </c>
      <c r="J937" s="671">
        <v>46234.0</v>
      </c>
    </row>
    <row r="938">
      <c r="A938" s="670">
        <v>977.0</v>
      </c>
      <c r="B938" s="670" t="s">
        <v>2257</v>
      </c>
      <c r="C938" s="670" t="s">
        <v>2258</v>
      </c>
      <c r="D938" s="670" t="s">
        <v>4103</v>
      </c>
      <c r="E938" s="670" t="s">
        <v>4104</v>
      </c>
      <c r="F938" s="670">
        <v>3445.0</v>
      </c>
      <c r="G938" s="670" t="s">
        <v>22</v>
      </c>
      <c r="H938" s="670" t="s">
        <v>2261</v>
      </c>
      <c r="I938" s="670" t="s">
        <v>2262</v>
      </c>
      <c r="J938" s="671">
        <v>46234.0</v>
      </c>
    </row>
    <row r="939">
      <c r="A939" s="670">
        <v>978.0</v>
      </c>
      <c r="B939" s="670" t="s">
        <v>2257</v>
      </c>
      <c r="C939" s="670" t="s">
        <v>2258</v>
      </c>
      <c r="D939" s="670" t="s">
        <v>4105</v>
      </c>
      <c r="E939" s="670" t="s">
        <v>4106</v>
      </c>
      <c r="F939" s="670">
        <v>4428.0</v>
      </c>
      <c r="G939" s="670" t="s">
        <v>22</v>
      </c>
      <c r="H939" s="670" t="s">
        <v>2261</v>
      </c>
      <c r="I939" s="670" t="s">
        <v>2262</v>
      </c>
      <c r="J939" s="671">
        <v>46234.0</v>
      </c>
    </row>
    <row r="940">
      <c r="A940" s="670">
        <v>979.0</v>
      </c>
      <c r="B940" s="670" t="s">
        <v>2257</v>
      </c>
      <c r="C940" s="670" t="s">
        <v>2258</v>
      </c>
      <c r="D940" s="670" t="s">
        <v>4107</v>
      </c>
      <c r="E940" s="670" t="s">
        <v>4108</v>
      </c>
      <c r="F940" s="670">
        <v>4645.0</v>
      </c>
      <c r="G940" s="670" t="s">
        <v>22</v>
      </c>
      <c r="H940" s="670" t="s">
        <v>2261</v>
      </c>
      <c r="I940" s="670" t="s">
        <v>2262</v>
      </c>
      <c r="J940" s="671">
        <v>46234.0</v>
      </c>
    </row>
    <row r="941">
      <c r="A941" s="670">
        <v>980.0</v>
      </c>
      <c r="B941" s="670" t="s">
        <v>2257</v>
      </c>
      <c r="C941" s="670" t="s">
        <v>2258</v>
      </c>
      <c r="D941" s="670" t="s">
        <v>4109</v>
      </c>
      <c r="E941" s="670" t="s">
        <v>4110</v>
      </c>
      <c r="F941" s="670">
        <v>5666.0</v>
      </c>
      <c r="G941" s="670" t="s">
        <v>22</v>
      </c>
      <c r="H941" s="670" t="s">
        <v>2261</v>
      </c>
      <c r="I941" s="670" t="s">
        <v>2262</v>
      </c>
      <c r="J941" s="671">
        <v>46234.0</v>
      </c>
    </row>
    <row r="942">
      <c r="A942" s="670">
        <v>981.0</v>
      </c>
      <c r="B942" s="670" t="s">
        <v>2257</v>
      </c>
      <c r="C942" s="670" t="s">
        <v>2258</v>
      </c>
      <c r="D942" s="670" t="s">
        <v>4111</v>
      </c>
      <c r="E942" s="670" t="s">
        <v>4112</v>
      </c>
      <c r="F942" s="670">
        <v>7667.0</v>
      </c>
      <c r="G942" s="670" t="s">
        <v>22</v>
      </c>
      <c r="H942" s="670" t="s">
        <v>2261</v>
      </c>
      <c r="I942" s="670" t="s">
        <v>2262</v>
      </c>
      <c r="J942" s="671">
        <v>46234.0</v>
      </c>
    </row>
    <row r="943">
      <c r="A943" s="670">
        <v>982.0</v>
      </c>
      <c r="B943" s="670" t="s">
        <v>2257</v>
      </c>
      <c r="C943" s="670" t="s">
        <v>2258</v>
      </c>
      <c r="D943" s="670" t="s">
        <v>4113</v>
      </c>
      <c r="E943" s="670" t="s">
        <v>4114</v>
      </c>
      <c r="F943" s="670">
        <v>386.0</v>
      </c>
      <c r="G943" s="670" t="s">
        <v>22</v>
      </c>
      <c r="H943" s="670" t="s">
        <v>2261</v>
      </c>
      <c r="I943" s="670" t="s">
        <v>2262</v>
      </c>
      <c r="J943" s="671">
        <v>46234.0</v>
      </c>
    </row>
    <row r="944">
      <c r="A944" s="670">
        <v>983.0</v>
      </c>
      <c r="B944" s="670" t="s">
        <v>2257</v>
      </c>
      <c r="C944" s="670" t="s">
        <v>2258</v>
      </c>
      <c r="D944" s="670" t="s">
        <v>4115</v>
      </c>
      <c r="E944" s="670" t="s">
        <v>4116</v>
      </c>
      <c r="F944" s="670">
        <v>510.0</v>
      </c>
      <c r="G944" s="670" t="s">
        <v>22</v>
      </c>
      <c r="H944" s="670" t="s">
        <v>2261</v>
      </c>
      <c r="I944" s="670" t="s">
        <v>2262</v>
      </c>
      <c r="J944" s="671">
        <v>46234.0</v>
      </c>
    </row>
    <row r="945">
      <c r="A945" s="670">
        <v>984.0</v>
      </c>
      <c r="B945" s="670" t="s">
        <v>2257</v>
      </c>
      <c r="C945" s="670" t="s">
        <v>2258</v>
      </c>
      <c r="D945" s="670" t="s">
        <v>4117</v>
      </c>
      <c r="E945" s="670" t="s">
        <v>4118</v>
      </c>
      <c r="F945" s="670">
        <v>737.0</v>
      </c>
      <c r="G945" s="670" t="s">
        <v>22</v>
      </c>
      <c r="H945" s="670" t="s">
        <v>2261</v>
      </c>
      <c r="I945" s="670" t="s">
        <v>2262</v>
      </c>
      <c r="J945" s="671">
        <v>46234.0</v>
      </c>
    </row>
    <row r="946">
      <c r="A946" s="670">
        <v>985.0</v>
      </c>
      <c r="B946" s="670" t="s">
        <v>2257</v>
      </c>
      <c r="C946" s="670" t="s">
        <v>2258</v>
      </c>
      <c r="D946" s="670" t="s">
        <v>4119</v>
      </c>
      <c r="E946" s="670" t="s">
        <v>4120</v>
      </c>
      <c r="F946" s="670">
        <v>767.0</v>
      </c>
      <c r="G946" s="670" t="s">
        <v>22</v>
      </c>
      <c r="H946" s="670" t="s">
        <v>2261</v>
      </c>
      <c r="I946" s="670" t="s">
        <v>2262</v>
      </c>
      <c r="J946" s="671">
        <v>46234.0</v>
      </c>
    </row>
    <row r="947">
      <c r="A947" s="670">
        <v>986.0</v>
      </c>
      <c r="B947" s="670" t="s">
        <v>2257</v>
      </c>
      <c r="C947" s="670" t="s">
        <v>2258</v>
      </c>
      <c r="D947" s="670" t="s">
        <v>4123</v>
      </c>
      <c r="E947" s="670" t="s">
        <v>4124</v>
      </c>
      <c r="F947" s="670">
        <v>797.0</v>
      </c>
      <c r="G947" s="670" t="s">
        <v>22</v>
      </c>
      <c r="H947" s="670" t="s">
        <v>2261</v>
      </c>
      <c r="I947" s="670" t="s">
        <v>2262</v>
      </c>
      <c r="J947" s="671">
        <v>46234.0</v>
      </c>
    </row>
    <row r="948">
      <c r="A948" s="670">
        <v>987.0</v>
      </c>
      <c r="B948" s="670" t="s">
        <v>2257</v>
      </c>
      <c r="C948" s="670" t="s">
        <v>2258</v>
      </c>
      <c r="D948" s="670" t="s">
        <v>4125</v>
      </c>
      <c r="E948" s="670" t="s">
        <v>4126</v>
      </c>
      <c r="F948" s="670">
        <v>1038.0</v>
      </c>
      <c r="G948" s="670" t="s">
        <v>22</v>
      </c>
      <c r="H948" s="670" t="s">
        <v>2261</v>
      </c>
      <c r="I948" s="670" t="s">
        <v>2262</v>
      </c>
      <c r="J948" s="671">
        <v>46234.0</v>
      </c>
    </row>
    <row r="949">
      <c r="A949" s="670">
        <v>988.0</v>
      </c>
      <c r="B949" s="670" t="s">
        <v>2257</v>
      </c>
      <c r="C949" s="670" t="s">
        <v>2258</v>
      </c>
      <c r="D949" s="670" t="s">
        <v>4127</v>
      </c>
      <c r="E949" s="670" t="s">
        <v>4128</v>
      </c>
      <c r="F949" s="670">
        <v>1743.0</v>
      </c>
      <c r="G949" s="670" t="s">
        <v>22</v>
      </c>
      <c r="H949" s="670" t="s">
        <v>2261</v>
      </c>
      <c r="I949" s="670" t="s">
        <v>2262</v>
      </c>
      <c r="J949" s="671">
        <v>46234.0</v>
      </c>
    </row>
    <row r="950">
      <c r="A950" s="670">
        <v>989.0</v>
      </c>
      <c r="B950" s="670" t="s">
        <v>2257</v>
      </c>
      <c r="C950" s="670" t="s">
        <v>2258</v>
      </c>
      <c r="D950" s="670" t="s">
        <v>4129</v>
      </c>
      <c r="E950" s="670" t="s">
        <v>4130</v>
      </c>
      <c r="F950" s="670">
        <v>1980.0</v>
      </c>
      <c r="G950" s="670" t="s">
        <v>22</v>
      </c>
      <c r="H950" s="670" t="s">
        <v>2261</v>
      </c>
      <c r="I950" s="670" t="s">
        <v>2262</v>
      </c>
      <c r="J950" s="671">
        <v>46234.0</v>
      </c>
    </row>
    <row r="951">
      <c r="A951" s="670">
        <v>990.0</v>
      </c>
      <c r="B951" s="670" t="s">
        <v>2257</v>
      </c>
      <c r="C951" s="670" t="s">
        <v>2258</v>
      </c>
      <c r="D951" s="670" t="s">
        <v>4131</v>
      </c>
      <c r="E951" s="670" t="s">
        <v>4132</v>
      </c>
      <c r="F951" s="670">
        <v>2633.0</v>
      </c>
      <c r="G951" s="670" t="s">
        <v>22</v>
      </c>
      <c r="H951" s="670" t="s">
        <v>2261</v>
      </c>
      <c r="I951" s="670" t="s">
        <v>2262</v>
      </c>
      <c r="J951" s="671">
        <v>46234.0</v>
      </c>
    </row>
    <row r="952">
      <c r="A952" s="670">
        <v>991.0</v>
      </c>
      <c r="B952" s="670" t="s">
        <v>2257</v>
      </c>
      <c r="C952" s="670" t="s">
        <v>2258</v>
      </c>
      <c r="D952" s="670" t="s">
        <v>4133</v>
      </c>
      <c r="E952" s="670" t="s">
        <v>4134</v>
      </c>
      <c r="F952" s="670">
        <v>4250.0</v>
      </c>
      <c r="G952" s="670" t="s">
        <v>22</v>
      </c>
      <c r="H952" s="670" t="s">
        <v>2261</v>
      </c>
      <c r="I952" s="670" t="s">
        <v>2262</v>
      </c>
      <c r="J952" s="671">
        <v>46234.0</v>
      </c>
    </row>
    <row r="953">
      <c r="A953" s="670">
        <v>992.0</v>
      </c>
      <c r="B953" s="670" t="s">
        <v>2257</v>
      </c>
      <c r="C953" s="670" t="s">
        <v>2258</v>
      </c>
      <c r="D953" s="670" t="s">
        <v>4135</v>
      </c>
      <c r="E953" s="670" t="s">
        <v>4136</v>
      </c>
      <c r="F953" s="670">
        <v>4680.0</v>
      </c>
      <c r="G953" s="670" t="s">
        <v>22</v>
      </c>
      <c r="H953" s="670" t="s">
        <v>2261</v>
      </c>
      <c r="I953" s="670" t="s">
        <v>2262</v>
      </c>
      <c r="J953" s="671">
        <v>46234.0</v>
      </c>
    </row>
    <row r="954">
      <c r="A954" s="670">
        <v>993.0</v>
      </c>
      <c r="B954" s="670" t="s">
        <v>2257</v>
      </c>
      <c r="C954" s="670" t="s">
        <v>2258</v>
      </c>
      <c r="D954" s="670" t="s">
        <v>4137</v>
      </c>
      <c r="E954" s="670" t="s">
        <v>4138</v>
      </c>
      <c r="F954" s="670">
        <v>529.0</v>
      </c>
      <c r="G954" s="670" t="s">
        <v>43</v>
      </c>
      <c r="H954" s="670" t="s">
        <v>2261</v>
      </c>
      <c r="I954" s="670" t="s">
        <v>2262</v>
      </c>
      <c r="J954" s="671">
        <v>46234.0</v>
      </c>
    </row>
    <row r="955">
      <c r="A955" s="670">
        <v>994.0</v>
      </c>
      <c r="B955" s="670" t="s">
        <v>2257</v>
      </c>
      <c r="C955" s="670" t="s">
        <v>2258</v>
      </c>
      <c r="D955" s="670" t="s">
        <v>4140</v>
      </c>
      <c r="E955" s="670" t="s">
        <v>4141</v>
      </c>
      <c r="F955" s="670">
        <v>1158.0</v>
      </c>
      <c r="G955" s="670" t="s">
        <v>22</v>
      </c>
      <c r="H955" s="670" t="s">
        <v>2261</v>
      </c>
      <c r="I955" s="670" t="s">
        <v>2262</v>
      </c>
      <c r="J955" s="671">
        <v>46234.0</v>
      </c>
    </row>
    <row r="956">
      <c r="A956" s="670">
        <v>995.0</v>
      </c>
      <c r="B956" s="670" t="s">
        <v>2257</v>
      </c>
      <c r="C956" s="670" t="s">
        <v>2258</v>
      </c>
      <c r="D956" s="670" t="s">
        <v>4142</v>
      </c>
      <c r="E956" s="670" t="s">
        <v>4143</v>
      </c>
      <c r="F956" s="670">
        <v>1640.0</v>
      </c>
      <c r="G956" s="670" t="s">
        <v>22</v>
      </c>
      <c r="H956" s="670" t="s">
        <v>2261</v>
      </c>
      <c r="I956" s="670" t="s">
        <v>2262</v>
      </c>
      <c r="J956" s="671">
        <v>46234.0</v>
      </c>
    </row>
    <row r="957">
      <c r="A957" s="670">
        <v>996.0</v>
      </c>
      <c r="B957" s="670" t="s">
        <v>2257</v>
      </c>
      <c r="C957" s="670" t="s">
        <v>2258</v>
      </c>
      <c r="D957" s="670" t="s">
        <v>4144</v>
      </c>
      <c r="E957" s="670" t="s">
        <v>4145</v>
      </c>
      <c r="F957" s="670">
        <v>2050.0</v>
      </c>
      <c r="G957" s="670" t="s">
        <v>22</v>
      </c>
      <c r="H957" s="670" t="s">
        <v>2261</v>
      </c>
      <c r="I957" s="670" t="s">
        <v>2262</v>
      </c>
      <c r="J957" s="671">
        <v>46234.0</v>
      </c>
    </row>
    <row r="958">
      <c r="A958" s="670">
        <v>997.0</v>
      </c>
      <c r="B958" s="670" t="s">
        <v>2257</v>
      </c>
      <c r="C958" s="670" t="s">
        <v>2258</v>
      </c>
      <c r="D958" s="670" t="s">
        <v>4146</v>
      </c>
      <c r="E958" s="670" t="s">
        <v>4147</v>
      </c>
      <c r="F958" s="670">
        <v>2740.0</v>
      </c>
      <c r="G958" s="670" t="s">
        <v>22</v>
      </c>
      <c r="H958" s="670" t="s">
        <v>2261</v>
      </c>
      <c r="I958" s="670" t="s">
        <v>2262</v>
      </c>
      <c r="J958" s="671">
        <v>46234.0</v>
      </c>
    </row>
    <row r="959">
      <c r="A959" s="670">
        <v>998.0</v>
      </c>
      <c r="B959" s="670" t="s">
        <v>2257</v>
      </c>
      <c r="C959" s="670" t="s">
        <v>2258</v>
      </c>
      <c r="D959" s="670" t="s">
        <v>4148</v>
      </c>
      <c r="E959" s="670" t="s">
        <v>4149</v>
      </c>
      <c r="F959" s="670">
        <v>3478.0</v>
      </c>
      <c r="G959" s="670" t="s">
        <v>22</v>
      </c>
      <c r="H959" s="670" t="s">
        <v>2572</v>
      </c>
      <c r="I959" s="670" t="s">
        <v>2573</v>
      </c>
      <c r="J959" s="671">
        <v>46234.0</v>
      </c>
    </row>
    <row r="960">
      <c r="A960" s="670">
        <v>999.0</v>
      </c>
      <c r="B960" s="670" t="s">
        <v>2257</v>
      </c>
      <c r="C960" s="670" t="s">
        <v>2258</v>
      </c>
      <c r="D960" s="670" t="s">
        <v>4150</v>
      </c>
      <c r="E960" s="670" t="s">
        <v>4151</v>
      </c>
      <c r="F960" s="670">
        <v>4015.0</v>
      </c>
      <c r="G960" s="670" t="s">
        <v>22</v>
      </c>
      <c r="H960" s="670" t="s">
        <v>2261</v>
      </c>
      <c r="I960" s="670" t="s">
        <v>2262</v>
      </c>
      <c r="J960" s="671">
        <v>46234.0</v>
      </c>
    </row>
    <row r="961">
      <c r="A961" s="670">
        <v>1000.0</v>
      </c>
      <c r="B961" s="670" t="s">
        <v>2257</v>
      </c>
      <c r="C961" s="670" t="s">
        <v>2258</v>
      </c>
      <c r="D961" s="670" t="s">
        <v>4152</v>
      </c>
      <c r="E961" s="670" t="s">
        <v>4153</v>
      </c>
      <c r="F961" s="670">
        <v>4778.0</v>
      </c>
      <c r="G961" s="670" t="s">
        <v>22</v>
      </c>
      <c r="H961" s="670" t="s">
        <v>2261</v>
      </c>
      <c r="I961" s="670" t="s">
        <v>2262</v>
      </c>
      <c r="J961" s="671">
        <v>46234.0</v>
      </c>
    </row>
    <row r="962">
      <c r="A962" s="670">
        <v>1001.0</v>
      </c>
      <c r="B962" s="670" t="s">
        <v>2257</v>
      </c>
      <c r="C962" s="670" t="s">
        <v>2258</v>
      </c>
      <c r="D962" s="670" t="s">
        <v>4154</v>
      </c>
      <c r="E962" s="670" t="s">
        <v>4155</v>
      </c>
      <c r="F962" s="670">
        <v>5657.0</v>
      </c>
      <c r="G962" s="670" t="s">
        <v>22</v>
      </c>
      <c r="H962" s="670" t="s">
        <v>2261</v>
      </c>
      <c r="I962" s="670" t="s">
        <v>2262</v>
      </c>
      <c r="J962" s="671">
        <v>46234.0</v>
      </c>
    </row>
    <row r="963">
      <c r="A963" s="670">
        <v>1002.0</v>
      </c>
      <c r="B963" s="670" t="s">
        <v>2257</v>
      </c>
      <c r="C963" s="670" t="s">
        <v>2258</v>
      </c>
      <c r="D963" s="670" t="s">
        <v>4156</v>
      </c>
      <c r="E963" s="670" t="s">
        <v>4157</v>
      </c>
      <c r="F963" s="670">
        <v>6552.0</v>
      </c>
      <c r="G963" s="670" t="s">
        <v>22</v>
      </c>
      <c r="H963" s="670" t="s">
        <v>2261</v>
      </c>
      <c r="I963" s="670" t="s">
        <v>2262</v>
      </c>
      <c r="J963" s="671">
        <v>46234.0</v>
      </c>
    </row>
    <row r="964">
      <c r="A964" s="670">
        <v>1003.0</v>
      </c>
      <c r="B964" s="670" t="s">
        <v>2257</v>
      </c>
      <c r="C964" s="670" t="s">
        <v>2258</v>
      </c>
      <c r="D964" s="670" t="s">
        <v>4158</v>
      </c>
      <c r="E964" s="670" t="s">
        <v>4159</v>
      </c>
      <c r="F964" s="670">
        <v>8573.0</v>
      </c>
      <c r="G964" s="670" t="s">
        <v>22</v>
      </c>
      <c r="H964" s="670" t="s">
        <v>2261</v>
      </c>
      <c r="I964" s="670" t="s">
        <v>2262</v>
      </c>
      <c r="J964" s="671">
        <v>46234.0</v>
      </c>
    </row>
    <row r="965">
      <c r="A965" s="670">
        <v>1004.0</v>
      </c>
      <c r="B965" s="670" t="s">
        <v>2257</v>
      </c>
      <c r="C965" s="670" t="s">
        <v>2258</v>
      </c>
      <c r="D965" s="670" t="s">
        <v>4160</v>
      </c>
      <c r="E965" s="670" t="s">
        <v>4161</v>
      </c>
      <c r="F965" s="670">
        <v>11643.0</v>
      </c>
      <c r="G965" s="670" t="s">
        <v>22</v>
      </c>
      <c r="H965" s="670" t="s">
        <v>2261</v>
      </c>
      <c r="I965" s="670" t="s">
        <v>2262</v>
      </c>
      <c r="J965" s="671">
        <v>46234.0</v>
      </c>
    </row>
    <row r="966">
      <c r="A966" s="670">
        <v>1005.0</v>
      </c>
      <c r="B966" s="670" t="s">
        <v>2257</v>
      </c>
      <c r="C966" s="670" t="s">
        <v>2258</v>
      </c>
      <c r="D966" s="670" t="s">
        <v>4162</v>
      </c>
      <c r="E966" s="670" t="s">
        <v>4163</v>
      </c>
      <c r="F966" s="670">
        <v>14980.0</v>
      </c>
      <c r="G966" s="670" t="s">
        <v>22</v>
      </c>
      <c r="H966" s="670" t="s">
        <v>2261</v>
      </c>
      <c r="I966" s="670" t="s">
        <v>2262</v>
      </c>
      <c r="J966" s="671">
        <v>46234.0</v>
      </c>
    </row>
    <row r="967">
      <c r="A967" s="670">
        <v>1006.0</v>
      </c>
      <c r="B967" s="670" t="s">
        <v>2257</v>
      </c>
      <c r="C967" s="670" t="s">
        <v>2258</v>
      </c>
      <c r="D967" s="670" t="s">
        <v>4164</v>
      </c>
      <c r="E967" s="670" t="s">
        <v>4165</v>
      </c>
      <c r="F967" s="670">
        <v>18446.0</v>
      </c>
      <c r="G967" s="670" t="s">
        <v>22</v>
      </c>
      <c r="H967" s="670" t="s">
        <v>2261</v>
      </c>
      <c r="I967" s="670" t="s">
        <v>2262</v>
      </c>
      <c r="J967" s="671">
        <v>46234.0</v>
      </c>
    </row>
    <row r="968">
      <c r="A968" s="670">
        <v>1007.0</v>
      </c>
      <c r="B968" s="670" t="s">
        <v>2257</v>
      </c>
      <c r="C968" s="670" t="s">
        <v>2258</v>
      </c>
      <c r="D968" s="670" t="s">
        <v>4166</v>
      </c>
      <c r="E968" s="670" t="s">
        <v>4167</v>
      </c>
      <c r="F968" s="670">
        <v>22030.0</v>
      </c>
      <c r="G968" s="670" t="s">
        <v>22</v>
      </c>
      <c r="H968" s="670" t="s">
        <v>2261</v>
      </c>
      <c r="I968" s="670" t="s">
        <v>2262</v>
      </c>
      <c r="J968" s="671">
        <v>46234.0</v>
      </c>
    </row>
    <row r="969">
      <c r="A969" s="670">
        <v>1008.0</v>
      </c>
      <c r="B969" s="670" t="s">
        <v>2257</v>
      </c>
      <c r="C969" s="670" t="s">
        <v>2258</v>
      </c>
      <c r="D969" s="670" t="s">
        <v>4168</v>
      </c>
      <c r="E969" s="670" t="s">
        <v>4169</v>
      </c>
      <c r="F969" s="670">
        <v>1332.0</v>
      </c>
      <c r="G969" s="670" t="s">
        <v>22</v>
      </c>
      <c r="H969" s="670" t="s">
        <v>2261</v>
      </c>
      <c r="I969" s="670" t="s">
        <v>2262</v>
      </c>
      <c r="J969" s="671">
        <v>46234.0</v>
      </c>
    </row>
    <row r="970">
      <c r="A970" s="670">
        <v>1009.0</v>
      </c>
      <c r="B970" s="670" t="s">
        <v>2257</v>
      </c>
      <c r="C970" s="670" t="s">
        <v>2258</v>
      </c>
      <c r="D970" s="670" t="s">
        <v>4170</v>
      </c>
      <c r="E970" s="670" t="s">
        <v>4171</v>
      </c>
      <c r="F970" s="670">
        <v>1895.0</v>
      </c>
      <c r="G970" s="670" t="s">
        <v>22</v>
      </c>
      <c r="H970" s="670" t="s">
        <v>2261</v>
      </c>
      <c r="I970" s="670" t="s">
        <v>2262</v>
      </c>
      <c r="J970" s="671">
        <v>46234.0</v>
      </c>
    </row>
    <row r="971">
      <c r="A971" s="670">
        <v>1010.0</v>
      </c>
      <c r="B971" s="670" t="s">
        <v>2257</v>
      </c>
      <c r="C971" s="670" t="s">
        <v>2258</v>
      </c>
      <c r="D971" s="670" t="s">
        <v>4172</v>
      </c>
      <c r="E971" s="670" t="s">
        <v>4173</v>
      </c>
      <c r="F971" s="670">
        <v>2491.0</v>
      </c>
      <c r="G971" s="670" t="s">
        <v>22</v>
      </c>
      <c r="H971" s="670" t="s">
        <v>2261</v>
      </c>
      <c r="I971" s="670" t="s">
        <v>2262</v>
      </c>
      <c r="J971" s="671">
        <v>46234.0</v>
      </c>
    </row>
    <row r="972">
      <c r="A972" s="670">
        <v>1011.0</v>
      </c>
      <c r="B972" s="670" t="s">
        <v>2257</v>
      </c>
      <c r="C972" s="670" t="s">
        <v>2258</v>
      </c>
      <c r="D972" s="670" t="s">
        <v>4174</v>
      </c>
      <c r="E972" s="670" t="s">
        <v>4175</v>
      </c>
      <c r="F972" s="670">
        <v>3326.0</v>
      </c>
      <c r="G972" s="670" t="s">
        <v>22</v>
      </c>
      <c r="H972" s="670" t="s">
        <v>2261</v>
      </c>
      <c r="I972" s="670" t="s">
        <v>2262</v>
      </c>
      <c r="J972" s="671">
        <v>46234.0</v>
      </c>
    </row>
    <row r="973">
      <c r="A973" s="670">
        <v>1012.0</v>
      </c>
      <c r="B973" s="670" t="s">
        <v>2257</v>
      </c>
      <c r="C973" s="670" t="s">
        <v>2258</v>
      </c>
      <c r="D973" s="670" t="s">
        <v>4176</v>
      </c>
      <c r="E973" s="670" t="s">
        <v>4177</v>
      </c>
      <c r="F973" s="670">
        <v>4212.0</v>
      </c>
      <c r="G973" s="670" t="s">
        <v>22</v>
      </c>
      <c r="H973" s="670" t="s">
        <v>2261</v>
      </c>
      <c r="I973" s="670" t="s">
        <v>2262</v>
      </c>
      <c r="J973" s="671">
        <v>46234.0</v>
      </c>
    </row>
    <row r="974">
      <c r="A974" s="670">
        <v>1013.0</v>
      </c>
      <c r="B974" s="670" t="s">
        <v>2257</v>
      </c>
      <c r="C974" s="670" t="s">
        <v>2258</v>
      </c>
      <c r="D974" s="670" t="s">
        <v>4178</v>
      </c>
      <c r="E974" s="670" t="s">
        <v>4179</v>
      </c>
      <c r="F974" s="670">
        <v>4904.0</v>
      </c>
      <c r="G974" s="670" t="s">
        <v>22</v>
      </c>
      <c r="H974" s="670" t="s">
        <v>2261</v>
      </c>
      <c r="I974" s="670" t="s">
        <v>2262</v>
      </c>
      <c r="J974" s="671">
        <v>46234.0</v>
      </c>
    </row>
    <row r="975">
      <c r="A975" s="670">
        <v>1014.0</v>
      </c>
      <c r="B975" s="670" t="s">
        <v>2257</v>
      </c>
      <c r="C975" s="670" t="s">
        <v>2258</v>
      </c>
      <c r="D975" s="670" t="s">
        <v>4180</v>
      </c>
      <c r="E975" s="670" t="s">
        <v>4181</v>
      </c>
      <c r="F975" s="670">
        <v>5720.0</v>
      </c>
      <c r="G975" s="670" t="s">
        <v>22</v>
      </c>
      <c r="H975" s="670" t="s">
        <v>2261</v>
      </c>
      <c r="I975" s="670" t="s">
        <v>2262</v>
      </c>
      <c r="J975" s="671">
        <v>46234.0</v>
      </c>
    </row>
    <row r="976">
      <c r="A976" s="670">
        <v>1015.0</v>
      </c>
      <c r="B976" s="670" t="s">
        <v>2257</v>
      </c>
      <c r="C976" s="670" t="s">
        <v>2258</v>
      </c>
      <c r="D976" s="670" t="s">
        <v>4182</v>
      </c>
      <c r="E976" s="670" t="s">
        <v>4183</v>
      </c>
      <c r="F976" s="670">
        <v>6870.0</v>
      </c>
      <c r="G976" s="670" t="s">
        <v>22</v>
      </c>
      <c r="H976" s="670" t="s">
        <v>2261</v>
      </c>
      <c r="I976" s="670" t="s">
        <v>2262</v>
      </c>
      <c r="J976" s="671">
        <v>46234.0</v>
      </c>
    </row>
    <row r="977">
      <c r="A977" s="670">
        <v>1016.0</v>
      </c>
      <c r="B977" s="670" t="s">
        <v>2257</v>
      </c>
      <c r="C977" s="670" t="s">
        <v>2258</v>
      </c>
      <c r="D977" s="670" t="s">
        <v>4184</v>
      </c>
      <c r="E977" s="670" t="s">
        <v>4185</v>
      </c>
      <c r="F977" s="670">
        <v>7930.0</v>
      </c>
      <c r="G977" s="670" t="s">
        <v>22</v>
      </c>
      <c r="H977" s="670" t="s">
        <v>2261</v>
      </c>
      <c r="I977" s="670" t="s">
        <v>2262</v>
      </c>
      <c r="J977" s="671">
        <v>46234.0</v>
      </c>
    </row>
    <row r="978">
      <c r="A978" s="670">
        <v>1017.0</v>
      </c>
      <c r="B978" s="670" t="s">
        <v>2257</v>
      </c>
      <c r="C978" s="670" t="s">
        <v>2258</v>
      </c>
      <c r="D978" s="670" t="s">
        <v>4186</v>
      </c>
      <c r="E978" s="670" t="s">
        <v>4187</v>
      </c>
      <c r="F978" s="670">
        <v>10512.0</v>
      </c>
      <c r="G978" s="670" t="s">
        <v>22</v>
      </c>
      <c r="H978" s="670" t="s">
        <v>2261</v>
      </c>
      <c r="I978" s="670" t="s">
        <v>2262</v>
      </c>
      <c r="J978" s="671">
        <v>46234.0</v>
      </c>
    </row>
    <row r="979">
      <c r="A979" s="670">
        <v>1018.0</v>
      </c>
      <c r="B979" s="670" t="s">
        <v>2257</v>
      </c>
      <c r="C979" s="670" t="s">
        <v>2258</v>
      </c>
      <c r="D979" s="670" t="s">
        <v>4188</v>
      </c>
      <c r="E979" s="670" t="s">
        <v>4189</v>
      </c>
      <c r="F979" s="670">
        <v>13267.0</v>
      </c>
      <c r="G979" s="670" t="s">
        <v>22</v>
      </c>
      <c r="H979" s="670" t="s">
        <v>2261</v>
      </c>
      <c r="I979" s="670" t="s">
        <v>2262</v>
      </c>
      <c r="J979" s="671">
        <v>46234.0</v>
      </c>
    </row>
    <row r="980">
      <c r="A980" s="670">
        <v>1019.0</v>
      </c>
      <c r="B980" s="670" t="s">
        <v>2257</v>
      </c>
      <c r="C980" s="670" t="s">
        <v>2258</v>
      </c>
      <c r="D980" s="670" t="s">
        <v>4190</v>
      </c>
      <c r="E980" s="670" t="s">
        <v>4191</v>
      </c>
      <c r="F980" s="670">
        <v>14934.0</v>
      </c>
      <c r="G980" s="670" t="s">
        <v>22</v>
      </c>
      <c r="H980" s="670" t="s">
        <v>2261</v>
      </c>
      <c r="I980" s="670" t="s">
        <v>2262</v>
      </c>
      <c r="J980" s="671">
        <v>46234.0</v>
      </c>
    </row>
    <row r="981">
      <c r="A981" s="670">
        <v>1020.0</v>
      </c>
      <c r="B981" s="670" t="s">
        <v>2257</v>
      </c>
      <c r="C981" s="670" t="s">
        <v>2258</v>
      </c>
      <c r="D981" s="670" t="s">
        <v>4192</v>
      </c>
      <c r="E981" s="670" t="s">
        <v>4193</v>
      </c>
      <c r="F981" s="670">
        <v>16272.0</v>
      </c>
      <c r="G981" s="670" t="s">
        <v>22</v>
      </c>
      <c r="H981" s="670" t="s">
        <v>2261</v>
      </c>
      <c r="I981" s="670" t="s">
        <v>2262</v>
      </c>
      <c r="J981" s="671">
        <v>46234.0</v>
      </c>
    </row>
    <row r="982">
      <c r="A982" s="670">
        <v>1021.0</v>
      </c>
      <c r="B982" s="670" t="s">
        <v>2257</v>
      </c>
      <c r="C982" s="670" t="s">
        <v>2258</v>
      </c>
      <c r="D982" s="670" t="s">
        <v>4194</v>
      </c>
      <c r="E982" s="670" t="s">
        <v>4195</v>
      </c>
      <c r="F982" s="670">
        <v>20178.0</v>
      </c>
      <c r="G982" s="670" t="s">
        <v>22</v>
      </c>
      <c r="H982" s="670" t="s">
        <v>2261</v>
      </c>
      <c r="I982" s="670" t="s">
        <v>2262</v>
      </c>
      <c r="J982" s="671">
        <v>46234.0</v>
      </c>
    </row>
    <row r="983">
      <c r="A983" s="670">
        <v>1022.0</v>
      </c>
      <c r="B983" s="670" t="s">
        <v>2257</v>
      </c>
      <c r="C983" s="670" t="s">
        <v>2258</v>
      </c>
      <c r="D983" s="670" t="s">
        <v>4196</v>
      </c>
      <c r="E983" s="670" t="s">
        <v>4197</v>
      </c>
      <c r="F983" s="670">
        <v>24108.0</v>
      </c>
      <c r="G983" s="670" t="s">
        <v>22</v>
      </c>
      <c r="H983" s="670" t="s">
        <v>2261</v>
      </c>
      <c r="I983" s="670" t="s">
        <v>2262</v>
      </c>
      <c r="J983" s="671">
        <v>46234.0</v>
      </c>
    </row>
    <row r="984">
      <c r="A984" s="670">
        <v>1023.0</v>
      </c>
      <c r="B984" s="670" t="s">
        <v>2257</v>
      </c>
      <c r="C984" s="670" t="s">
        <v>2258</v>
      </c>
      <c r="D984" s="670" t="s">
        <v>4198</v>
      </c>
      <c r="E984" s="670" t="s">
        <v>4199</v>
      </c>
      <c r="F984" s="670">
        <v>29763.0</v>
      </c>
      <c r="G984" s="670" t="s">
        <v>22</v>
      </c>
      <c r="H984" s="670" t="s">
        <v>2261</v>
      </c>
      <c r="I984" s="670" t="s">
        <v>2262</v>
      </c>
      <c r="J984" s="671">
        <v>46234.0</v>
      </c>
    </row>
    <row r="985">
      <c r="A985" s="670">
        <v>1024.0</v>
      </c>
      <c r="B985" s="670" t="s">
        <v>2257</v>
      </c>
      <c r="C985" s="670" t="s">
        <v>2258</v>
      </c>
      <c r="D985" s="670" t="s">
        <v>2207</v>
      </c>
      <c r="E985" s="670" t="s">
        <v>4200</v>
      </c>
      <c r="F985" s="670">
        <v>54.0</v>
      </c>
      <c r="G985" s="670" t="s">
        <v>22</v>
      </c>
      <c r="H985" s="670" t="s">
        <v>2261</v>
      </c>
      <c r="I985" s="670" t="s">
        <v>2262</v>
      </c>
      <c r="J985" s="671">
        <v>46234.0</v>
      </c>
    </row>
    <row r="986">
      <c r="A986" s="670">
        <v>1025.0</v>
      </c>
      <c r="B986" s="670" t="s">
        <v>2257</v>
      </c>
      <c r="C986" s="670" t="s">
        <v>2258</v>
      </c>
      <c r="D986" s="670" t="s">
        <v>2209</v>
      </c>
      <c r="E986" s="670" t="s">
        <v>2210</v>
      </c>
      <c r="F986" s="670">
        <v>87.0</v>
      </c>
      <c r="G986" s="670" t="s">
        <v>22</v>
      </c>
      <c r="H986" s="670" t="s">
        <v>2261</v>
      </c>
      <c r="I986" s="670" t="s">
        <v>2262</v>
      </c>
      <c r="J986" s="671">
        <v>46234.0</v>
      </c>
    </row>
    <row r="987">
      <c r="A987" s="670">
        <v>1026.0</v>
      </c>
      <c r="B987" s="670" t="s">
        <v>2257</v>
      </c>
      <c r="C987" s="670" t="s">
        <v>2258</v>
      </c>
      <c r="D987" s="670" t="s">
        <v>4202</v>
      </c>
      <c r="E987" s="670" t="s">
        <v>4203</v>
      </c>
      <c r="F987" s="670">
        <v>123.0</v>
      </c>
      <c r="G987" s="670" t="s">
        <v>22</v>
      </c>
      <c r="H987" s="670" t="s">
        <v>2261</v>
      </c>
      <c r="I987" s="670" t="s">
        <v>2262</v>
      </c>
      <c r="J987" s="671">
        <v>46234.0</v>
      </c>
    </row>
    <row r="988">
      <c r="A988" s="670">
        <v>1027.0</v>
      </c>
      <c r="B988" s="670" t="s">
        <v>2257</v>
      </c>
      <c r="C988" s="670" t="s">
        <v>2258</v>
      </c>
      <c r="D988" s="670" t="s">
        <v>4204</v>
      </c>
      <c r="E988" s="670" t="s">
        <v>4205</v>
      </c>
      <c r="F988" s="670">
        <v>174.0</v>
      </c>
      <c r="G988" s="670" t="s">
        <v>22</v>
      </c>
      <c r="H988" s="670" t="s">
        <v>2261</v>
      </c>
      <c r="I988" s="670" t="s">
        <v>2262</v>
      </c>
      <c r="J988" s="671">
        <v>46234.0</v>
      </c>
    </row>
    <row r="989">
      <c r="A989" s="670">
        <v>1028.0</v>
      </c>
      <c r="B989" s="670" t="s">
        <v>2257</v>
      </c>
      <c r="C989" s="670" t="s">
        <v>2258</v>
      </c>
      <c r="D989" s="670" t="s">
        <v>4206</v>
      </c>
      <c r="E989" s="670" t="s">
        <v>4207</v>
      </c>
      <c r="F989" s="670">
        <v>260.0</v>
      </c>
      <c r="G989" s="670" t="s">
        <v>22</v>
      </c>
      <c r="H989" s="670" t="s">
        <v>2261</v>
      </c>
      <c r="I989" s="670" t="s">
        <v>2262</v>
      </c>
      <c r="J989" s="671">
        <v>46234.0</v>
      </c>
    </row>
    <row r="990">
      <c r="A990" s="670">
        <v>1029.0</v>
      </c>
      <c r="B990" s="670" t="s">
        <v>2257</v>
      </c>
      <c r="C990" s="670" t="s">
        <v>2258</v>
      </c>
      <c r="D990" s="670" t="s">
        <v>4209</v>
      </c>
      <c r="E990" s="670" t="s">
        <v>4210</v>
      </c>
      <c r="F990" s="670">
        <v>336.0</v>
      </c>
      <c r="G990" s="670" t="s">
        <v>22</v>
      </c>
      <c r="H990" s="670" t="s">
        <v>2261</v>
      </c>
      <c r="I990" s="670" t="s">
        <v>2262</v>
      </c>
      <c r="J990" s="671">
        <v>46234.0</v>
      </c>
    </row>
    <row r="991">
      <c r="A991" s="670">
        <v>1030.0</v>
      </c>
      <c r="B991" s="670" t="s">
        <v>2257</v>
      </c>
      <c r="C991" s="670" t="s">
        <v>2258</v>
      </c>
      <c r="D991" s="670" t="s">
        <v>4211</v>
      </c>
      <c r="E991" s="670" t="s">
        <v>4212</v>
      </c>
      <c r="F991" s="670">
        <v>422.0</v>
      </c>
      <c r="G991" s="670" t="s">
        <v>22</v>
      </c>
      <c r="H991" s="670" t="s">
        <v>2261</v>
      </c>
      <c r="I991" s="670" t="s">
        <v>2262</v>
      </c>
      <c r="J991" s="671">
        <v>46234.0</v>
      </c>
    </row>
    <row r="992">
      <c r="A992" s="670">
        <v>1031.0</v>
      </c>
      <c r="B992" s="670" t="s">
        <v>2257</v>
      </c>
      <c r="C992" s="670" t="s">
        <v>2258</v>
      </c>
      <c r="D992" s="670" t="s">
        <v>4214</v>
      </c>
      <c r="E992" s="670" t="s">
        <v>4215</v>
      </c>
      <c r="F992" s="670">
        <v>551.0</v>
      </c>
      <c r="G992" s="670" t="s">
        <v>22</v>
      </c>
      <c r="H992" s="670" t="s">
        <v>2261</v>
      </c>
      <c r="I992" s="670" t="s">
        <v>2262</v>
      </c>
      <c r="J992" s="671">
        <v>46234.0</v>
      </c>
    </row>
    <row r="993">
      <c r="A993" s="670">
        <v>1032.0</v>
      </c>
      <c r="B993" s="670" t="s">
        <v>2257</v>
      </c>
      <c r="C993" s="670" t="s">
        <v>2258</v>
      </c>
      <c r="D993" s="670" t="s">
        <v>4216</v>
      </c>
      <c r="E993" s="670" t="s">
        <v>4217</v>
      </c>
      <c r="F993" s="670">
        <v>691.0</v>
      </c>
      <c r="G993" s="670" t="s">
        <v>22</v>
      </c>
      <c r="H993" s="670" t="s">
        <v>2261</v>
      </c>
      <c r="I993" s="670" t="s">
        <v>2262</v>
      </c>
      <c r="J993" s="671">
        <v>46234.0</v>
      </c>
    </row>
    <row r="994">
      <c r="A994" s="670">
        <v>1033.0</v>
      </c>
      <c r="B994" s="670" t="s">
        <v>2257</v>
      </c>
      <c r="C994" s="670" t="s">
        <v>2258</v>
      </c>
      <c r="D994" s="670" t="s">
        <v>4218</v>
      </c>
      <c r="E994" s="670" t="s">
        <v>4219</v>
      </c>
      <c r="F994" s="670">
        <v>854.0</v>
      </c>
      <c r="G994" s="670" t="s">
        <v>22</v>
      </c>
      <c r="H994" s="670" t="s">
        <v>2261</v>
      </c>
      <c r="I994" s="670" t="s">
        <v>2262</v>
      </c>
      <c r="J994" s="671">
        <v>46234.0</v>
      </c>
    </row>
    <row r="995">
      <c r="A995" s="670">
        <v>1034.0</v>
      </c>
      <c r="B995" s="670" t="s">
        <v>2257</v>
      </c>
      <c r="C995" s="670" t="s">
        <v>2258</v>
      </c>
      <c r="D995" s="670" t="s">
        <v>4221</v>
      </c>
      <c r="E995" s="670" t="s">
        <v>4222</v>
      </c>
      <c r="F995" s="670">
        <v>1084.0</v>
      </c>
      <c r="G995" s="670" t="s">
        <v>22</v>
      </c>
      <c r="H995" s="670" t="s">
        <v>2261</v>
      </c>
      <c r="I995" s="670" t="s">
        <v>2262</v>
      </c>
      <c r="J995" s="671">
        <v>46234.0</v>
      </c>
    </row>
    <row r="996">
      <c r="A996" s="670">
        <v>1035.0</v>
      </c>
      <c r="B996" s="670" t="s">
        <v>2257</v>
      </c>
      <c r="C996" s="670" t="s">
        <v>2258</v>
      </c>
      <c r="D996" s="670" t="s">
        <v>4223</v>
      </c>
      <c r="E996" s="670" t="s">
        <v>4224</v>
      </c>
      <c r="F996" s="670">
        <v>1338.0</v>
      </c>
      <c r="G996" s="670" t="s">
        <v>22</v>
      </c>
      <c r="H996" s="670" t="s">
        <v>2261</v>
      </c>
      <c r="I996" s="670" t="s">
        <v>2262</v>
      </c>
      <c r="J996" s="671">
        <v>46234.0</v>
      </c>
    </row>
    <row r="997">
      <c r="A997" s="670">
        <v>1036.0</v>
      </c>
      <c r="B997" s="670" t="s">
        <v>2257</v>
      </c>
      <c r="C997" s="670" t="s">
        <v>2258</v>
      </c>
      <c r="D997" s="670" t="s">
        <v>4225</v>
      </c>
      <c r="E997" s="670" t="s">
        <v>4226</v>
      </c>
      <c r="F997" s="670">
        <v>1672.0</v>
      </c>
      <c r="G997" s="670" t="s">
        <v>22</v>
      </c>
      <c r="H997" s="670" t="s">
        <v>2261</v>
      </c>
      <c r="I997" s="670" t="s">
        <v>2262</v>
      </c>
      <c r="J997" s="671">
        <v>46234.0</v>
      </c>
    </row>
    <row r="998">
      <c r="A998" s="670">
        <v>1037.0</v>
      </c>
      <c r="B998" s="670" t="s">
        <v>2257</v>
      </c>
      <c r="C998" s="670" t="s">
        <v>2258</v>
      </c>
      <c r="D998" s="670" t="s">
        <v>4227</v>
      </c>
      <c r="E998" s="670" t="s">
        <v>4228</v>
      </c>
      <c r="F998" s="670">
        <v>2118.0</v>
      </c>
      <c r="G998" s="670" t="s">
        <v>22</v>
      </c>
      <c r="H998" s="670" t="s">
        <v>2261</v>
      </c>
      <c r="I998" s="670" t="s">
        <v>2262</v>
      </c>
      <c r="J998" s="671">
        <v>46234.0</v>
      </c>
    </row>
    <row r="999">
      <c r="A999" s="670">
        <v>1038.0</v>
      </c>
      <c r="B999" s="670" t="s">
        <v>2257</v>
      </c>
      <c r="C999" s="670" t="s">
        <v>2258</v>
      </c>
      <c r="D999" s="670" t="s">
        <v>4229</v>
      </c>
      <c r="E999" s="670" t="s">
        <v>4230</v>
      </c>
      <c r="F999" s="670">
        <v>3076.0</v>
      </c>
      <c r="G999" s="670" t="s">
        <v>22</v>
      </c>
      <c r="H999" s="670" t="s">
        <v>2261</v>
      </c>
      <c r="I999" s="670" t="s">
        <v>2262</v>
      </c>
      <c r="J999" s="671">
        <v>46234.0</v>
      </c>
    </row>
    <row r="1000">
      <c r="A1000" s="670">
        <v>1039.0</v>
      </c>
      <c r="B1000" s="670" t="s">
        <v>2257</v>
      </c>
      <c r="C1000" s="670" t="s">
        <v>2258</v>
      </c>
      <c r="D1000" s="670" t="s">
        <v>4231</v>
      </c>
      <c r="E1000" s="670" t="s">
        <v>4232</v>
      </c>
      <c r="F1000" s="670">
        <v>3914.0</v>
      </c>
      <c r="G1000" s="670" t="s">
        <v>22</v>
      </c>
      <c r="H1000" s="670" t="s">
        <v>2261</v>
      </c>
      <c r="I1000" s="670" t="s">
        <v>2262</v>
      </c>
      <c r="J1000" s="671">
        <v>46234.0</v>
      </c>
    </row>
    <row r="1001">
      <c r="A1001" s="670">
        <v>1040.0</v>
      </c>
      <c r="B1001" s="670" t="s">
        <v>2257</v>
      </c>
      <c r="C1001" s="670" t="s">
        <v>2258</v>
      </c>
      <c r="D1001" s="670" t="s">
        <v>4233</v>
      </c>
      <c r="E1001" s="670" t="s">
        <v>4234</v>
      </c>
      <c r="F1001" s="670">
        <v>4944.0</v>
      </c>
      <c r="G1001" s="670" t="s">
        <v>22</v>
      </c>
      <c r="H1001" s="670" t="s">
        <v>2261</v>
      </c>
      <c r="I1001" s="670" t="s">
        <v>2262</v>
      </c>
      <c r="J1001" s="671">
        <v>46234.0</v>
      </c>
    </row>
    <row r="1002">
      <c r="A1002" s="670">
        <v>1041.0</v>
      </c>
      <c r="B1002" s="670" t="s">
        <v>2257</v>
      </c>
      <c r="C1002" s="670" t="s">
        <v>2258</v>
      </c>
      <c r="D1002" s="670" t="s">
        <v>4235</v>
      </c>
      <c r="E1002" s="670" t="s">
        <v>4236</v>
      </c>
      <c r="F1002" s="670">
        <v>6113.0</v>
      </c>
      <c r="G1002" s="670" t="s">
        <v>22</v>
      </c>
      <c r="H1002" s="670" t="s">
        <v>2261</v>
      </c>
      <c r="I1002" s="670" t="s">
        <v>2262</v>
      </c>
      <c r="J1002" s="671">
        <v>46234.0</v>
      </c>
    </row>
    <row r="1003">
      <c r="A1003" s="670">
        <v>1042.0</v>
      </c>
      <c r="B1003" s="670" t="s">
        <v>2257</v>
      </c>
      <c r="C1003" s="670" t="s">
        <v>2258</v>
      </c>
      <c r="D1003" s="670" t="s">
        <v>4237</v>
      </c>
      <c r="E1003" s="670" t="s">
        <v>4238</v>
      </c>
      <c r="F1003" s="670">
        <v>7653.0</v>
      </c>
      <c r="G1003" s="670" t="s">
        <v>22</v>
      </c>
      <c r="H1003" s="670" t="s">
        <v>2261</v>
      </c>
      <c r="I1003" s="670" t="s">
        <v>2262</v>
      </c>
      <c r="J1003" s="671">
        <v>46234.0</v>
      </c>
    </row>
    <row r="1004">
      <c r="A1004" s="670">
        <v>1043.0</v>
      </c>
      <c r="B1004" s="670" t="s">
        <v>2257</v>
      </c>
      <c r="C1004" s="670" t="s">
        <v>2258</v>
      </c>
      <c r="D1004" s="670" t="s">
        <v>4239</v>
      </c>
      <c r="E1004" s="670" t="s">
        <v>4240</v>
      </c>
      <c r="F1004" s="670">
        <v>9677.0</v>
      </c>
      <c r="G1004" s="670" t="s">
        <v>22</v>
      </c>
      <c r="H1004" s="670" t="s">
        <v>2261</v>
      </c>
      <c r="I1004" s="670" t="s">
        <v>2262</v>
      </c>
      <c r="J1004" s="671">
        <v>46234.0</v>
      </c>
    </row>
    <row r="1005">
      <c r="A1005" s="670">
        <v>1044.0</v>
      </c>
      <c r="B1005" s="670" t="s">
        <v>2257</v>
      </c>
      <c r="C1005" s="670" t="s">
        <v>2258</v>
      </c>
      <c r="D1005" s="670" t="s">
        <v>4241</v>
      </c>
      <c r="E1005" s="670" t="s">
        <v>4242</v>
      </c>
      <c r="F1005" s="670">
        <v>66.0</v>
      </c>
      <c r="G1005" s="670" t="s">
        <v>22</v>
      </c>
      <c r="H1005" s="670" t="s">
        <v>2261</v>
      </c>
      <c r="I1005" s="670" t="s">
        <v>2262</v>
      </c>
      <c r="J1005" s="671">
        <v>46234.0</v>
      </c>
    </row>
    <row r="1006">
      <c r="A1006" s="670">
        <v>1045.0</v>
      </c>
      <c r="B1006" s="670" t="s">
        <v>2257</v>
      </c>
      <c r="C1006" s="670" t="s">
        <v>2258</v>
      </c>
      <c r="D1006" s="670" t="s">
        <v>4243</v>
      </c>
      <c r="E1006" s="670" t="s">
        <v>4244</v>
      </c>
      <c r="F1006" s="670">
        <v>106.0</v>
      </c>
      <c r="G1006" s="670" t="s">
        <v>22</v>
      </c>
      <c r="H1006" s="670" t="s">
        <v>2261</v>
      </c>
      <c r="I1006" s="670" t="s">
        <v>2262</v>
      </c>
      <c r="J1006" s="671">
        <v>46234.0</v>
      </c>
    </row>
    <row r="1007">
      <c r="A1007" s="670">
        <v>1046.0</v>
      </c>
      <c r="B1007" s="670" t="s">
        <v>2257</v>
      </c>
      <c r="C1007" s="670" t="s">
        <v>2258</v>
      </c>
      <c r="D1007" s="670" t="s">
        <v>4245</v>
      </c>
      <c r="E1007" s="670" t="s">
        <v>4246</v>
      </c>
      <c r="F1007" s="670">
        <v>150.0</v>
      </c>
      <c r="G1007" s="670" t="s">
        <v>22</v>
      </c>
      <c r="H1007" s="670" t="s">
        <v>2261</v>
      </c>
      <c r="I1007" s="670" t="s">
        <v>2262</v>
      </c>
      <c r="J1007" s="671">
        <v>46234.0</v>
      </c>
    </row>
    <row r="1008">
      <c r="A1008" s="670">
        <v>1047.0</v>
      </c>
      <c r="B1008" s="670" t="s">
        <v>2257</v>
      </c>
      <c r="C1008" s="670" t="s">
        <v>2258</v>
      </c>
      <c r="D1008" s="670" t="s">
        <v>4247</v>
      </c>
      <c r="E1008" s="670" t="s">
        <v>4248</v>
      </c>
      <c r="F1008" s="670">
        <v>215.0</v>
      </c>
      <c r="G1008" s="670" t="s">
        <v>22</v>
      </c>
      <c r="H1008" s="670" t="s">
        <v>2261</v>
      </c>
      <c r="I1008" s="670" t="s">
        <v>2262</v>
      </c>
      <c r="J1008" s="671">
        <v>46234.0</v>
      </c>
    </row>
    <row r="1009">
      <c r="A1009" s="670">
        <v>1048.0</v>
      </c>
      <c r="B1009" s="670" t="s">
        <v>2257</v>
      </c>
      <c r="C1009" s="670" t="s">
        <v>2258</v>
      </c>
      <c r="D1009" s="670" t="s">
        <v>4249</v>
      </c>
      <c r="E1009" s="670" t="s">
        <v>4250</v>
      </c>
      <c r="F1009" s="670">
        <v>319.0</v>
      </c>
      <c r="G1009" s="670" t="s">
        <v>22</v>
      </c>
      <c r="H1009" s="670" t="s">
        <v>2261</v>
      </c>
      <c r="I1009" s="670" t="s">
        <v>2262</v>
      </c>
      <c r="J1009" s="671">
        <v>46234.0</v>
      </c>
    </row>
    <row r="1010">
      <c r="A1010" s="670">
        <v>1049.0</v>
      </c>
      <c r="B1010" s="670" t="s">
        <v>2257</v>
      </c>
      <c r="C1010" s="670" t="s">
        <v>2258</v>
      </c>
      <c r="D1010" s="670" t="s">
        <v>4251</v>
      </c>
      <c r="E1010" s="670" t="s">
        <v>4252</v>
      </c>
      <c r="F1010" s="670">
        <v>411.0</v>
      </c>
      <c r="G1010" s="670" t="s">
        <v>22</v>
      </c>
      <c r="H1010" s="670" t="s">
        <v>2261</v>
      </c>
      <c r="I1010" s="670" t="s">
        <v>2262</v>
      </c>
      <c r="J1010" s="671">
        <v>46234.0</v>
      </c>
    </row>
    <row r="1011">
      <c r="A1011" s="670">
        <v>1050.0</v>
      </c>
      <c r="B1011" s="670" t="s">
        <v>2257</v>
      </c>
      <c r="C1011" s="670" t="s">
        <v>2258</v>
      </c>
      <c r="D1011" s="670" t="s">
        <v>4253</v>
      </c>
      <c r="E1011" s="670" t="s">
        <v>4254</v>
      </c>
      <c r="F1011" s="670">
        <v>514.0</v>
      </c>
      <c r="G1011" s="670" t="s">
        <v>22</v>
      </c>
      <c r="H1011" s="670" t="s">
        <v>2261</v>
      </c>
      <c r="I1011" s="670" t="s">
        <v>2262</v>
      </c>
      <c r="J1011" s="671">
        <v>46234.0</v>
      </c>
    </row>
    <row r="1012">
      <c r="A1012" s="670">
        <v>1051.0</v>
      </c>
      <c r="B1012" s="670" t="s">
        <v>2257</v>
      </c>
      <c r="C1012" s="670" t="s">
        <v>2258</v>
      </c>
      <c r="D1012" s="670" t="s">
        <v>4255</v>
      </c>
      <c r="E1012" s="670" t="s">
        <v>4256</v>
      </c>
      <c r="F1012" s="670">
        <v>672.0</v>
      </c>
      <c r="G1012" s="670" t="s">
        <v>22</v>
      </c>
      <c r="H1012" s="670" t="s">
        <v>2261</v>
      </c>
      <c r="I1012" s="670" t="s">
        <v>2262</v>
      </c>
      <c r="J1012" s="671">
        <v>46234.0</v>
      </c>
    </row>
    <row r="1013">
      <c r="A1013" s="670">
        <v>1052.0</v>
      </c>
      <c r="B1013" s="670" t="s">
        <v>2257</v>
      </c>
      <c r="C1013" s="670" t="s">
        <v>2258</v>
      </c>
      <c r="D1013" s="670" t="s">
        <v>4257</v>
      </c>
      <c r="E1013" s="670" t="s">
        <v>4258</v>
      </c>
      <c r="F1013" s="670">
        <v>853.0</v>
      </c>
      <c r="G1013" s="670" t="s">
        <v>22</v>
      </c>
      <c r="H1013" s="670" t="s">
        <v>2261</v>
      </c>
      <c r="I1013" s="670" t="s">
        <v>2262</v>
      </c>
      <c r="J1013" s="671">
        <v>46234.0</v>
      </c>
    </row>
    <row r="1014">
      <c r="A1014" s="670">
        <v>1053.0</v>
      </c>
      <c r="B1014" s="670" t="s">
        <v>2257</v>
      </c>
      <c r="C1014" s="670" t="s">
        <v>2258</v>
      </c>
      <c r="D1014" s="670" t="s">
        <v>4259</v>
      </c>
      <c r="E1014" s="670" t="s">
        <v>4260</v>
      </c>
      <c r="F1014" s="670">
        <v>1052.0</v>
      </c>
      <c r="G1014" s="670" t="s">
        <v>22</v>
      </c>
      <c r="H1014" s="670" t="s">
        <v>2261</v>
      </c>
      <c r="I1014" s="670" t="s">
        <v>2262</v>
      </c>
      <c r="J1014" s="671">
        <v>46234.0</v>
      </c>
    </row>
    <row r="1015">
      <c r="A1015" s="670">
        <v>1054.0</v>
      </c>
      <c r="B1015" s="670" t="s">
        <v>2257</v>
      </c>
      <c r="C1015" s="670" t="s">
        <v>2258</v>
      </c>
      <c r="D1015" s="670" t="s">
        <v>4261</v>
      </c>
      <c r="E1015" s="670" t="s">
        <v>4262</v>
      </c>
      <c r="F1015" s="670">
        <v>1328.0</v>
      </c>
      <c r="G1015" s="670" t="s">
        <v>22</v>
      </c>
      <c r="H1015" s="670" t="s">
        <v>2261</v>
      </c>
      <c r="I1015" s="670" t="s">
        <v>2262</v>
      </c>
      <c r="J1015" s="671">
        <v>46234.0</v>
      </c>
    </row>
    <row r="1016">
      <c r="A1016" s="670">
        <v>1055.0</v>
      </c>
      <c r="B1016" s="670" t="s">
        <v>2257</v>
      </c>
      <c r="C1016" s="670" t="s">
        <v>2258</v>
      </c>
      <c r="D1016" s="670" t="s">
        <v>4263</v>
      </c>
      <c r="E1016" s="670" t="s">
        <v>4264</v>
      </c>
      <c r="F1016" s="670">
        <v>1636.0</v>
      </c>
      <c r="G1016" s="670" t="s">
        <v>22</v>
      </c>
      <c r="H1016" s="670" t="s">
        <v>2261</v>
      </c>
      <c r="I1016" s="670" t="s">
        <v>2262</v>
      </c>
      <c r="J1016" s="671">
        <v>46234.0</v>
      </c>
    </row>
    <row r="1017">
      <c r="A1017" s="670">
        <v>1056.0</v>
      </c>
      <c r="B1017" s="670" t="s">
        <v>2257</v>
      </c>
      <c r="C1017" s="670" t="s">
        <v>2258</v>
      </c>
      <c r="D1017" s="670" t="s">
        <v>4265</v>
      </c>
      <c r="E1017" s="670" t="s">
        <v>4266</v>
      </c>
      <c r="F1017" s="670">
        <v>2051.0</v>
      </c>
      <c r="G1017" s="670" t="s">
        <v>22</v>
      </c>
      <c r="H1017" s="670" t="s">
        <v>2261</v>
      </c>
      <c r="I1017" s="670" t="s">
        <v>2262</v>
      </c>
      <c r="J1017" s="671">
        <v>46234.0</v>
      </c>
    </row>
    <row r="1018">
      <c r="A1018" s="670">
        <v>1057.0</v>
      </c>
      <c r="B1018" s="670" t="s">
        <v>2257</v>
      </c>
      <c r="C1018" s="670" t="s">
        <v>2258</v>
      </c>
      <c r="D1018" s="670" t="s">
        <v>4267</v>
      </c>
      <c r="E1018" s="670" t="s">
        <v>4268</v>
      </c>
      <c r="F1018" s="670">
        <v>2599.0</v>
      </c>
      <c r="G1018" s="670" t="s">
        <v>22</v>
      </c>
      <c r="H1018" s="670" t="s">
        <v>2261</v>
      </c>
      <c r="I1018" s="670" t="s">
        <v>2262</v>
      </c>
      <c r="J1018" s="671">
        <v>46234.0</v>
      </c>
    </row>
    <row r="1019">
      <c r="A1019" s="670">
        <v>1058.0</v>
      </c>
      <c r="B1019" s="670" t="s">
        <v>2257</v>
      </c>
      <c r="C1019" s="670" t="s">
        <v>2258</v>
      </c>
      <c r="D1019" s="670" t="s">
        <v>4269</v>
      </c>
      <c r="E1019" s="670" t="s">
        <v>4270</v>
      </c>
      <c r="F1019" s="670">
        <v>3775.0</v>
      </c>
      <c r="G1019" s="670" t="s">
        <v>22</v>
      </c>
      <c r="H1019" s="670" t="s">
        <v>2261</v>
      </c>
      <c r="I1019" s="670" t="s">
        <v>2262</v>
      </c>
      <c r="J1019" s="671">
        <v>46234.0</v>
      </c>
    </row>
    <row r="1020">
      <c r="A1020" s="670">
        <v>1059.0</v>
      </c>
      <c r="B1020" s="670" t="s">
        <v>2257</v>
      </c>
      <c r="C1020" s="670" t="s">
        <v>2258</v>
      </c>
      <c r="D1020" s="670" t="s">
        <v>4271</v>
      </c>
      <c r="E1020" s="670" t="s">
        <v>4272</v>
      </c>
      <c r="F1020" s="670">
        <v>4810.0</v>
      </c>
      <c r="G1020" s="670" t="s">
        <v>22</v>
      </c>
      <c r="H1020" s="670" t="s">
        <v>2261</v>
      </c>
      <c r="I1020" s="670" t="s">
        <v>2262</v>
      </c>
      <c r="J1020" s="671">
        <v>46234.0</v>
      </c>
    </row>
    <row r="1021">
      <c r="A1021" s="670">
        <v>1060.0</v>
      </c>
      <c r="B1021" s="670" t="s">
        <v>2257</v>
      </c>
      <c r="C1021" s="670" t="s">
        <v>2258</v>
      </c>
      <c r="D1021" s="670" t="s">
        <v>4273</v>
      </c>
      <c r="E1021" s="670" t="s">
        <v>4274</v>
      </c>
      <c r="F1021" s="670">
        <v>6067.0</v>
      </c>
      <c r="G1021" s="670" t="s">
        <v>22</v>
      </c>
      <c r="H1021" s="670" t="s">
        <v>2261</v>
      </c>
      <c r="I1021" s="670" t="s">
        <v>2262</v>
      </c>
      <c r="J1021" s="671">
        <v>46234.0</v>
      </c>
    </row>
    <row r="1022">
      <c r="A1022" s="670">
        <v>1061.0</v>
      </c>
      <c r="B1022" s="670" t="s">
        <v>2257</v>
      </c>
      <c r="C1022" s="670" t="s">
        <v>2258</v>
      </c>
      <c r="D1022" s="670" t="s">
        <v>4275</v>
      </c>
      <c r="E1022" s="670" t="s">
        <v>4276</v>
      </c>
      <c r="F1022" s="670">
        <v>7496.0</v>
      </c>
      <c r="G1022" s="670" t="s">
        <v>22</v>
      </c>
      <c r="H1022" s="670" t="s">
        <v>2261</v>
      </c>
      <c r="I1022" s="670" t="s">
        <v>2262</v>
      </c>
      <c r="J1022" s="671">
        <v>46234.0</v>
      </c>
    </row>
    <row r="1023">
      <c r="A1023" s="670">
        <v>1062.0</v>
      </c>
      <c r="B1023" s="670" t="s">
        <v>2257</v>
      </c>
      <c r="C1023" s="670" t="s">
        <v>2258</v>
      </c>
      <c r="D1023" s="670" t="s">
        <v>4277</v>
      </c>
      <c r="E1023" s="670" t="s">
        <v>4278</v>
      </c>
      <c r="F1023" s="670">
        <v>9394.0</v>
      </c>
      <c r="G1023" s="670" t="s">
        <v>22</v>
      </c>
      <c r="H1023" s="670" t="s">
        <v>2261</v>
      </c>
      <c r="I1023" s="670" t="s">
        <v>2262</v>
      </c>
      <c r="J1023" s="671">
        <v>46234.0</v>
      </c>
    </row>
    <row r="1024">
      <c r="A1024" s="670">
        <v>1063.0</v>
      </c>
      <c r="B1024" s="670" t="s">
        <v>2257</v>
      </c>
      <c r="C1024" s="670" t="s">
        <v>2258</v>
      </c>
      <c r="D1024" s="670" t="s">
        <v>4279</v>
      </c>
      <c r="E1024" s="670" t="s">
        <v>4280</v>
      </c>
      <c r="F1024" s="670">
        <v>11898.0</v>
      </c>
      <c r="G1024" s="670" t="s">
        <v>22</v>
      </c>
      <c r="H1024" s="670" t="s">
        <v>2261</v>
      </c>
      <c r="I1024" s="670" t="s">
        <v>2262</v>
      </c>
      <c r="J1024" s="671">
        <v>46234.0</v>
      </c>
    </row>
    <row r="1025">
      <c r="A1025" s="670">
        <v>1064.0</v>
      </c>
      <c r="B1025" s="670" t="s">
        <v>2257</v>
      </c>
      <c r="C1025" s="670" t="s">
        <v>2258</v>
      </c>
      <c r="D1025" s="670" t="s">
        <v>4281</v>
      </c>
      <c r="E1025" s="670" t="s">
        <v>4282</v>
      </c>
      <c r="F1025" s="670">
        <v>80.0</v>
      </c>
      <c r="G1025" s="670" t="s">
        <v>22</v>
      </c>
      <c r="H1025" s="670" t="s">
        <v>2261</v>
      </c>
      <c r="I1025" s="670" t="s">
        <v>2262</v>
      </c>
      <c r="J1025" s="671">
        <v>46234.0</v>
      </c>
    </row>
    <row r="1026">
      <c r="A1026" s="670">
        <v>1065.0</v>
      </c>
      <c r="B1026" s="670" t="s">
        <v>2257</v>
      </c>
      <c r="C1026" s="670" t="s">
        <v>2258</v>
      </c>
      <c r="D1026" s="670" t="s">
        <v>4283</v>
      </c>
      <c r="E1026" s="670" t="s">
        <v>4284</v>
      </c>
      <c r="F1026" s="670">
        <v>127.0</v>
      </c>
      <c r="G1026" s="670" t="s">
        <v>22</v>
      </c>
      <c r="H1026" s="670" t="s">
        <v>2261</v>
      </c>
      <c r="I1026" s="670" t="s">
        <v>2262</v>
      </c>
      <c r="J1026" s="671">
        <v>46234.0</v>
      </c>
    </row>
    <row r="1027">
      <c r="A1027" s="670">
        <v>1066.0</v>
      </c>
      <c r="B1027" s="670" t="s">
        <v>2257</v>
      </c>
      <c r="C1027" s="670" t="s">
        <v>2258</v>
      </c>
      <c r="D1027" s="670" t="s">
        <v>4285</v>
      </c>
      <c r="E1027" s="670" t="s">
        <v>4286</v>
      </c>
      <c r="F1027" s="670">
        <v>180.0</v>
      </c>
      <c r="G1027" s="670" t="s">
        <v>22</v>
      </c>
      <c r="H1027" s="670" t="s">
        <v>2261</v>
      </c>
      <c r="I1027" s="670" t="s">
        <v>2262</v>
      </c>
      <c r="J1027" s="671">
        <v>46234.0</v>
      </c>
    </row>
    <row r="1028">
      <c r="A1028" s="670">
        <v>1067.0</v>
      </c>
      <c r="B1028" s="670" t="s">
        <v>2257</v>
      </c>
      <c r="C1028" s="670" t="s">
        <v>2258</v>
      </c>
      <c r="D1028" s="670" t="s">
        <v>4287</v>
      </c>
      <c r="E1028" s="670" t="s">
        <v>4288</v>
      </c>
      <c r="F1028" s="670">
        <v>258.0</v>
      </c>
      <c r="G1028" s="670" t="s">
        <v>22</v>
      </c>
      <c r="H1028" s="670" t="s">
        <v>2261</v>
      </c>
      <c r="I1028" s="670" t="s">
        <v>2262</v>
      </c>
      <c r="J1028" s="671">
        <v>46234.0</v>
      </c>
    </row>
    <row r="1029">
      <c r="A1029" s="670">
        <v>1068.0</v>
      </c>
      <c r="B1029" s="670" t="s">
        <v>2257</v>
      </c>
      <c r="C1029" s="670" t="s">
        <v>2258</v>
      </c>
      <c r="D1029" s="670" t="s">
        <v>4289</v>
      </c>
      <c r="E1029" s="670" t="s">
        <v>4290</v>
      </c>
      <c r="F1029" s="670">
        <v>383.0</v>
      </c>
      <c r="G1029" s="670" t="s">
        <v>22</v>
      </c>
      <c r="H1029" s="670" t="s">
        <v>2261</v>
      </c>
      <c r="I1029" s="670" t="s">
        <v>2262</v>
      </c>
      <c r="J1029" s="671">
        <v>46234.0</v>
      </c>
    </row>
    <row r="1030">
      <c r="A1030" s="670">
        <v>1069.0</v>
      </c>
      <c r="B1030" s="670" t="s">
        <v>2257</v>
      </c>
      <c r="C1030" s="670" t="s">
        <v>2258</v>
      </c>
      <c r="D1030" s="670" t="s">
        <v>4291</v>
      </c>
      <c r="E1030" s="670" t="s">
        <v>4292</v>
      </c>
      <c r="F1030" s="670">
        <v>497.0</v>
      </c>
      <c r="G1030" s="670" t="s">
        <v>22</v>
      </c>
      <c r="H1030" s="670" t="s">
        <v>2261</v>
      </c>
      <c r="I1030" s="670" t="s">
        <v>2262</v>
      </c>
      <c r="J1030" s="671">
        <v>46234.0</v>
      </c>
    </row>
    <row r="1031">
      <c r="A1031" s="670">
        <v>1070.0</v>
      </c>
      <c r="B1031" s="670" t="s">
        <v>2257</v>
      </c>
      <c r="C1031" s="670" t="s">
        <v>2258</v>
      </c>
      <c r="D1031" s="670" t="s">
        <v>4293</v>
      </c>
      <c r="E1031" s="670" t="s">
        <v>4294</v>
      </c>
      <c r="F1031" s="670">
        <v>624.0</v>
      </c>
      <c r="G1031" s="670" t="s">
        <v>22</v>
      </c>
      <c r="H1031" s="670" t="s">
        <v>2261</v>
      </c>
      <c r="I1031" s="670" t="s">
        <v>2262</v>
      </c>
      <c r="J1031" s="671">
        <v>46234.0</v>
      </c>
    </row>
    <row r="1032">
      <c r="A1032" s="670">
        <v>1071.0</v>
      </c>
      <c r="B1032" s="670" t="s">
        <v>2257</v>
      </c>
      <c r="C1032" s="670" t="s">
        <v>2258</v>
      </c>
      <c r="D1032" s="670" t="s">
        <v>4295</v>
      </c>
      <c r="E1032" s="670" t="s">
        <v>4296</v>
      </c>
      <c r="F1032" s="670">
        <v>814.0</v>
      </c>
      <c r="G1032" s="670" t="s">
        <v>22</v>
      </c>
      <c r="H1032" s="670" t="s">
        <v>2261</v>
      </c>
      <c r="I1032" s="670" t="s">
        <v>2262</v>
      </c>
      <c r="J1032" s="671">
        <v>46234.0</v>
      </c>
    </row>
    <row r="1033">
      <c r="A1033" s="670">
        <v>1072.0</v>
      </c>
      <c r="B1033" s="670" t="s">
        <v>2257</v>
      </c>
      <c r="C1033" s="670" t="s">
        <v>2258</v>
      </c>
      <c r="D1033" s="670" t="s">
        <v>4297</v>
      </c>
      <c r="E1033" s="670" t="s">
        <v>4298</v>
      </c>
      <c r="F1033" s="670">
        <v>1029.0</v>
      </c>
      <c r="G1033" s="670" t="s">
        <v>22</v>
      </c>
      <c r="H1033" s="670" t="s">
        <v>2261</v>
      </c>
      <c r="I1033" s="670" t="s">
        <v>2262</v>
      </c>
      <c r="J1033" s="671">
        <v>46234.0</v>
      </c>
    </row>
    <row r="1034">
      <c r="A1034" s="670">
        <v>1073.0</v>
      </c>
      <c r="B1034" s="670" t="s">
        <v>2257</v>
      </c>
      <c r="C1034" s="670" t="s">
        <v>2258</v>
      </c>
      <c r="D1034" s="670" t="s">
        <v>4299</v>
      </c>
      <c r="E1034" s="670" t="s">
        <v>4300</v>
      </c>
      <c r="F1034" s="670">
        <v>1270.0</v>
      </c>
      <c r="G1034" s="670" t="s">
        <v>22</v>
      </c>
      <c r="H1034" s="670" t="s">
        <v>2261</v>
      </c>
      <c r="I1034" s="670" t="s">
        <v>2262</v>
      </c>
      <c r="J1034" s="671">
        <v>46234.0</v>
      </c>
    </row>
    <row r="1035">
      <c r="A1035" s="670">
        <v>1074.0</v>
      </c>
      <c r="B1035" s="670" t="s">
        <v>2257</v>
      </c>
      <c r="C1035" s="670" t="s">
        <v>2258</v>
      </c>
      <c r="D1035" s="670" t="s">
        <v>4301</v>
      </c>
      <c r="E1035" s="670" t="s">
        <v>4302</v>
      </c>
      <c r="F1035" s="670">
        <v>1607.0</v>
      </c>
      <c r="G1035" s="670" t="s">
        <v>22</v>
      </c>
      <c r="H1035" s="670" t="s">
        <v>2261</v>
      </c>
      <c r="I1035" s="670" t="s">
        <v>2262</v>
      </c>
      <c r="J1035" s="671">
        <v>46234.0</v>
      </c>
    </row>
    <row r="1036">
      <c r="A1036" s="670">
        <v>1075.0</v>
      </c>
      <c r="B1036" s="670" t="s">
        <v>2257</v>
      </c>
      <c r="C1036" s="670" t="s">
        <v>2258</v>
      </c>
      <c r="D1036" s="670" t="s">
        <v>4303</v>
      </c>
      <c r="E1036" s="670" t="s">
        <v>4304</v>
      </c>
      <c r="F1036" s="670">
        <v>1984.0</v>
      </c>
      <c r="G1036" s="670" t="s">
        <v>22</v>
      </c>
      <c r="H1036" s="670" t="s">
        <v>2261</v>
      </c>
      <c r="I1036" s="670" t="s">
        <v>2262</v>
      </c>
      <c r="J1036" s="671">
        <v>46234.0</v>
      </c>
    </row>
    <row r="1037">
      <c r="A1037" s="670">
        <v>1076.0</v>
      </c>
      <c r="B1037" s="670" t="s">
        <v>2257</v>
      </c>
      <c r="C1037" s="670" t="s">
        <v>2258</v>
      </c>
      <c r="D1037" s="670" t="s">
        <v>4305</v>
      </c>
      <c r="E1037" s="670" t="s">
        <v>4306</v>
      </c>
      <c r="F1037" s="670">
        <v>2487.0</v>
      </c>
      <c r="G1037" s="670" t="s">
        <v>22</v>
      </c>
      <c r="H1037" s="670" t="s">
        <v>2261</v>
      </c>
      <c r="I1037" s="670" t="s">
        <v>2262</v>
      </c>
      <c r="J1037" s="671">
        <v>46234.0</v>
      </c>
    </row>
    <row r="1038">
      <c r="A1038" s="670">
        <v>1077.0</v>
      </c>
      <c r="B1038" s="670" t="s">
        <v>2257</v>
      </c>
      <c r="C1038" s="670" t="s">
        <v>2258</v>
      </c>
      <c r="D1038" s="670" t="s">
        <v>4307</v>
      </c>
      <c r="E1038" s="670" t="s">
        <v>4308</v>
      </c>
      <c r="F1038" s="670">
        <v>3147.0</v>
      </c>
      <c r="G1038" s="670" t="s">
        <v>22</v>
      </c>
      <c r="H1038" s="670" t="s">
        <v>2261</v>
      </c>
      <c r="I1038" s="670" t="s">
        <v>2262</v>
      </c>
      <c r="J1038" s="671">
        <v>46234.0</v>
      </c>
    </row>
    <row r="1039">
      <c r="A1039" s="670">
        <v>1078.0</v>
      </c>
      <c r="B1039" s="670" t="s">
        <v>2257</v>
      </c>
      <c r="C1039" s="670" t="s">
        <v>2258</v>
      </c>
      <c r="D1039" s="670" t="s">
        <v>4309</v>
      </c>
      <c r="E1039" s="670" t="s">
        <v>4310</v>
      </c>
      <c r="F1039" s="670">
        <v>4577.0</v>
      </c>
      <c r="G1039" s="670" t="s">
        <v>22</v>
      </c>
      <c r="H1039" s="670" t="s">
        <v>2261</v>
      </c>
      <c r="I1039" s="670" t="s">
        <v>2262</v>
      </c>
      <c r="J1039" s="671">
        <v>46234.0</v>
      </c>
    </row>
    <row r="1040">
      <c r="A1040" s="670">
        <v>1079.0</v>
      </c>
      <c r="B1040" s="670" t="s">
        <v>2257</v>
      </c>
      <c r="C1040" s="670" t="s">
        <v>2258</v>
      </c>
      <c r="D1040" s="670" t="s">
        <v>4311</v>
      </c>
      <c r="E1040" s="670" t="s">
        <v>4312</v>
      </c>
      <c r="F1040" s="670">
        <v>5810.0</v>
      </c>
      <c r="G1040" s="670" t="s">
        <v>22</v>
      </c>
      <c r="H1040" s="670" t="s">
        <v>2261</v>
      </c>
      <c r="I1040" s="670" t="s">
        <v>2262</v>
      </c>
      <c r="J1040" s="671">
        <v>46234.0</v>
      </c>
    </row>
    <row r="1041">
      <c r="A1041" s="670">
        <v>1080.0</v>
      </c>
      <c r="B1041" s="670" t="s">
        <v>2257</v>
      </c>
      <c r="C1041" s="670" t="s">
        <v>2258</v>
      </c>
      <c r="D1041" s="670" t="s">
        <v>4313</v>
      </c>
      <c r="E1041" s="670" t="s">
        <v>4314</v>
      </c>
      <c r="F1041" s="670">
        <v>7349.0</v>
      </c>
      <c r="G1041" s="670" t="s">
        <v>22</v>
      </c>
      <c r="H1041" s="670" t="s">
        <v>2261</v>
      </c>
      <c r="I1041" s="670" t="s">
        <v>2262</v>
      </c>
      <c r="J1041" s="671">
        <v>46234.0</v>
      </c>
    </row>
    <row r="1042">
      <c r="A1042" s="670">
        <v>1081.0</v>
      </c>
      <c r="B1042" s="670" t="s">
        <v>2257</v>
      </c>
      <c r="C1042" s="670" t="s">
        <v>2258</v>
      </c>
      <c r="D1042" s="670" t="s">
        <v>4315</v>
      </c>
      <c r="E1042" s="670" t="s">
        <v>4316</v>
      </c>
      <c r="F1042" s="670">
        <v>9085.0</v>
      </c>
      <c r="G1042" s="670" t="s">
        <v>22</v>
      </c>
      <c r="H1042" s="670" t="s">
        <v>2261</v>
      </c>
      <c r="I1042" s="670" t="s">
        <v>2262</v>
      </c>
      <c r="J1042" s="671">
        <v>46234.0</v>
      </c>
    </row>
    <row r="1043">
      <c r="A1043" s="670">
        <v>1082.0</v>
      </c>
      <c r="B1043" s="670" t="s">
        <v>2257</v>
      </c>
      <c r="C1043" s="670" t="s">
        <v>2258</v>
      </c>
      <c r="D1043" s="670" t="s">
        <v>4317</v>
      </c>
      <c r="E1043" s="670" t="s">
        <v>4318</v>
      </c>
      <c r="F1043" s="670">
        <v>11379.0</v>
      </c>
      <c r="G1043" s="670" t="s">
        <v>22</v>
      </c>
      <c r="H1043" s="670" t="s">
        <v>2261</v>
      </c>
      <c r="I1043" s="670" t="s">
        <v>2262</v>
      </c>
      <c r="J1043" s="671">
        <v>46234.0</v>
      </c>
    </row>
    <row r="1044">
      <c r="A1044" s="670">
        <v>1083.0</v>
      </c>
      <c r="B1044" s="670" t="s">
        <v>2257</v>
      </c>
      <c r="C1044" s="670" t="s">
        <v>2258</v>
      </c>
      <c r="D1044" s="670" t="s">
        <v>4319</v>
      </c>
      <c r="E1044" s="670" t="s">
        <v>4296</v>
      </c>
      <c r="F1044" s="670">
        <v>14404.0</v>
      </c>
      <c r="G1044" s="670" t="s">
        <v>22</v>
      </c>
      <c r="H1044" s="670" t="s">
        <v>2261</v>
      </c>
      <c r="I1044" s="670" t="s">
        <v>2262</v>
      </c>
      <c r="J1044" s="671">
        <v>46234.0</v>
      </c>
    </row>
    <row r="1045">
      <c r="A1045" s="670">
        <v>1084.0</v>
      </c>
      <c r="B1045" s="670" t="s">
        <v>2257</v>
      </c>
      <c r="C1045" s="670" t="s">
        <v>2258</v>
      </c>
      <c r="D1045" s="670" t="s">
        <v>4320</v>
      </c>
      <c r="E1045" s="670" t="s">
        <v>4321</v>
      </c>
      <c r="F1045" s="670">
        <v>95.0</v>
      </c>
      <c r="G1045" s="670" t="s">
        <v>22</v>
      </c>
      <c r="H1045" s="670" t="s">
        <v>2261</v>
      </c>
      <c r="I1045" s="670" t="s">
        <v>2262</v>
      </c>
      <c r="J1045" s="671">
        <v>46234.0</v>
      </c>
    </row>
    <row r="1046">
      <c r="A1046" s="670">
        <v>1085.0</v>
      </c>
      <c r="B1046" s="670" t="s">
        <v>2257</v>
      </c>
      <c r="C1046" s="670" t="s">
        <v>2258</v>
      </c>
      <c r="D1046" s="670" t="s">
        <v>4322</v>
      </c>
      <c r="E1046" s="670" t="s">
        <v>4323</v>
      </c>
      <c r="F1046" s="670">
        <v>150.0</v>
      </c>
      <c r="G1046" s="670" t="s">
        <v>22</v>
      </c>
      <c r="H1046" s="670" t="s">
        <v>2261</v>
      </c>
      <c r="I1046" s="670" t="s">
        <v>2262</v>
      </c>
      <c r="J1046" s="671">
        <v>46234.0</v>
      </c>
    </row>
    <row r="1047">
      <c r="A1047" s="670">
        <v>1086.0</v>
      </c>
      <c r="B1047" s="670" t="s">
        <v>2257</v>
      </c>
      <c r="C1047" s="670" t="s">
        <v>2258</v>
      </c>
      <c r="D1047" s="670" t="s">
        <v>4324</v>
      </c>
      <c r="E1047" s="670" t="s">
        <v>4325</v>
      </c>
      <c r="F1047" s="670">
        <v>215.0</v>
      </c>
      <c r="G1047" s="670" t="s">
        <v>22</v>
      </c>
      <c r="H1047" s="670" t="s">
        <v>2261</v>
      </c>
      <c r="I1047" s="670" t="s">
        <v>2262</v>
      </c>
      <c r="J1047" s="671">
        <v>46234.0</v>
      </c>
    </row>
    <row r="1048">
      <c r="A1048" s="670">
        <v>1087.0</v>
      </c>
      <c r="B1048" s="670" t="s">
        <v>2257</v>
      </c>
      <c r="C1048" s="670" t="s">
        <v>2258</v>
      </c>
      <c r="D1048" s="670" t="s">
        <v>4326</v>
      </c>
      <c r="E1048" s="670" t="s">
        <v>4327</v>
      </c>
      <c r="F1048" s="670">
        <v>306.0</v>
      </c>
      <c r="G1048" s="670" t="s">
        <v>22</v>
      </c>
      <c r="H1048" s="670" t="s">
        <v>2261</v>
      </c>
      <c r="I1048" s="670" t="s">
        <v>2262</v>
      </c>
      <c r="J1048" s="671">
        <v>46234.0</v>
      </c>
    </row>
    <row r="1049">
      <c r="A1049" s="670">
        <v>1088.0</v>
      </c>
      <c r="B1049" s="670" t="s">
        <v>2257</v>
      </c>
      <c r="C1049" s="670" t="s">
        <v>2258</v>
      </c>
      <c r="D1049" s="670" t="s">
        <v>4328</v>
      </c>
      <c r="E1049" s="670" t="s">
        <v>4329</v>
      </c>
      <c r="F1049" s="670">
        <v>461.0</v>
      </c>
      <c r="G1049" s="670" t="s">
        <v>22</v>
      </c>
      <c r="H1049" s="670" t="s">
        <v>2261</v>
      </c>
      <c r="I1049" s="670" t="s">
        <v>2262</v>
      </c>
      <c r="J1049" s="671">
        <v>46234.0</v>
      </c>
    </row>
    <row r="1050">
      <c r="A1050" s="670">
        <v>1089.0</v>
      </c>
      <c r="B1050" s="670" t="s">
        <v>2257</v>
      </c>
      <c r="C1050" s="670" t="s">
        <v>2258</v>
      </c>
      <c r="D1050" s="670" t="s">
        <v>4330</v>
      </c>
      <c r="E1050" s="670" t="s">
        <v>4331</v>
      </c>
      <c r="F1050" s="670">
        <v>591.0</v>
      </c>
      <c r="G1050" s="670" t="s">
        <v>22</v>
      </c>
      <c r="H1050" s="670" t="s">
        <v>2261</v>
      </c>
      <c r="I1050" s="670" t="s">
        <v>2262</v>
      </c>
      <c r="J1050" s="671">
        <v>46234.0</v>
      </c>
    </row>
    <row r="1051">
      <c r="A1051" s="670">
        <v>1090.0</v>
      </c>
      <c r="B1051" s="670" t="s">
        <v>2257</v>
      </c>
      <c r="C1051" s="670" t="s">
        <v>2258</v>
      </c>
      <c r="D1051" s="670" t="s">
        <v>4332</v>
      </c>
      <c r="E1051" s="670" t="s">
        <v>4333</v>
      </c>
      <c r="F1051" s="670">
        <v>743.0</v>
      </c>
      <c r="G1051" s="670" t="s">
        <v>22</v>
      </c>
      <c r="H1051" s="670" t="s">
        <v>2261</v>
      </c>
      <c r="I1051" s="670" t="s">
        <v>2262</v>
      </c>
      <c r="J1051" s="671">
        <v>46234.0</v>
      </c>
    </row>
    <row r="1052">
      <c r="A1052" s="670">
        <v>1091.0</v>
      </c>
      <c r="B1052" s="670" t="s">
        <v>2257</v>
      </c>
      <c r="C1052" s="670" t="s">
        <v>2258</v>
      </c>
      <c r="D1052" s="670" t="s">
        <v>4334</v>
      </c>
      <c r="E1052" s="670" t="s">
        <v>4335</v>
      </c>
      <c r="F1052" s="670">
        <v>969.0</v>
      </c>
      <c r="G1052" s="670" t="s">
        <v>22</v>
      </c>
      <c r="H1052" s="670" t="s">
        <v>2261</v>
      </c>
      <c r="I1052" s="670" t="s">
        <v>2262</v>
      </c>
      <c r="J1052" s="671">
        <v>46234.0</v>
      </c>
    </row>
    <row r="1053">
      <c r="A1053" s="670">
        <v>1092.0</v>
      </c>
      <c r="B1053" s="670" t="s">
        <v>2257</v>
      </c>
      <c r="C1053" s="670" t="s">
        <v>2258</v>
      </c>
      <c r="D1053" s="670" t="s">
        <v>4336</v>
      </c>
      <c r="E1053" s="670" t="s">
        <v>4337</v>
      </c>
      <c r="F1053" s="670">
        <v>1224.0</v>
      </c>
      <c r="G1053" s="670" t="s">
        <v>22</v>
      </c>
      <c r="H1053" s="670" t="s">
        <v>2261</v>
      </c>
      <c r="I1053" s="670" t="s">
        <v>2262</v>
      </c>
      <c r="J1053" s="671">
        <v>46234.0</v>
      </c>
    </row>
    <row r="1054">
      <c r="A1054" s="670">
        <v>1093.0</v>
      </c>
      <c r="B1054" s="670" t="s">
        <v>2257</v>
      </c>
      <c r="C1054" s="670" t="s">
        <v>2258</v>
      </c>
      <c r="D1054" s="670" t="s">
        <v>4338</v>
      </c>
      <c r="E1054" s="670" t="s">
        <v>4339</v>
      </c>
      <c r="F1054" s="670">
        <v>1517.0</v>
      </c>
      <c r="G1054" s="670" t="s">
        <v>22</v>
      </c>
      <c r="H1054" s="670" t="s">
        <v>2261</v>
      </c>
      <c r="I1054" s="670" t="s">
        <v>2262</v>
      </c>
      <c r="J1054" s="671">
        <v>46234.0</v>
      </c>
    </row>
    <row r="1055">
      <c r="A1055" s="670">
        <v>1094.0</v>
      </c>
      <c r="B1055" s="670" t="s">
        <v>2257</v>
      </c>
      <c r="C1055" s="670" t="s">
        <v>2258</v>
      </c>
      <c r="D1055" s="670" t="s">
        <v>4340</v>
      </c>
      <c r="E1055" s="670" t="s">
        <v>4341</v>
      </c>
      <c r="F1055" s="670">
        <v>1912.0</v>
      </c>
      <c r="G1055" s="670" t="s">
        <v>22</v>
      </c>
      <c r="H1055" s="670" t="s">
        <v>2261</v>
      </c>
      <c r="I1055" s="670" t="s">
        <v>2262</v>
      </c>
      <c r="J1055" s="671">
        <v>46234.0</v>
      </c>
    </row>
    <row r="1056">
      <c r="A1056" s="670">
        <v>1095.0</v>
      </c>
      <c r="B1056" s="670" t="s">
        <v>2257</v>
      </c>
      <c r="C1056" s="670" t="s">
        <v>2258</v>
      </c>
      <c r="D1056" s="670" t="s">
        <v>4342</v>
      </c>
      <c r="E1056" s="670" t="s">
        <v>4343</v>
      </c>
      <c r="F1056" s="670">
        <v>2362.0</v>
      </c>
      <c r="G1056" s="670" t="s">
        <v>22</v>
      </c>
      <c r="H1056" s="670" t="s">
        <v>2261</v>
      </c>
      <c r="I1056" s="670" t="s">
        <v>2262</v>
      </c>
      <c r="J1056" s="671">
        <v>46234.0</v>
      </c>
    </row>
    <row r="1057">
      <c r="A1057" s="670">
        <v>1096.0</v>
      </c>
      <c r="B1057" s="670" t="s">
        <v>2257</v>
      </c>
      <c r="C1057" s="670" t="s">
        <v>2258</v>
      </c>
      <c r="D1057" s="670" t="s">
        <v>4344</v>
      </c>
      <c r="E1057" s="670" t="s">
        <v>4345</v>
      </c>
      <c r="F1057" s="670">
        <v>2970.0</v>
      </c>
      <c r="G1057" s="670" t="s">
        <v>22</v>
      </c>
      <c r="H1057" s="670" t="s">
        <v>2261</v>
      </c>
      <c r="I1057" s="670" t="s">
        <v>2262</v>
      </c>
      <c r="J1057" s="671">
        <v>46234.0</v>
      </c>
    </row>
    <row r="1058">
      <c r="A1058" s="670">
        <v>1097.0</v>
      </c>
      <c r="B1058" s="670" t="s">
        <v>2257</v>
      </c>
      <c r="C1058" s="670" t="s">
        <v>2258</v>
      </c>
      <c r="D1058" s="670" t="s">
        <v>4346</v>
      </c>
      <c r="E1058" s="670" t="s">
        <v>4347</v>
      </c>
      <c r="F1058" s="670">
        <v>3745.0</v>
      </c>
      <c r="G1058" s="670" t="s">
        <v>22</v>
      </c>
      <c r="H1058" s="670" t="s">
        <v>2261</v>
      </c>
      <c r="I1058" s="670" t="s">
        <v>2262</v>
      </c>
      <c r="J1058" s="671">
        <v>46234.0</v>
      </c>
    </row>
    <row r="1059">
      <c r="A1059" s="670">
        <v>1098.0</v>
      </c>
      <c r="B1059" s="670" t="s">
        <v>2257</v>
      </c>
      <c r="C1059" s="670" t="s">
        <v>2258</v>
      </c>
      <c r="D1059" s="670" t="s">
        <v>4348</v>
      </c>
      <c r="E1059" s="670" t="s">
        <v>4349</v>
      </c>
      <c r="F1059" s="670">
        <v>5470.0</v>
      </c>
      <c r="G1059" s="670" t="s">
        <v>22</v>
      </c>
      <c r="H1059" s="670" t="s">
        <v>2261</v>
      </c>
      <c r="I1059" s="670" t="s">
        <v>2262</v>
      </c>
      <c r="J1059" s="671">
        <v>46234.0</v>
      </c>
    </row>
    <row r="1060">
      <c r="A1060" s="670">
        <v>1099.0</v>
      </c>
      <c r="B1060" s="670" t="s">
        <v>2257</v>
      </c>
      <c r="C1060" s="670" t="s">
        <v>2258</v>
      </c>
      <c r="D1060" s="670" t="s">
        <v>4350</v>
      </c>
      <c r="E1060" s="670" t="s">
        <v>4351</v>
      </c>
      <c r="F1060" s="670">
        <v>6941.0</v>
      </c>
      <c r="G1060" s="670" t="s">
        <v>22</v>
      </c>
      <c r="H1060" s="670" t="s">
        <v>2261</v>
      </c>
      <c r="I1060" s="670" t="s">
        <v>2262</v>
      </c>
      <c r="J1060" s="671">
        <v>46234.0</v>
      </c>
    </row>
    <row r="1061">
      <c r="A1061" s="670">
        <v>1100.0</v>
      </c>
      <c r="B1061" s="670" t="s">
        <v>2257</v>
      </c>
      <c r="C1061" s="670" t="s">
        <v>2258</v>
      </c>
      <c r="D1061" s="670" t="s">
        <v>4352</v>
      </c>
      <c r="E1061" s="670" t="s">
        <v>4353</v>
      </c>
      <c r="F1061" s="670">
        <v>8771.0</v>
      </c>
      <c r="G1061" s="670" t="s">
        <v>22</v>
      </c>
      <c r="H1061" s="670" t="s">
        <v>2261</v>
      </c>
      <c r="I1061" s="670" t="s">
        <v>2262</v>
      </c>
      <c r="J1061" s="671">
        <v>46234.0</v>
      </c>
    </row>
    <row r="1062">
      <c r="A1062" s="670">
        <v>1101.0</v>
      </c>
      <c r="B1062" s="670" t="s">
        <v>2257</v>
      </c>
      <c r="C1062" s="670" t="s">
        <v>2258</v>
      </c>
      <c r="D1062" s="670" t="s">
        <v>4354</v>
      </c>
      <c r="E1062" s="670" t="s">
        <v>4355</v>
      </c>
      <c r="F1062" s="670">
        <v>10838.0</v>
      </c>
      <c r="G1062" s="670" t="s">
        <v>22</v>
      </c>
      <c r="H1062" s="670" t="s">
        <v>2261</v>
      </c>
      <c r="I1062" s="670" t="s">
        <v>2262</v>
      </c>
      <c r="J1062" s="671">
        <v>46234.0</v>
      </c>
    </row>
    <row r="1063">
      <c r="A1063" s="670">
        <v>1102.0</v>
      </c>
      <c r="B1063" s="670" t="s">
        <v>2257</v>
      </c>
      <c r="C1063" s="670" t="s">
        <v>2258</v>
      </c>
      <c r="D1063" s="670" t="s">
        <v>4356</v>
      </c>
      <c r="E1063" s="670" t="s">
        <v>4357</v>
      </c>
      <c r="F1063" s="670">
        <v>26.0</v>
      </c>
      <c r="G1063" s="670" t="s">
        <v>22</v>
      </c>
      <c r="H1063" s="670" t="s">
        <v>2261</v>
      </c>
      <c r="I1063" s="670" t="s">
        <v>2262</v>
      </c>
      <c r="J1063" s="671">
        <v>46234.0</v>
      </c>
    </row>
    <row r="1064">
      <c r="A1064" s="670">
        <v>1103.0</v>
      </c>
      <c r="B1064" s="670" t="s">
        <v>2257</v>
      </c>
      <c r="C1064" s="670" t="s">
        <v>2258</v>
      </c>
      <c r="D1064" s="670" t="s">
        <v>4358</v>
      </c>
      <c r="E1064" s="670" t="s">
        <v>4359</v>
      </c>
      <c r="F1064" s="670">
        <v>39.0</v>
      </c>
      <c r="G1064" s="670" t="s">
        <v>22</v>
      </c>
      <c r="H1064" s="670" t="s">
        <v>2261</v>
      </c>
      <c r="I1064" s="670" t="s">
        <v>2262</v>
      </c>
      <c r="J1064" s="671">
        <v>46234.0</v>
      </c>
    </row>
    <row r="1065">
      <c r="A1065" s="670">
        <v>1104.0</v>
      </c>
      <c r="B1065" s="670" t="s">
        <v>2257</v>
      </c>
      <c r="C1065" s="670" t="s">
        <v>2258</v>
      </c>
      <c r="D1065" s="670" t="s">
        <v>4360</v>
      </c>
      <c r="E1065" s="670" t="s">
        <v>4361</v>
      </c>
      <c r="F1065" s="670">
        <v>64.0</v>
      </c>
      <c r="G1065" s="670" t="s">
        <v>22</v>
      </c>
      <c r="H1065" s="670" t="s">
        <v>2261</v>
      </c>
      <c r="I1065" s="670" t="s">
        <v>2262</v>
      </c>
      <c r="J1065" s="671">
        <v>46234.0</v>
      </c>
    </row>
    <row r="1066">
      <c r="A1066" s="670">
        <v>1105.0</v>
      </c>
      <c r="B1066" s="670" t="s">
        <v>2257</v>
      </c>
      <c r="C1066" s="670" t="s">
        <v>2258</v>
      </c>
      <c r="D1066" s="670" t="s">
        <v>4362</v>
      </c>
      <c r="E1066" s="670" t="s">
        <v>4363</v>
      </c>
      <c r="F1066" s="670">
        <v>90.0</v>
      </c>
      <c r="G1066" s="670" t="s">
        <v>22</v>
      </c>
      <c r="H1066" s="670" t="s">
        <v>2261</v>
      </c>
      <c r="I1066" s="670" t="s">
        <v>2262</v>
      </c>
      <c r="J1066" s="671">
        <v>46234.0</v>
      </c>
    </row>
    <row r="1067">
      <c r="A1067" s="670">
        <v>1106.0</v>
      </c>
      <c r="B1067" s="670" t="s">
        <v>2257</v>
      </c>
      <c r="C1067" s="670" t="s">
        <v>2258</v>
      </c>
      <c r="D1067" s="670" t="s">
        <v>1762</v>
      </c>
      <c r="E1067" s="670" t="s">
        <v>1880</v>
      </c>
      <c r="F1067" s="670">
        <v>128.0</v>
      </c>
      <c r="G1067" s="670" t="s">
        <v>22</v>
      </c>
      <c r="H1067" s="670" t="s">
        <v>2261</v>
      </c>
      <c r="I1067" s="670" t="s">
        <v>2262</v>
      </c>
      <c r="J1067" s="671">
        <v>46234.0</v>
      </c>
    </row>
    <row r="1068">
      <c r="A1068" s="670">
        <v>1107.0</v>
      </c>
      <c r="B1068" s="670" t="s">
        <v>2257</v>
      </c>
      <c r="C1068" s="670" t="s">
        <v>2258</v>
      </c>
      <c r="D1068" s="670" t="s">
        <v>767</v>
      </c>
      <c r="E1068" s="670" t="s">
        <v>768</v>
      </c>
      <c r="F1068" s="670">
        <v>180.0</v>
      </c>
      <c r="G1068" s="670" t="s">
        <v>22</v>
      </c>
      <c r="H1068" s="670" t="s">
        <v>2261</v>
      </c>
      <c r="I1068" s="670" t="s">
        <v>2262</v>
      </c>
      <c r="J1068" s="671">
        <v>46234.0</v>
      </c>
    </row>
    <row r="1069">
      <c r="A1069" s="670">
        <v>1108.0</v>
      </c>
      <c r="B1069" s="670" t="s">
        <v>2257</v>
      </c>
      <c r="C1069" s="670" t="s">
        <v>2258</v>
      </c>
      <c r="D1069" s="670" t="s">
        <v>18</v>
      </c>
      <c r="E1069" s="670" t="s">
        <v>2214</v>
      </c>
      <c r="F1069" s="670">
        <v>281.0</v>
      </c>
      <c r="G1069" s="670" t="s">
        <v>22</v>
      </c>
      <c r="H1069" s="670" t="s">
        <v>2261</v>
      </c>
      <c r="I1069" s="670" t="s">
        <v>2262</v>
      </c>
      <c r="J1069" s="671">
        <v>46234.0</v>
      </c>
    </row>
    <row r="1070">
      <c r="A1070" s="670">
        <v>1109.0</v>
      </c>
      <c r="B1070" s="670" t="s">
        <v>2257</v>
      </c>
      <c r="C1070" s="670" t="s">
        <v>2258</v>
      </c>
      <c r="D1070" s="670" t="s">
        <v>320</v>
      </c>
      <c r="E1070" s="670" t="s">
        <v>2197</v>
      </c>
      <c r="F1070" s="670">
        <v>387.0</v>
      </c>
      <c r="G1070" s="670" t="s">
        <v>22</v>
      </c>
      <c r="H1070" s="670" t="s">
        <v>2261</v>
      </c>
      <c r="I1070" s="670" t="s">
        <v>2262</v>
      </c>
      <c r="J1070" s="671">
        <v>46234.0</v>
      </c>
    </row>
    <row r="1071">
      <c r="A1071" s="670">
        <v>1110.0</v>
      </c>
      <c r="B1071" s="670" t="s">
        <v>2257</v>
      </c>
      <c r="C1071" s="670" t="s">
        <v>2258</v>
      </c>
      <c r="D1071" s="670" t="s">
        <v>2199</v>
      </c>
      <c r="E1071" s="670" t="s">
        <v>2200</v>
      </c>
      <c r="F1071" s="670">
        <v>586.0</v>
      </c>
      <c r="G1071" s="670" t="s">
        <v>22</v>
      </c>
      <c r="H1071" s="670" t="s">
        <v>2261</v>
      </c>
      <c r="I1071" s="670" t="s">
        <v>2262</v>
      </c>
      <c r="J1071" s="671">
        <v>46234.0</v>
      </c>
    </row>
    <row r="1072">
      <c r="A1072" s="670">
        <v>1111.0</v>
      </c>
      <c r="B1072" s="670" t="s">
        <v>2257</v>
      </c>
      <c r="C1072" s="670" t="s">
        <v>2258</v>
      </c>
      <c r="D1072" s="670" t="s">
        <v>4364</v>
      </c>
      <c r="E1072" s="670" t="s">
        <v>4365</v>
      </c>
      <c r="F1072" s="670">
        <v>22.0</v>
      </c>
      <c r="G1072" s="670" t="s">
        <v>22</v>
      </c>
      <c r="H1072" s="670" t="s">
        <v>2261</v>
      </c>
      <c r="I1072" s="670" t="s">
        <v>2262</v>
      </c>
      <c r="J1072" s="671">
        <v>46234.0</v>
      </c>
    </row>
    <row r="1073">
      <c r="A1073" s="670">
        <v>1112.0</v>
      </c>
      <c r="B1073" s="670" t="s">
        <v>2257</v>
      </c>
      <c r="C1073" s="670" t="s">
        <v>2258</v>
      </c>
      <c r="D1073" s="670" t="s">
        <v>4366</v>
      </c>
      <c r="E1073" s="670" t="s">
        <v>4367</v>
      </c>
      <c r="F1073" s="670">
        <v>32.0</v>
      </c>
      <c r="G1073" s="670" t="s">
        <v>22</v>
      </c>
      <c r="H1073" s="670" t="s">
        <v>2261</v>
      </c>
      <c r="I1073" s="670" t="s">
        <v>2262</v>
      </c>
      <c r="J1073" s="671">
        <v>46234.0</v>
      </c>
    </row>
    <row r="1074">
      <c r="A1074" s="670">
        <v>1113.0</v>
      </c>
      <c r="B1074" s="670" t="s">
        <v>2257</v>
      </c>
      <c r="C1074" s="670" t="s">
        <v>2258</v>
      </c>
      <c r="D1074" s="670" t="s">
        <v>4368</v>
      </c>
      <c r="E1074" s="670" t="s">
        <v>4369</v>
      </c>
      <c r="F1074" s="670">
        <v>48.0</v>
      </c>
      <c r="G1074" s="670" t="s">
        <v>22</v>
      </c>
      <c r="H1074" s="670" t="s">
        <v>2261</v>
      </c>
      <c r="I1074" s="670" t="s">
        <v>2262</v>
      </c>
      <c r="J1074" s="671">
        <v>46234.0</v>
      </c>
    </row>
    <row r="1075">
      <c r="A1075" s="670">
        <v>1114.0</v>
      </c>
      <c r="B1075" s="670" t="s">
        <v>2257</v>
      </c>
      <c r="C1075" s="670" t="s">
        <v>2258</v>
      </c>
      <c r="D1075" s="670" t="s">
        <v>4370</v>
      </c>
      <c r="E1075" s="670" t="s">
        <v>4371</v>
      </c>
      <c r="F1075" s="670">
        <v>79.0</v>
      </c>
      <c r="G1075" s="670" t="s">
        <v>22</v>
      </c>
      <c r="H1075" s="670" t="s">
        <v>2261</v>
      </c>
      <c r="I1075" s="670" t="s">
        <v>2262</v>
      </c>
      <c r="J1075" s="671">
        <v>46234.0</v>
      </c>
    </row>
    <row r="1076">
      <c r="A1076" s="670">
        <v>1115.0</v>
      </c>
      <c r="B1076" s="670" t="s">
        <v>2257</v>
      </c>
      <c r="C1076" s="670" t="s">
        <v>2258</v>
      </c>
      <c r="D1076" s="670" t="s">
        <v>4372</v>
      </c>
      <c r="E1076" s="670" t="s">
        <v>4373</v>
      </c>
      <c r="F1076" s="670">
        <v>112.0</v>
      </c>
      <c r="G1076" s="670" t="s">
        <v>22</v>
      </c>
      <c r="H1076" s="670" t="s">
        <v>2261</v>
      </c>
      <c r="I1076" s="670" t="s">
        <v>2262</v>
      </c>
      <c r="J1076" s="671">
        <v>46234.0</v>
      </c>
    </row>
    <row r="1077">
      <c r="A1077" s="670">
        <v>1116.0</v>
      </c>
      <c r="B1077" s="670" t="s">
        <v>2257</v>
      </c>
      <c r="C1077" s="670" t="s">
        <v>2258</v>
      </c>
      <c r="D1077" s="670" t="s">
        <v>4374</v>
      </c>
      <c r="E1077" s="670" t="s">
        <v>4375</v>
      </c>
      <c r="F1077" s="670">
        <v>159.0</v>
      </c>
      <c r="G1077" s="670" t="s">
        <v>22</v>
      </c>
      <c r="H1077" s="670" t="s">
        <v>2572</v>
      </c>
      <c r="I1077" s="670" t="s">
        <v>2573</v>
      </c>
      <c r="J1077" s="671">
        <v>46234.0</v>
      </c>
    </row>
    <row r="1078">
      <c r="A1078" s="670">
        <v>1117.0</v>
      </c>
      <c r="B1078" s="670" t="s">
        <v>2257</v>
      </c>
      <c r="C1078" s="670" t="s">
        <v>2258</v>
      </c>
      <c r="D1078" s="670" t="s">
        <v>4376</v>
      </c>
      <c r="E1078" s="670" t="s">
        <v>4377</v>
      </c>
      <c r="F1078" s="670">
        <v>244.0</v>
      </c>
      <c r="G1078" s="670" t="s">
        <v>22</v>
      </c>
      <c r="H1078" s="670" t="s">
        <v>2261</v>
      </c>
      <c r="I1078" s="670" t="s">
        <v>2262</v>
      </c>
      <c r="J1078" s="671">
        <v>46234.0</v>
      </c>
    </row>
    <row r="1079">
      <c r="A1079" s="670">
        <v>1118.0</v>
      </c>
      <c r="B1079" s="670" t="s">
        <v>2257</v>
      </c>
      <c r="C1079" s="670" t="s">
        <v>2258</v>
      </c>
      <c r="D1079" s="670" t="s">
        <v>183</v>
      </c>
      <c r="E1079" s="670" t="s">
        <v>188</v>
      </c>
      <c r="F1079" s="670">
        <v>398.0</v>
      </c>
      <c r="G1079" s="670" t="s">
        <v>22</v>
      </c>
      <c r="H1079" s="670" t="s">
        <v>2261</v>
      </c>
      <c r="I1079" s="670" t="s">
        <v>2262</v>
      </c>
      <c r="J1079" s="671">
        <v>46234.0</v>
      </c>
    </row>
    <row r="1080">
      <c r="A1080" s="670">
        <v>1119.0</v>
      </c>
      <c r="B1080" s="670" t="s">
        <v>2257</v>
      </c>
      <c r="C1080" s="670" t="s">
        <v>2258</v>
      </c>
      <c r="D1080" s="670" t="s">
        <v>4378</v>
      </c>
      <c r="E1080" s="670" t="s">
        <v>4379</v>
      </c>
      <c r="F1080" s="670">
        <v>515.0</v>
      </c>
      <c r="G1080" s="670" t="s">
        <v>22</v>
      </c>
      <c r="H1080" s="670" t="s">
        <v>2261</v>
      </c>
      <c r="I1080" s="670" t="s">
        <v>2262</v>
      </c>
      <c r="J1080" s="671">
        <v>46234.0</v>
      </c>
    </row>
    <row r="1081">
      <c r="A1081" s="670">
        <v>1120.0</v>
      </c>
      <c r="B1081" s="670" t="s">
        <v>2257</v>
      </c>
      <c r="C1081" s="670" t="s">
        <v>2258</v>
      </c>
      <c r="D1081" s="670" t="s">
        <v>611</v>
      </c>
      <c r="E1081" s="670" t="s">
        <v>613</v>
      </c>
      <c r="F1081" s="670">
        <v>813.0</v>
      </c>
      <c r="G1081" s="670" t="s">
        <v>22</v>
      </c>
      <c r="H1081" s="670" t="s">
        <v>2261</v>
      </c>
      <c r="I1081" s="670" t="s">
        <v>2262</v>
      </c>
      <c r="J1081" s="671">
        <v>46234.0</v>
      </c>
    </row>
    <row r="1082">
      <c r="A1082" s="670">
        <v>1121.0</v>
      </c>
      <c r="B1082" s="670" t="s">
        <v>2257</v>
      </c>
      <c r="C1082" s="670" t="s">
        <v>2258</v>
      </c>
      <c r="D1082" s="670" t="s">
        <v>522</v>
      </c>
      <c r="E1082" s="670" t="s">
        <v>523</v>
      </c>
      <c r="F1082" s="670">
        <v>654.0</v>
      </c>
      <c r="G1082" s="670" t="s">
        <v>22</v>
      </c>
      <c r="H1082" s="670" t="s">
        <v>2261</v>
      </c>
      <c r="I1082" s="670" t="s">
        <v>2262</v>
      </c>
      <c r="J1082" s="671">
        <v>46234.0</v>
      </c>
    </row>
    <row r="1083">
      <c r="A1083" s="670">
        <v>1122.0</v>
      </c>
      <c r="B1083" s="670" t="s">
        <v>2257</v>
      </c>
      <c r="C1083" s="670" t="s">
        <v>2258</v>
      </c>
      <c r="D1083" s="670" t="s">
        <v>4380</v>
      </c>
      <c r="E1083" s="670" t="s">
        <v>4381</v>
      </c>
      <c r="F1083" s="670">
        <v>10.0</v>
      </c>
      <c r="G1083" s="670" t="s">
        <v>22</v>
      </c>
      <c r="H1083" s="670" t="s">
        <v>2261</v>
      </c>
      <c r="I1083" s="670" t="s">
        <v>2262</v>
      </c>
      <c r="J1083" s="671">
        <v>46234.0</v>
      </c>
    </row>
    <row r="1084">
      <c r="A1084" s="670">
        <v>1123.0</v>
      </c>
      <c r="B1084" s="670" t="s">
        <v>2257</v>
      </c>
      <c r="C1084" s="670" t="s">
        <v>2258</v>
      </c>
      <c r="D1084" s="670" t="s">
        <v>4382</v>
      </c>
      <c r="E1084" s="670" t="s">
        <v>4383</v>
      </c>
      <c r="F1084" s="670">
        <v>16.0</v>
      </c>
      <c r="G1084" s="670" t="s">
        <v>22</v>
      </c>
      <c r="H1084" s="670" t="s">
        <v>2261</v>
      </c>
      <c r="I1084" s="670" t="s">
        <v>2262</v>
      </c>
      <c r="J1084" s="671">
        <v>46234.0</v>
      </c>
    </row>
    <row r="1085">
      <c r="A1085" s="670">
        <v>1124.0</v>
      </c>
      <c r="B1085" s="670" t="s">
        <v>2257</v>
      </c>
      <c r="C1085" s="670" t="s">
        <v>2258</v>
      </c>
      <c r="D1085" s="670" t="s">
        <v>4384</v>
      </c>
      <c r="E1085" s="670" t="s">
        <v>4385</v>
      </c>
      <c r="F1085" s="670">
        <v>25.0</v>
      </c>
      <c r="G1085" s="670" t="s">
        <v>22</v>
      </c>
      <c r="H1085" s="670" t="s">
        <v>2261</v>
      </c>
      <c r="I1085" s="670" t="s">
        <v>2262</v>
      </c>
      <c r="J1085" s="671">
        <v>46234.0</v>
      </c>
    </row>
    <row r="1086">
      <c r="A1086" s="670">
        <v>1125.0</v>
      </c>
      <c r="B1086" s="670" t="s">
        <v>2257</v>
      </c>
      <c r="C1086" s="670" t="s">
        <v>2258</v>
      </c>
      <c r="D1086" s="670" t="s">
        <v>4386</v>
      </c>
      <c r="E1086" s="670" t="s">
        <v>4387</v>
      </c>
      <c r="F1086" s="670">
        <v>38.0</v>
      </c>
      <c r="G1086" s="670" t="s">
        <v>22</v>
      </c>
      <c r="H1086" s="670" t="s">
        <v>2261</v>
      </c>
      <c r="I1086" s="670" t="s">
        <v>2262</v>
      </c>
      <c r="J1086" s="671">
        <v>46234.0</v>
      </c>
    </row>
    <row r="1087">
      <c r="A1087" s="670">
        <v>1126.0</v>
      </c>
      <c r="B1087" s="670" t="s">
        <v>2257</v>
      </c>
      <c r="C1087" s="670" t="s">
        <v>2258</v>
      </c>
      <c r="D1087" s="670" t="s">
        <v>4388</v>
      </c>
      <c r="E1087" s="670" t="s">
        <v>4389</v>
      </c>
      <c r="F1087" s="670">
        <v>62.0</v>
      </c>
      <c r="G1087" s="670" t="s">
        <v>22</v>
      </c>
      <c r="H1087" s="670" t="s">
        <v>2261</v>
      </c>
      <c r="I1087" s="670" t="s">
        <v>2262</v>
      </c>
      <c r="J1087" s="671">
        <v>46234.0</v>
      </c>
    </row>
    <row r="1088">
      <c r="A1088" s="670">
        <v>1127.0</v>
      </c>
      <c r="B1088" s="670" t="s">
        <v>2257</v>
      </c>
      <c r="C1088" s="670" t="s">
        <v>2258</v>
      </c>
      <c r="D1088" s="670" t="s">
        <v>1869</v>
      </c>
      <c r="E1088" s="670" t="s">
        <v>1870</v>
      </c>
      <c r="F1088" s="670">
        <v>97.0</v>
      </c>
      <c r="G1088" s="670" t="s">
        <v>22</v>
      </c>
      <c r="H1088" s="670" t="s">
        <v>2261</v>
      </c>
      <c r="I1088" s="670" t="s">
        <v>2262</v>
      </c>
      <c r="J1088" s="671">
        <v>46234.0</v>
      </c>
    </row>
    <row r="1089">
      <c r="A1089" s="670">
        <v>1128.0</v>
      </c>
      <c r="B1089" s="670" t="s">
        <v>2257</v>
      </c>
      <c r="C1089" s="670" t="s">
        <v>2258</v>
      </c>
      <c r="D1089" s="670" t="s">
        <v>4390</v>
      </c>
      <c r="E1089" s="670" t="s">
        <v>4391</v>
      </c>
      <c r="F1089" s="670">
        <v>140.0</v>
      </c>
      <c r="G1089" s="670" t="s">
        <v>22</v>
      </c>
      <c r="H1089" s="670" t="s">
        <v>2261</v>
      </c>
      <c r="I1089" s="670" t="s">
        <v>2262</v>
      </c>
      <c r="J1089" s="671">
        <v>46234.0</v>
      </c>
    </row>
    <row r="1090">
      <c r="A1090" s="670">
        <v>1129.0</v>
      </c>
      <c r="B1090" s="670" t="s">
        <v>2257</v>
      </c>
      <c r="C1090" s="670" t="s">
        <v>2258</v>
      </c>
      <c r="D1090" s="670" t="s">
        <v>1872</v>
      </c>
      <c r="E1090" s="670" t="s">
        <v>1873</v>
      </c>
      <c r="F1090" s="670">
        <v>195.0</v>
      </c>
      <c r="G1090" s="670" t="s">
        <v>22</v>
      </c>
      <c r="H1090" s="670" t="s">
        <v>2261</v>
      </c>
      <c r="I1090" s="670" t="s">
        <v>2262</v>
      </c>
      <c r="J1090" s="671">
        <v>46234.0</v>
      </c>
    </row>
    <row r="1091">
      <c r="A1091" s="670">
        <v>1130.0</v>
      </c>
      <c r="B1091" s="670" t="s">
        <v>2257</v>
      </c>
      <c r="C1091" s="670" t="s">
        <v>2258</v>
      </c>
      <c r="D1091" s="670" t="s">
        <v>4392</v>
      </c>
      <c r="E1091" s="670" t="s">
        <v>4393</v>
      </c>
      <c r="F1091" s="670">
        <v>292.0</v>
      </c>
      <c r="G1091" s="670" t="s">
        <v>22</v>
      </c>
      <c r="H1091" s="670" t="s">
        <v>2261</v>
      </c>
      <c r="I1091" s="670" t="s">
        <v>2262</v>
      </c>
      <c r="J1091" s="671">
        <v>46234.0</v>
      </c>
    </row>
    <row r="1092">
      <c r="A1092" s="670">
        <v>1131.0</v>
      </c>
      <c r="B1092" s="670" t="s">
        <v>2257</v>
      </c>
      <c r="C1092" s="670" t="s">
        <v>2258</v>
      </c>
      <c r="D1092" s="670" t="s">
        <v>829</v>
      </c>
      <c r="E1092" s="670" t="s">
        <v>830</v>
      </c>
      <c r="F1092" s="670">
        <v>480.0</v>
      </c>
      <c r="G1092" s="670" t="s">
        <v>22</v>
      </c>
      <c r="H1092" s="670" t="s">
        <v>2261</v>
      </c>
      <c r="I1092" s="670" t="s">
        <v>2262</v>
      </c>
      <c r="J1092" s="671">
        <v>46234.0</v>
      </c>
    </row>
    <row r="1093">
      <c r="A1093" s="670">
        <v>1132.0</v>
      </c>
      <c r="B1093" s="670" t="s">
        <v>2257</v>
      </c>
      <c r="C1093" s="670" t="s">
        <v>2258</v>
      </c>
      <c r="D1093" s="670" t="s">
        <v>2204</v>
      </c>
      <c r="E1093" s="670" t="s">
        <v>2205</v>
      </c>
      <c r="F1093" s="670">
        <v>617.0</v>
      </c>
      <c r="G1093" s="670" t="s">
        <v>22</v>
      </c>
      <c r="H1093" s="670" t="s">
        <v>2261</v>
      </c>
      <c r="I1093" s="670" t="s">
        <v>2262</v>
      </c>
      <c r="J1093" s="671">
        <v>46234.0</v>
      </c>
    </row>
    <row r="1094">
      <c r="A1094" s="670">
        <v>1133.0</v>
      </c>
      <c r="B1094" s="670" t="s">
        <v>2257</v>
      </c>
      <c r="C1094" s="670" t="s">
        <v>2258</v>
      </c>
      <c r="D1094" s="670" t="s">
        <v>706</v>
      </c>
      <c r="E1094" s="670" t="s">
        <v>707</v>
      </c>
      <c r="F1094" s="670">
        <v>957.0</v>
      </c>
      <c r="G1094" s="670" t="s">
        <v>22</v>
      </c>
      <c r="H1094" s="670" t="s">
        <v>2261</v>
      </c>
      <c r="I1094" s="670" t="s">
        <v>2262</v>
      </c>
      <c r="J1094" s="671">
        <v>46234.0</v>
      </c>
    </row>
    <row r="1095">
      <c r="A1095" s="670">
        <v>1134.0</v>
      </c>
      <c r="B1095" s="670" t="s">
        <v>2257</v>
      </c>
      <c r="C1095" s="670" t="s">
        <v>2258</v>
      </c>
      <c r="D1095" s="670" t="s">
        <v>4394</v>
      </c>
      <c r="E1095" s="670" t="s">
        <v>4395</v>
      </c>
      <c r="F1095" s="670">
        <v>5912.0</v>
      </c>
      <c r="G1095" s="670" t="s">
        <v>43</v>
      </c>
      <c r="H1095" s="670" t="s">
        <v>2261</v>
      </c>
      <c r="I1095" s="670" t="s">
        <v>2262</v>
      </c>
      <c r="J1095" s="671">
        <v>46234.0</v>
      </c>
    </row>
    <row r="1096">
      <c r="A1096" s="670">
        <v>1135.0</v>
      </c>
      <c r="B1096" s="670" t="s">
        <v>2257</v>
      </c>
      <c r="C1096" s="670" t="s">
        <v>2258</v>
      </c>
      <c r="D1096" s="670" t="s">
        <v>4396</v>
      </c>
      <c r="E1096" s="670" t="s">
        <v>4397</v>
      </c>
      <c r="F1096" s="670">
        <v>7680.0</v>
      </c>
      <c r="G1096" s="670" t="s">
        <v>43</v>
      </c>
      <c r="H1096" s="670" t="s">
        <v>2261</v>
      </c>
      <c r="I1096" s="670" t="s">
        <v>2262</v>
      </c>
      <c r="J1096" s="671">
        <v>46234.0</v>
      </c>
    </row>
    <row r="1097">
      <c r="A1097" s="670">
        <v>1136.0</v>
      </c>
      <c r="B1097" s="670" t="s">
        <v>2257</v>
      </c>
      <c r="C1097" s="670" t="s">
        <v>2258</v>
      </c>
      <c r="D1097" s="670" t="s">
        <v>4398</v>
      </c>
      <c r="E1097" s="670" t="s">
        <v>4399</v>
      </c>
      <c r="F1097" s="670">
        <v>9643.0</v>
      </c>
      <c r="G1097" s="670" t="s">
        <v>43</v>
      </c>
      <c r="H1097" s="670" t="s">
        <v>2261</v>
      </c>
      <c r="I1097" s="670" t="s">
        <v>2262</v>
      </c>
      <c r="J1097" s="671">
        <v>46234.0</v>
      </c>
    </row>
    <row r="1098">
      <c r="A1098" s="670">
        <v>1137.0</v>
      </c>
      <c r="B1098" s="670" t="s">
        <v>2257</v>
      </c>
      <c r="C1098" s="670" t="s">
        <v>2258</v>
      </c>
      <c r="D1098" s="670" t="s">
        <v>4400</v>
      </c>
      <c r="E1098" s="670" t="s">
        <v>4401</v>
      </c>
      <c r="F1098" s="670">
        <v>11388.0</v>
      </c>
      <c r="G1098" s="670" t="s">
        <v>43</v>
      </c>
      <c r="H1098" s="670" t="s">
        <v>2261</v>
      </c>
      <c r="I1098" s="670" t="s">
        <v>2262</v>
      </c>
      <c r="J1098" s="671">
        <v>46234.0</v>
      </c>
    </row>
    <row r="1099">
      <c r="A1099" s="670">
        <v>1138.0</v>
      </c>
      <c r="B1099" s="670" t="s">
        <v>2257</v>
      </c>
      <c r="C1099" s="670" t="s">
        <v>2258</v>
      </c>
      <c r="D1099" s="670" t="s">
        <v>4402</v>
      </c>
      <c r="E1099" s="670" t="s">
        <v>4403</v>
      </c>
      <c r="F1099" s="670">
        <v>19623.0</v>
      </c>
      <c r="G1099" s="670" t="s">
        <v>43</v>
      </c>
      <c r="H1099" s="670" t="s">
        <v>2261</v>
      </c>
      <c r="I1099" s="670" t="s">
        <v>2262</v>
      </c>
      <c r="J1099" s="671">
        <v>46234.0</v>
      </c>
    </row>
    <row r="1100">
      <c r="A1100" s="670">
        <v>1139.0</v>
      </c>
      <c r="B1100" s="670" t="s">
        <v>2257</v>
      </c>
      <c r="C1100" s="670" t="s">
        <v>2258</v>
      </c>
      <c r="D1100" s="670" t="s">
        <v>4404</v>
      </c>
      <c r="E1100" s="670" t="s">
        <v>4405</v>
      </c>
      <c r="F1100" s="670">
        <v>32086.0</v>
      </c>
      <c r="G1100" s="670" t="s">
        <v>43</v>
      </c>
      <c r="H1100" s="670" t="s">
        <v>2261</v>
      </c>
      <c r="I1100" s="670" t="s">
        <v>2262</v>
      </c>
      <c r="J1100" s="671">
        <v>46234.0</v>
      </c>
    </row>
    <row r="1101">
      <c r="A1101" s="670">
        <v>1140.0</v>
      </c>
      <c r="B1101" s="670" t="s">
        <v>2257</v>
      </c>
      <c r="C1101" s="670" t="s">
        <v>2258</v>
      </c>
      <c r="D1101" s="670" t="s">
        <v>4406</v>
      </c>
      <c r="E1101" s="670" t="s">
        <v>4407</v>
      </c>
      <c r="F1101" s="670">
        <v>47973.0</v>
      </c>
      <c r="G1101" s="670" t="s">
        <v>43</v>
      </c>
      <c r="H1101" s="670" t="s">
        <v>2261</v>
      </c>
      <c r="I1101" s="670" t="s">
        <v>2262</v>
      </c>
      <c r="J1101" s="671">
        <v>46234.0</v>
      </c>
    </row>
    <row r="1102">
      <c r="A1102" s="670">
        <v>1141.0</v>
      </c>
      <c r="B1102" s="670" t="s">
        <v>2257</v>
      </c>
      <c r="C1102" s="670" t="s">
        <v>2258</v>
      </c>
      <c r="D1102" s="670" t="s">
        <v>4408</v>
      </c>
      <c r="E1102" s="670" t="s">
        <v>4409</v>
      </c>
      <c r="F1102" s="670">
        <v>4688.0</v>
      </c>
      <c r="G1102" s="670" t="s">
        <v>43</v>
      </c>
      <c r="H1102" s="670" t="s">
        <v>2261</v>
      </c>
      <c r="I1102" s="670" t="s">
        <v>2262</v>
      </c>
      <c r="J1102" s="671">
        <v>46234.0</v>
      </c>
    </row>
    <row r="1103">
      <c r="A1103" s="670">
        <v>1142.0</v>
      </c>
      <c r="B1103" s="670" t="s">
        <v>2257</v>
      </c>
      <c r="C1103" s="670" t="s">
        <v>2258</v>
      </c>
      <c r="D1103" s="670" t="s">
        <v>4410</v>
      </c>
      <c r="E1103" s="670" t="s">
        <v>4411</v>
      </c>
      <c r="F1103" s="670">
        <v>6035.0</v>
      </c>
      <c r="G1103" s="670" t="s">
        <v>43</v>
      </c>
      <c r="H1103" s="670" t="s">
        <v>2261</v>
      </c>
      <c r="I1103" s="670" t="s">
        <v>2262</v>
      </c>
      <c r="J1103" s="671">
        <v>46234.0</v>
      </c>
    </row>
    <row r="1104">
      <c r="A1104" s="670">
        <v>1143.0</v>
      </c>
      <c r="B1104" s="670" t="s">
        <v>2257</v>
      </c>
      <c r="C1104" s="670" t="s">
        <v>2258</v>
      </c>
      <c r="D1104" s="670" t="s">
        <v>4412</v>
      </c>
      <c r="E1104" s="670" t="s">
        <v>4413</v>
      </c>
      <c r="F1104" s="670">
        <v>8438.0</v>
      </c>
      <c r="G1104" s="670" t="s">
        <v>43</v>
      </c>
      <c r="H1104" s="670" t="s">
        <v>2261</v>
      </c>
      <c r="I1104" s="670" t="s">
        <v>2262</v>
      </c>
      <c r="J1104" s="671">
        <v>46234.0</v>
      </c>
    </row>
    <row r="1105">
      <c r="A1105" s="670">
        <v>1144.0</v>
      </c>
      <c r="B1105" s="670" t="s">
        <v>2257</v>
      </c>
      <c r="C1105" s="670" t="s">
        <v>2258</v>
      </c>
      <c r="D1105" s="670" t="s">
        <v>4414</v>
      </c>
      <c r="E1105" s="670" t="s">
        <v>4415</v>
      </c>
      <c r="F1105" s="670">
        <v>17969.0</v>
      </c>
      <c r="G1105" s="670" t="s">
        <v>43</v>
      </c>
      <c r="H1105" s="670" t="s">
        <v>2261</v>
      </c>
      <c r="I1105" s="670" t="s">
        <v>2262</v>
      </c>
      <c r="J1105" s="671">
        <v>46234.0</v>
      </c>
    </row>
    <row r="1106">
      <c r="A1106" s="670">
        <v>1145.0</v>
      </c>
      <c r="B1106" s="670" t="s">
        <v>2257</v>
      </c>
      <c r="C1106" s="670" t="s">
        <v>2258</v>
      </c>
      <c r="D1106" s="670" t="s">
        <v>4416</v>
      </c>
      <c r="E1106" s="670" t="s">
        <v>4417</v>
      </c>
      <c r="F1106" s="670">
        <v>1250.0</v>
      </c>
      <c r="G1106" s="670" t="s">
        <v>43</v>
      </c>
      <c r="H1106" s="670" t="s">
        <v>2261</v>
      </c>
      <c r="I1106" s="670" t="s">
        <v>2262</v>
      </c>
      <c r="J1106" s="671">
        <v>46234.0</v>
      </c>
    </row>
    <row r="1107">
      <c r="A1107" s="670">
        <v>1146.0</v>
      </c>
      <c r="B1107" s="670" t="s">
        <v>2257</v>
      </c>
      <c r="C1107" s="670" t="s">
        <v>2258</v>
      </c>
      <c r="D1107" s="670" t="s">
        <v>4418</v>
      </c>
      <c r="E1107" s="670" t="s">
        <v>4419</v>
      </c>
      <c r="F1107" s="670">
        <v>1813.0</v>
      </c>
      <c r="G1107" s="670" t="s">
        <v>43</v>
      </c>
      <c r="H1107" s="670" t="s">
        <v>2261</v>
      </c>
      <c r="I1107" s="670" t="s">
        <v>2262</v>
      </c>
      <c r="J1107" s="671">
        <v>46234.0</v>
      </c>
    </row>
    <row r="1108">
      <c r="A1108" s="670">
        <v>1147.0</v>
      </c>
      <c r="B1108" s="670" t="s">
        <v>2257</v>
      </c>
      <c r="C1108" s="670" t="s">
        <v>2258</v>
      </c>
      <c r="D1108" s="670" t="s">
        <v>4420</v>
      </c>
      <c r="E1108" s="670" t="s">
        <v>4421</v>
      </c>
      <c r="F1108" s="670">
        <v>2116.0</v>
      </c>
      <c r="G1108" s="670" t="s">
        <v>43</v>
      </c>
      <c r="H1108" s="670" t="s">
        <v>2261</v>
      </c>
      <c r="I1108" s="670" t="s">
        <v>2262</v>
      </c>
      <c r="J1108" s="671">
        <v>46234.0</v>
      </c>
    </row>
    <row r="1109">
      <c r="A1109" s="670">
        <v>1148.0</v>
      </c>
      <c r="B1109" s="670" t="s">
        <v>2257</v>
      </c>
      <c r="C1109" s="670" t="s">
        <v>2258</v>
      </c>
      <c r="D1109" s="670" t="s">
        <v>4422</v>
      </c>
      <c r="E1109" s="670" t="s">
        <v>4423</v>
      </c>
      <c r="F1109" s="670">
        <v>1445.0</v>
      </c>
      <c r="G1109" s="670" t="s">
        <v>43</v>
      </c>
      <c r="H1109" s="670" t="s">
        <v>2261</v>
      </c>
      <c r="I1109" s="670" t="s">
        <v>2262</v>
      </c>
      <c r="J1109" s="671">
        <v>46234.0</v>
      </c>
    </row>
    <row r="1110">
      <c r="A1110" s="670">
        <v>1149.0</v>
      </c>
      <c r="B1110" s="670" t="s">
        <v>2257</v>
      </c>
      <c r="C1110" s="670" t="s">
        <v>2258</v>
      </c>
      <c r="D1110" s="670" t="s">
        <v>4424</v>
      </c>
      <c r="E1110" s="670" t="s">
        <v>4425</v>
      </c>
      <c r="F1110" s="670">
        <v>1997.0</v>
      </c>
      <c r="G1110" s="670" t="s">
        <v>43</v>
      </c>
      <c r="H1110" s="670" t="s">
        <v>2261</v>
      </c>
      <c r="I1110" s="670" t="s">
        <v>2262</v>
      </c>
      <c r="J1110" s="671">
        <v>46234.0</v>
      </c>
    </row>
    <row r="1111">
      <c r="A1111" s="670">
        <v>1150.0</v>
      </c>
      <c r="B1111" s="670" t="s">
        <v>2257</v>
      </c>
      <c r="C1111" s="670" t="s">
        <v>2258</v>
      </c>
      <c r="D1111" s="670" t="s">
        <v>4426</v>
      </c>
      <c r="E1111" s="670" t="s">
        <v>4427</v>
      </c>
      <c r="F1111" s="670">
        <v>2350.0</v>
      </c>
      <c r="G1111" s="670" t="s">
        <v>43</v>
      </c>
      <c r="H1111" s="670" t="s">
        <v>2261</v>
      </c>
      <c r="I1111" s="670" t="s">
        <v>2262</v>
      </c>
      <c r="J1111" s="671">
        <v>46234.0</v>
      </c>
    </row>
    <row r="1112">
      <c r="A1112" s="670">
        <v>1151.0</v>
      </c>
      <c r="B1112" s="670" t="s">
        <v>2257</v>
      </c>
      <c r="C1112" s="670" t="s">
        <v>2258</v>
      </c>
      <c r="D1112" s="670" t="s">
        <v>4428</v>
      </c>
      <c r="E1112" s="670" t="s">
        <v>4429</v>
      </c>
      <c r="F1112" s="670">
        <v>3750.0</v>
      </c>
      <c r="G1112" s="670" t="s">
        <v>43</v>
      </c>
      <c r="H1112" s="670" t="s">
        <v>2261</v>
      </c>
      <c r="I1112" s="670" t="s">
        <v>2262</v>
      </c>
      <c r="J1112" s="671">
        <v>46234.0</v>
      </c>
    </row>
    <row r="1113">
      <c r="A1113" s="670">
        <v>1152.0</v>
      </c>
      <c r="B1113" s="670" t="s">
        <v>2257</v>
      </c>
      <c r="C1113" s="670" t="s">
        <v>2258</v>
      </c>
      <c r="D1113" s="670" t="s">
        <v>4430</v>
      </c>
      <c r="E1113" s="670" t="s">
        <v>4431</v>
      </c>
      <c r="F1113" s="670">
        <v>4219.0</v>
      </c>
      <c r="G1113" s="670" t="s">
        <v>43</v>
      </c>
      <c r="H1113" s="670" t="s">
        <v>2261</v>
      </c>
      <c r="I1113" s="670" t="s">
        <v>2262</v>
      </c>
      <c r="J1113" s="671">
        <v>46234.0</v>
      </c>
    </row>
    <row r="1114">
      <c r="A1114" s="670">
        <v>1153.0</v>
      </c>
      <c r="B1114" s="670" t="s">
        <v>2257</v>
      </c>
      <c r="C1114" s="670" t="s">
        <v>2258</v>
      </c>
      <c r="D1114" s="670" t="s">
        <v>4432</v>
      </c>
      <c r="E1114" s="670" t="s">
        <v>4433</v>
      </c>
      <c r="F1114" s="670">
        <v>28438.0</v>
      </c>
      <c r="G1114" s="670" t="s">
        <v>43</v>
      </c>
      <c r="H1114" s="670" t="s">
        <v>2261</v>
      </c>
      <c r="I1114" s="670" t="s">
        <v>2262</v>
      </c>
      <c r="J1114" s="671">
        <v>46234.0</v>
      </c>
    </row>
    <row r="1115">
      <c r="A1115" s="670">
        <v>1154.0</v>
      </c>
      <c r="B1115" s="670" t="s">
        <v>2257</v>
      </c>
      <c r="C1115" s="670" t="s">
        <v>2258</v>
      </c>
      <c r="D1115" s="670" t="s">
        <v>4434</v>
      </c>
      <c r="E1115" s="670" t="s">
        <v>4435</v>
      </c>
      <c r="F1115" s="670">
        <v>4063.0</v>
      </c>
      <c r="G1115" s="670" t="s">
        <v>43</v>
      </c>
      <c r="H1115" s="670" t="s">
        <v>2261</v>
      </c>
      <c r="I1115" s="670" t="s">
        <v>2262</v>
      </c>
      <c r="J1115" s="671">
        <v>46234.0</v>
      </c>
    </row>
    <row r="1116">
      <c r="A1116" s="670">
        <v>1155.0</v>
      </c>
      <c r="B1116" s="670" t="s">
        <v>2257</v>
      </c>
      <c r="C1116" s="670" t="s">
        <v>2258</v>
      </c>
      <c r="D1116" s="670" t="s">
        <v>4436</v>
      </c>
      <c r="E1116" s="670" t="s">
        <v>4437</v>
      </c>
      <c r="F1116" s="670">
        <v>4610.0</v>
      </c>
      <c r="G1116" s="670" t="s">
        <v>43</v>
      </c>
      <c r="H1116" s="670" t="s">
        <v>2261</v>
      </c>
      <c r="I1116" s="670" t="s">
        <v>2262</v>
      </c>
      <c r="J1116" s="671">
        <v>46234.0</v>
      </c>
    </row>
    <row r="1117">
      <c r="A1117" s="670">
        <v>1156.0</v>
      </c>
      <c r="B1117" s="670" t="s">
        <v>2257</v>
      </c>
      <c r="C1117" s="670" t="s">
        <v>2258</v>
      </c>
      <c r="D1117" s="670" t="s">
        <v>4438</v>
      </c>
      <c r="E1117" s="670" t="s">
        <v>4439</v>
      </c>
      <c r="F1117" s="670">
        <v>6485.0</v>
      </c>
      <c r="G1117" s="670" t="s">
        <v>43</v>
      </c>
      <c r="H1117" s="670" t="s">
        <v>2261</v>
      </c>
      <c r="I1117" s="670" t="s">
        <v>2262</v>
      </c>
      <c r="J1117" s="671">
        <v>46234.0</v>
      </c>
    </row>
    <row r="1118">
      <c r="A1118" s="670">
        <v>1157.0</v>
      </c>
      <c r="B1118" s="670" t="s">
        <v>2257</v>
      </c>
      <c r="C1118" s="670" t="s">
        <v>2258</v>
      </c>
      <c r="D1118" s="670" t="s">
        <v>4440</v>
      </c>
      <c r="E1118" s="670" t="s">
        <v>4441</v>
      </c>
      <c r="F1118" s="670">
        <v>9219.0</v>
      </c>
      <c r="G1118" s="670" t="s">
        <v>43</v>
      </c>
      <c r="H1118" s="670" t="s">
        <v>2261</v>
      </c>
      <c r="I1118" s="670" t="s">
        <v>2262</v>
      </c>
      <c r="J1118" s="671">
        <v>46234.0</v>
      </c>
    </row>
    <row r="1119">
      <c r="A1119" s="670">
        <v>1158.0</v>
      </c>
      <c r="B1119" s="670" t="s">
        <v>2257</v>
      </c>
      <c r="C1119" s="670" t="s">
        <v>2258</v>
      </c>
      <c r="D1119" s="670" t="s">
        <v>4442</v>
      </c>
      <c r="E1119" s="670" t="s">
        <v>4443</v>
      </c>
      <c r="F1119" s="670">
        <v>14688.0</v>
      </c>
      <c r="G1119" s="670" t="s">
        <v>43</v>
      </c>
      <c r="H1119" s="670" t="s">
        <v>2261</v>
      </c>
      <c r="I1119" s="670" t="s">
        <v>2262</v>
      </c>
      <c r="J1119" s="671">
        <v>46234.0</v>
      </c>
    </row>
    <row r="1120">
      <c r="A1120" s="670">
        <v>1159.0</v>
      </c>
      <c r="B1120" s="670" t="s">
        <v>2257</v>
      </c>
      <c r="C1120" s="670" t="s">
        <v>2258</v>
      </c>
      <c r="D1120" s="670" t="s">
        <v>4444</v>
      </c>
      <c r="E1120" s="670" t="s">
        <v>4445</v>
      </c>
      <c r="F1120" s="670">
        <v>29531.0</v>
      </c>
      <c r="G1120" s="670" t="s">
        <v>43</v>
      </c>
      <c r="H1120" s="670" t="s">
        <v>2261</v>
      </c>
      <c r="I1120" s="670" t="s">
        <v>2262</v>
      </c>
      <c r="J1120" s="671">
        <v>46234.0</v>
      </c>
    </row>
    <row r="1121">
      <c r="A1121" s="670">
        <v>1160.0</v>
      </c>
      <c r="B1121" s="670" t="s">
        <v>2257</v>
      </c>
      <c r="C1121" s="670" t="s">
        <v>2258</v>
      </c>
      <c r="D1121" s="670" t="s">
        <v>4446</v>
      </c>
      <c r="E1121" s="670" t="s">
        <v>4447</v>
      </c>
      <c r="F1121" s="670">
        <v>5313.0</v>
      </c>
      <c r="G1121" s="670" t="s">
        <v>43</v>
      </c>
      <c r="H1121" s="670" t="s">
        <v>2261</v>
      </c>
      <c r="I1121" s="670" t="s">
        <v>2262</v>
      </c>
      <c r="J1121" s="671">
        <v>46234.0</v>
      </c>
    </row>
    <row r="1122">
      <c r="A1122" s="670">
        <v>1161.0</v>
      </c>
      <c r="B1122" s="670" t="s">
        <v>2257</v>
      </c>
      <c r="C1122" s="670" t="s">
        <v>2258</v>
      </c>
      <c r="D1122" s="670" t="s">
        <v>4448</v>
      </c>
      <c r="E1122" s="670" t="s">
        <v>4449</v>
      </c>
      <c r="F1122" s="670">
        <v>8438.0</v>
      </c>
      <c r="G1122" s="670" t="s">
        <v>43</v>
      </c>
      <c r="H1122" s="670" t="s">
        <v>2261</v>
      </c>
      <c r="I1122" s="670" t="s">
        <v>2262</v>
      </c>
      <c r="J1122" s="671">
        <v>46234.0</v>
      </c>
    </row>
    <row r="1123">
      <c r="A1123" s="670">
        <v>1162.0</v>
      </c>
      <c r="B1123" s="670" t="s">
        <v>2257</v>
      </c>
      <c r="C1123" s="670" t="s">
        <v>2258</v>
      </c>
      <c r="D1123" s="670" t="s">
        <v>4450</v>
      </c>
      <c r="E1123" s="670" t="s">
        <v>4451</v>
      </c>
      <c r="F1123" s="670">
        <v>13438.0</v>
      </c>
      <c r="G1123" s="670" t="s">
        <v>43</v>
      </c>
      <c r="H1123" s="670" t="s">
        <v>2261</v>
      </c>
      <c r="I1123" s="670" t="s">
        <v>2262</v>
      </c>
      <c r="J1123" s="671">
        <v>46234.0</v>
      </c>
    </row>
    <row r="1124">
      <c r="A1124" s="670">
        <v>1163.0</v>
      </c>
      <c r="B1124" s="670" t="s">
        <v>2257</v>
      </c>
      <c r="C1124" s="670" t="s">
        <v>2258</v>
      </c>
      <c r="D1124" s="670" t="s">
        <v>4452</v>
      </c>
      <c r="E1124" s="670" t="s">
        <v>4453</v>
      </c>
      <c r="F1124" s="670">
        <v>4280.0</v>
      </c>
      <c r="G1124" s="670" t="s">
        <v>43</v>
      </c>
      <c r="H1124" s="670" t="s">
        <v>2261</v>
      </c>
      <c r="I1124" s="670" t="s">
        <v>2262</v>
      </c>
      <c r="J1124" s="671">
        <v>46234.0</v>
      </c>
    </row>
    <row r="1125">
      <c r="A1125" s="670">
        <v>1164.0</v>
      </c>
      <c r="B1125" s="670" t="s">
        <v>2257</v>
      </c>
      <c r="C1125" s="670" t="s">
        <v>2258</v>
      </c>
      <c r="D1125" s="670" t="s">
        <v>4454</v>
      </c>
      <c r="E1125" s="670" t="s">
        <v>4455</v>
      </c>
      <c r="F1125" s="670">
        <v>5760.0</v>
      </c>
      <c r="G1125" s="670" t="s">
        <v>43</v>
      </c>
      <c r="H1125" s="670" t="s">
        <v>2261</v>
      </c>
      <c r="I1125" s="670" t="s">
        <v>2262</v>
      </c>
      <c r="J1125" s="671">
        <v>46234.0</v>
      </c>
    </row>
    <row r="1126">
      <c r="A1126" s="670">
        <v>1165.0</v>
      </c>
      <c r="B1126" s="670" t="s">
        <v>2257</v>
      </c>
      <c r="C1126" s="670" t="s">
        <v>2258</v>
      </c>
      <c r="D1126" s="670" t="s">
        <v>4456</v>
      </c>
      <c r="E1126" s="670" t="s">
        <v>4457</v>
      </c>
      <c r="F1126" s="670">
        <v>7250.0</v>
      </c>
      <c r="G1126" s="670" t="s">
        <v>43</v>
      </c>
      <c r="H1126" s="670" t="s">
        <v>2261</v>
      </c>
      <c r="I1126" s="670" t="s">
        <v>2262</v>
      </c>
      <c r="J1126" s="671">
        <v>46234.0</v>
      </c>
    </row>
    <row r="1127">
      <c r="A1127" s="670">
        <v>1166.0</v>
      </c>
      <c r="B1127" s="670" t="s">
        <v>2257</v>
      </c>
      <c r="C1127" s="670" t="s">
        <v>2258</v>
      </c>
      <c r="D1127" s="670" t="s">
        <v>4458</v>
      </c>
      <c r="E1127" s="670" t="s">
        <v>4459</v>
      </c>
      <c r="F1127" s="670">
        <v>8700.0</v>
      </c>
      <c r="G1127" s="670" t="s">
        <v>43</v>
      </c>
      <c r="H1127" s="670" t="s">
        <v>2261</v>
      </c>
      <c r="I1127" s="670" t="s">
        <v>2262</v>
      </c>
      <c r="J1127" s="671">
        <v>46234.0</v>
      </c>
    </row>
    <row r="1128">
      <c r="A1128" s="670">
        <v>1167.0</v>
      </c>
      <c r="B1128" s="670" t="s">
        <v>2257</v>
      </c>
      <c r="C1128" s="670" t="s">
        <v>2258</v>
      </c>
      <c r="D1128" s="670" t="s">
        <v>4460</v>
      </c>
      <c r="E1128" s="670" t="s">
        <v>4461</v>
      </c>
      <c r="F1128" s="670">
        <v>14560.0</v>
      </c>
      <c r="G1128" s="670" t="s">
        <v>43</v>
      </c>
      <c r="H1128" s="670" t="s">
        <v>2261</v>
      </c>
      <c r="I1128" s="670" t="s">
        <v>2262</v>
      </c>
      <c r="J1128" s="671">
        <v>46234.0</v>
      </c>
    </row>
    <row r="1129">
      <c r="A1129" s="670">
        <v>1168.0</v>
      </c>
      <c r="B1129" s="670" t="s">
        <v>2257</v>
      </c>
      <c r="C1129" s="670" t="s">
        <v>2258</v>
      </c>
      <c r="D1129" s="670" t="s">
        <v>4462</v>
      </c>
      <c r="E1129" s="670" t="s">
        <v>4463</v>
      </c>
      <c r="F1129" s="670">
        <v>22800.0</v>
      </c>
      <c r="G1129" s="670" t="s">
        <v>43</v>
      </c>
      <c r="H1129" s="670" t="s">
        <v>2261</v>
      </c>
      <c r="I1129" s="670" t="s">
        <v>2262</v>
      </c>
      <c r="J1129" s="671">
        <v>46234.0</v>
      </c>
    </row>
    <row r="1130">
      <c r="A1130" s="670">
        <v>1169.0</v>
      </c>
      <c r="B1130" s="670" t="s">
        <v>2257</v>
      </c>
      <c r="C1130" s="670" t="s">
        <v>2258</v>
      </c>
      <c r="D1130" s="670" t="s">
        <v>4464</v>
      </c>
      <c r="E1130" s="670" t="s">
        <v>4465</v>
      </c>
      <c r="F1130" s="670">
        <v>28100.0</v>
      </c>
      <c r="G1130" s="670" t="s">
        <v>43</v>
      </c>
      <c r="H1130" s="670" t="s">
        <v>2261</v>
      </c>
      <c r="I1130" s="670" t="s">
        <v>2262</v>
      </c>
      <c r="J1130" s="671">
        <v>46234.0</v>
      </c>
    </row>
    <row r="1131">
      <c r="A1131" s="670">
        <v>1170.0</v>
      </c>
      <c r="B1131" s="670" t="s">
        <v>2257</v>
      </c>
      <c r="C1131" s="670" t="s">
        <v>2258</v>
      </c>
      <c r="D1131" s="670" t="s">
        <v>4466</v>
      </c>
      <c r="E1131" s="670" t="s">
        <v>4467</v>
      </c>
      <c r="F1131" s="670">
        <v>58700.0</v>
      </c>
      <c r="G1131" s="670" t="s">
        <v>43</v>
      </c>
      <c r="H1131" s="670" t="s">
        <v>2261</v>
      </c>
      <c r="I1131" s="670" t="s">
        <v>2262</v>
      </c>
      <c r="J1131" s="671">
        <v>46234.0</v>
      </c>
    </row>
    <row r="1132">
      <c r="A1132" s="670">
        <v>1171.0</v>
      </c>
      <c r="B1132" s="670" t="s">
        <v>2257</v>
      </c>
      <c r="C1132" s="670" t="s">
        <v>2258</v>
      </c>
      <c r="D1132" s="670" t="s">
        <v>4468</v>
      </c>
      <c r="E1132" s="670" t="s">
        <v>4469</v>
      </c>
      <c r="F1132" s="670">
        <v>78650.0</v>
      </c>
      <c r="G1132" s="670" t="s">
        <v>43</v>
      </c>
      <c r="H1132" s="670" t="s">
        <v>2261</v>
      </c>
      <c r="I1132" s="670" t="s">
        <v>2262</v>
      </c>
      <c r="J1132" s="671">
        <v>46234.0</v>
      </c>
    </row>
    <row r="1133">
      <c r="A1133" s="670">
        <v>1172.0</v>
      </c>
      <c r="B1133" s="670" t="s">
        <v>2257</v>
      </c>
      <c r="C1133" s="670" t="s">
        <v>2258</v>
      </c>
      <c r="D1133" s="670" t="s">
        <v>4470</v>
      </c>
      <c r="E1133" s="670" t="s">
        <v>4471</v>
      </c>
      <c r="F1133" s="670">
        <v>106700.0</v>
      </c>
      <c r="G1133" s="670" t="s">
        <v>43</v>
      </c>
      <c r="H1133" s="670" t="s">
        <v>2261</v>
      </c>
      <c r="I1133" s="670" t="s">
        <v>2262</v>
      </c>
      <c r="J1133" s="671">
        <v>46234.0</v>
      </c>
    </row>
    <row r="1134">
      <c r="A1134" s="670">
        <v>1173.0</v>
      </c>
      <c r="B1134" s="670" t="s">
        <v>2257</v>
      </c>
      <c r="C1134" s="670" t="s">
        <v>2258</v>
      </c>
      <c r="D1134" s="670" t="s">
        <v>4472</v>
      </c>
      <c r="E1134" s="670" t="s">
        <v>4473</v>
      </c>
      <c r="F1134" s="670">
        <v>143279.0</v>
      </c>
      <c r="G1134" s="670" t="s">
        <v>43</v>
      </c>
      <c r="H1134" s="670" t="s">
        <v>2261</v>
      </c>
      <c r="I1134" s="670" t="s">
        <v>2262</v>
      </c>
      <c r="J1134" s="671">
        <v>46234.0</v>
      </c>
    </row>
    <row r="1135">
      <c r="A1135" s="670">
        <v>1174.0</v>
      </c>
      <c r="B1135" s="670" t="s">
        <v>2257</v>
      </c>
      <c r="C1135" s="670" t="s">
        <v>2258</v>
      </c>
      <c r="D1135" s="670" t="s">
        <v>4474</v>
      </c>
      <c r="E1135" s="670" t="s">
        <v>4475</v>
      </c>
      <c r="F1135" s="670">
        <v>185750.0</v>
      </c>
      <c r="G1135" s="670" t="s">
        <v>43</v>
      </c>
      <c r="H1135" s="670" t="s">
        <v>2261</v>
      </c>
      <c r="I1135" s="670" t="s">
        <v>2262</v>
      </c>
      <c r="J1135" s="671">
        <v>46234.0</v>
      </c>
    </row>
    <row r="1136">
      <c r="A1136" s="670">
        <v>1175.0</v>
      </c>
      <c r="B1136" s="670" t="s">
        <v>2257</v>
      </c>
      <c r="C1136" s="670" t="s">
        <v>2258</v>
      </c>
      <c r="D1136" s="670" t="s">
        <v>4476</v>
      </c>
      <c r="E1136" s="670" t="s">
        <v>4477</v>
      </c>
      <c r="F1136" s="670">
        <v>4120.0</v>
      </c>
      <c r="G1136" s="670" t="s">
        <v>43</v>
      </c>
      <c r="H1136" s="670" t="s">
        <v>2261</v>
      </c>
      <c r="I1136" s="670" t="s">
        <v>2262</v>
      </c>
      <c r="J1136" s="671">
        <v>46234.0</v>
      </c>
    </row>
    <row r="1137">
      <c r="A1137" s="670">
        <v>1176.0</v>
      </c>
      <c r="B1137" s="670" t="s">
        <v>2257</v>
      </c>
      <c r="C1137" s="670" t="s">
        <v>2258</v>
      </c>
      <c r="D1137" s="670" t="s">
        <v>4478</v>
      </c>
      <c r="E1137" s="670" t="s">
        <v>4479</v>
      </c>
      <c r="F1137" s="670">
        <v>5640.0</v>
      </c>
      <c r="G1137" s="670" t="s">
        <v>43</v>
      </c>
      <c r="H1137" s="670" t="s">
        <v>2261</v>
      </c>
      <c r="I1137" s="670" t="s">
        <v>2262</v>
      </c>
      <c r="J1137" s="671">
        <v>46234.0</v>
      </c>
    </row>
    <row r="1138">
      <c r="A1138" s="670">
        <v>1177.0</v>
      </c>
      <c r="B1138" s="670" t="s">
        <v>2257</v>
      </c>
      <c r="C1138" s="670" t="s">
        <v>2258</v>
      </c>
      <c r="D1138" s="670" t="s">
        <v>4480</v>
      </c>
      <c r="E1138" s="670" t="s">
        <v>4481</v>
      </c>
      <c r="F1138" s="670">
        <v>7120.0</v>
      </c>
      <c r="G1138" s="670" t="s">
        <v>43</v>
      </c>
      <c r="H1138" s="670" t="s">
        <v>2261</v>
      </c>
      <c r="I1138" s="670" t="s">
        <v>2262</v>
      </c>
      <c r="J1138" s="671">
        <v>46234.0</v>
      </c>
    </row>
    <row r="1139">
      <c r="A1139" s="670">
        <v>1178.0</v>
      </c>
      <c r="B1139" s="670" t="s">
        <v>2257</v>
      </c>
      <c r="C1139" s="670" t="s">
        <v>2258</v>
      </c>
      <c r="D1139" s="670" t="s">
        <v>4482</v>
      </c>
      <c r="E1139" s="670" t="s">
        <v>4483</v>
      </c>
      <c r="F1139" s="670">
        <v>8590.0</v>
      </c>
      <c r="G1139" s="670" t="s">
        <v>43</v>
      </c>
      <c r="H1139" s="670" t="s">
        <v>2261</v>
      </c>
      <c r="I1139" s="670" t="s">
        <v>2262</v>
      </c>
      <c r="J1139" s="671">
        <v>46234.0</v>
      </c>
    </row>
    <row r="1140">
      <c r="A1140" s="670">
        <v>1179.0</v>
      </c>
      <c r="B1140" s="670" t="s">
        <v>2257</v>
      </c>
      <c r="C1140" s="670" t="s">
        <v>2258</v>
      </c>
      <c r="D1140" s="670" t="s">
        <v>4484</v>
      </c>
      <c r="E1140" s="670" t="s">
        <v>4485</v>
      </c>
      <c r="F1140" s="670">
        <v>14470.0</v>
      </c>
      <c r="G1140" s="670" t="s">
        <v>43</v>
      </c>
      <c r="H1140" s="670" t="s">
        <v>2261</v>
      </c>
      <c r="I1140" s="670" t="s">
        <v>2262</v>
      </c>
      <c r="J1140" s="671">
        <v>46234.0</v>
      </c>
    </row>
    <row r="1141">
      <c r="A1141" s="670">
        <v>1180.0</v>
      </c>
      <c r="B1141" s="670" t="s">
        <v>2257</v>
      </c>
      <c r="C1141" s="670" t="s">
        <v>2258</v>
      </c>
      <c r="D1141" s="670" t="s">
        <v>4486</v>
      </c>
      <c r="E1141" s="670" t="s">
        <v>4487</v>
      </c>
      <c r="F1141" s="670">
        <v>22000.0</v>
      </c>
      <c r="G1141" s="670" t="s">
        <v>43</v>
      </c>
      <c r="H1141" s="670" t="s">
        <v>2261</v>
      </c>
      <c r="I1141" s="670" t="s">
        <v>2262</v>
      </c>
      <c r="J1141" s="671">
        <v>46234.0</v>
      </c>
    </row>
    <row r="1142">
      <c r="A1142" s="670">
        <v>1181.0</v>
      </c>
      <c r="B1142" s="670" t="s">
        <v>2257</v>
      </c>
      <c r="C1142" s="670" t="s">
        <v>2258</v>
      </c>
      <c r="D1142" s="670" t="s">
        <v>4488</v>
      </c>
      <c r="E1142" s="670" t="s">
        <v>4489</v>
      </c>
      <c r="F1142" s="670">
        <v>27900.0</v>
      </c>
      <c r="G1142" s="670" t="s">
        <v>43</v>
      </c>
      <c r="H1142" s="670" t="s">
        <v>2261</v>
      </c>
      <c r="I1142" s="670" t="s">
        <v>2262</v>
      </c>
      <c r="J1142" s="671">
        <v>46234.0</v>
      </c>
    </row>
    <row r="1143">
      <c r="A1143" s="670">
        <v>1182.0</v>
      </c>
      <c r="B1143" s="670" t="s">
        <v>2257</v>
      </c>
      <c r="C1143" s="670" t="s">
        <v>2258</v>
      </c>
      <c r="D1143" s="670" t="s">
        <v>4490</v>
      </c>
      <c r="E1143" s="670" t="s">
        <v>4491</v>
      </c>
      <c r="F1143" s="670">
        <v>36000.0</v>
      </c>
      <c r="G1143" s="670" t="s">
        <v>43</v>
      </c>
      <c r="H1143" s="670" t="s">
        <v>2261</v>
      </c>
      <c r="I1143" s="670" t="s">
        <v>2262</v>
      </c>
      <c r="J1143" s="671">
        <v>46234.0</v>
      </c>
    </row>
    <row r="1144">
      <c r="A1144" s="670">
        <v>1183.0</v>
      </c>
      <c r="B1144" s="670" t="s">
        <v>2257</v>
      </c>
      <c r="C1144" s="670" t="s">
        <v>2258</v>
      </c>
      <c r="D1144" s="670" t="s">
        <v>4492</v>
      </c>
      <c r="E1144" s="670" t="s">
        <v>4493</v>
      </c>
      <c r="F1144" s="670">
        <v>48000.0</v>
      </c>
      <c r="G1144" s="670" t="s">
        <v>43</v>
      </c>
      <c r="H1144" s="670" t="s">
        <v>2261</v>
      </c>
      <c r="I1144" s="670" t="s">
        <v>2262</v>
      </c>
      <c r="J1144" s="671">
        <v>46234.0</v>
      </c>
    </row>
    <row r="1145">
      <c r="A1145" s="670">
        <v>1184.0</v>
      </c>
      <c r="B1145" s="670" t="s">
        <v>2257</v>
      </c>
      <c r="C1145" s="670" t="s">
        <v>2258</v>
      </c>
      <c r="D1145" s="670" t="s">
        <v>4494</v>
      </c>
      <c r="E1145" s="670" t="s">
        <v>4495</v>
      </c>
      <c r="F1145" s="670">
        <v>65500.0</v>
      </c>
      <c r="G1145" s="670" t="s">
        <v>43</v>
      </c>
      <c r="H1145" s="670" t="s">
        <v>2261</v>
      </c>
      <c r="I1145" s="670" t="s">
        <v>2262</v>
      </c>
      <c r="J1145" s="671">
        <v>46234.0</v>
      </c>
    </row>
    <row r="1146">
      <c r="A1146" s="670">
        <v>1185.0</v>
      </c>
      <c r="B1146" s="670" t="s">
        <v>2257</v>
      </c>
      <c r="C1146" s="670" t="s">
        <v>2258</v>
      </c>
      <c r="D1146" s="670" t="s">
        <v>4496</v>
      </c>
      <c r="E1146" s="670" t="s">
        <v>4497</v>
      </c>
      <c r="F1146" s="670">
        <v>90000.0</v>
      </c>
      <c r="G1146" s="670" t="s">
        <v>43</v>
      </c>
      <c r="H1146" s="670" t="s">
        <v>2261</v>
      </c>
      <c r="I1146" s="670" t="s">
        <v>2262</v>
      </c>
      <c r="J1146" s="671">
        <v>46234.0</v>
      </c>
    </row>
    <row r="1147">
      <c r="A1147" s="670">
        <v>1186.0</v>
      </c>
      <c r="B1147" s="670" t="s">
        <v>2257</v>
      </c>
      <c r="C1147" s="670" t="s">
        <v>2258</v>
      </c>
      <c r="D1147" s="670" t="s">
        <v>4498</v>
      </c>
      <c r="E1147" s="670" t="s">
        <v>4499</v>
      </c>
      <c r="F1147" s="670">
        <v>118000.0</v>
      </c>
      <c r="G1147" s="670" t="s">
        <v>43</v>
      </c>
      <c r="H1147" s="670" t="s">
        <v>2261</v>
      </c>
      <c r="I1147" s="670" t="s">
        <v>2262</v>
      </c>
      <c r="J1147" s="671">
        <v>46234.0</v>
      </c>
    </row>
    <row r="1148">
      <c r="A1148" s="670">
        <v>1187.0</v>
      </c>
      <c r="B1148" s="670" t="s">
        <v>2257</v>
      </c>
      <c r="C1148" s="670" t="s">
        <v>2258</v>
      </c>
      <c r="D1148" s="670" t="s">
        <v>4500</v>
      </c>
      <c r="E1148" s="670" t="s">
        <v>4501</v>
      </c>
      <c r="F1148" s="670">
        <v>4390.0</v>
      </c>
      <c r="G1148" s="670" t="s">
        <v>43</v>
      </c>
      <c r="H1148" s="670" t="s">
        <v>2261</v>
      </c>
      <c r="I1148" s="670" t="s">
        <v>2262</v>
      </c>
      <c r="J1148" s="671">
        <v>46234.0</v>
      </c>
    </row>
    <row r="1149">
      <c r="A1149" s="670">
        <v>1188.0</v>
      </c>
      <c r="B1149" s="670" t="s">
        <v>2257</v>
      </c>
      <c r="C1149" s="670" t="s">
        <v>2258</v>
      </c>
      <c r="D1149" s="670" t="s">
        <v>4502</v>
      </c>
      <c r="E1149" s="670" t="s">
        <v>4503</v>
      </c>
      <c r="F1149" s="670">
        <v>5910.0</v>
      </c>
      <c r="G1149" s="670" t="s">
        <v>43</v>
      </c>
      <c r="H1149" s="670" t="s">
        <v>2261</v>
      </c>
      <c r="I1149" s="670" t="s">
        <v>2262</v>
      </c>
      <c r="J1149" s="671">
        <v>46234.0</v>
      </c>
    </row>
    <row r="1150">
      <c r="A1150" s="670">
        <v>1189.0</v>
      </c>
      <c r="B1150" s="670" t="s">
        <v>2257</v>
      </c>
      <c r="C1150" s="670" t="s">
        <v>2258</v>
      </c>
      <c r="D1150" s="670" t="s">
        <v>4504</v>
      </c>
      <c r="E1150" s="670" t="s">
        <v>4505</v>
      </c>
      <c r="F1150" s="670">
        <v>7390.0</v>
      </c>
      <c r="G1150" s="670" t="s">
        <v>43</v>
      </c>
      <c r="H1150" s="670" t="s">
        <v>2261</v>
      </c>
      <c r="I1150" s="670" t="s">
        <v>2262</v>
      </c>
      <c r="J1150" s="671">
        <v>46234.0</v>
      </c>
    </row>
    <row r="1151">
      <c r="A1151" s="670">
        <v>1190.0</v>
      </c>
      <c r="B1151" s="670" t="s">
        <v>2257</v>
      </c>
      <c r="C1151" s="670" t="s">
        <v>2258</v>
      </c>
      <c r="D1151" s="670" t="s">
        <v>4506</v>
      </c>
      <c r="E1151" s="670" t="s">
        <v>4507</v>
      </c>
      <c r="F1151" s="670">
        <v>8900.0</v>
      </c>
      <c r="G1151" s="670" t="s">
        <v>43</v>
      </c>
      <c r="H1151" s="670" t="s">
        <v>2261</v>
      </c>
      <c r="I1151" s="670" t="s">
        <v>2262</v>
      </c>
      <c r="J1151" s="671">
        <v>46234.0</v>
      </c>
    </row>
    <row r="1152">
      <c r="A1152" s="670">
        <v>1191.0</v>
      </c>
      <c r="B1152" s="670" t="s">
        <v>2257</v>
      </c>
      <c r="C1152" s="670" t="s">
        <v>2258</v>
      </c>
      <c r="D1152" s="670" t="s">
        <v>4508</v>
      </c>
      <c r="E1152" s="670" t="s">
        <v>4509</v>
      </c>
      <c r="F1152" s="670">
        <v>14890.0</v>
      </c>
      <c r="G1152" s="670" t="s">
        <v>43</v>
      </c>
      <c r="H1152" s="670" t="s">
        <v>2261</v>
      </c>
      <c r="I1152" s="670" t="s">
        <v>2262</v>
      </c>
      <c r="J1152" s="671">
        <v>46234.0</v>
      </c>
    </row>
    <row r="1153">
      <c r="A1153" s="670">
        <v>1192.0</v>
      </c>
      <c r="B1153" s="670" t="s">
        <v>2257</v>
      </c>
      <c r="C1153" s="670" t="s">
        <v>2258</v>
      </c>
      <c r="D1153" s="670" t="s">
        <v>4510</v>
      </c>
      <c r="E1153" s="670" t="s">
        <v>4511</v>
      </c>
      <c r="F1153" s="670">
        <v>23150.0</v>
      </c>
      <c r="G1153" s="670" t="s">
        <v>43</v>
      </c>
      <c r="H1153" s="670" t="s">
        <v>2261</v>
      </c>
      <c r="I1153" s="670" t="s">
        <v>2262</v>
      </c>
      <c r="J1153" s="671">
        <v>46234.0</v>
      </c>
    </row>
    <row r="1154">
      <c r="A1154" s="670">
        <v>1193.0</v>
      </c>
      <c r="B1154" s="670" t="s">
        <v>2257</v>
      </c>
      <c r="C1154" s="670" t="s">
        <v>2258</v>
      </c>
      <c r="D1154" s="670" t="s">
        <v>4512</v>
      </c>
      <c r="E1154" s="670" t="s">
        <v>4513</v>
      </c>
      <c r="F1154" s="670">
        <v>29000.0</v>
      </c>
      <c r="G1154" s="670" t="s">
        <v>43</v>
      </c>
      <c r="H1154" s="670" t="s">
        <v>2261</v>
      </c>
      <c r="I1154" s="670" t="s">
        <v>2262</v>
      </c>
      <c r="J1154" s="671">
        <v>46234.0</v>
      </c>
    </row>
    <row r="1155">
      <c r="A1155" s="670">
        <v>1194.0</v>
      </c>
      <c r="B1155" s="670" t="s">
        <v>2257</v>
      </c>
      <c r="C1155" s="670" t="s">
        <v>2258</v>
      </c>
      <c r="D1155" s="670" t="s">
        <v>4514</v>
      </c>
      <c r="E1155" s="670" t="s">
        <v>4515</v>
      </c>
      <c r="F1155" s="670">
        <v>59500.0</v>
      </c>
      <c r="G1155" s="670" t="s">
        <v>43</v>
      </c>
      <c r="H1155" s="670" t="s">
        <v>2261</v>
      </c>
      <c r="I1155" s="670" t="s">
        <v>2262</v>
      </c>
      <c r="J1155" s="671">
        <v>46234.0</v>
      </c>
    </row>
    <row r="1156">
      <c r="A1156" s="670">
        <v>1195.0</v>
      </c>
      <c r="B1156" s="670" t="s">
        <v>2257</v>
      </c>
      <c r="C1156" s="670" t="s">
        <v>2258</v>
      </c>
      <c r="D1156" s="670" t="s">
        <v>4516</v>
      </c>
      <c r="E1156" s="670" t="s">
        <v>4517</v>
      </c>
      <c r="F1156" s="670">
        <v>79700.0</v>
      </c>
      <c r="G1156" s="670" t="s">
        <v>43</v>
      </c>
      <c r="H1156" s="670" t="s">
        <v>2261</v>
      </c>
      <c r="I1156" s="670" t="s">
        <v>2262</v>
      </c>
      <c r="J1156" s="671">
        <v>46234.0</v>
      </c>
    </row>
    <row r="1157">
      <c r="A1157" s="670">
        <v>1196.0</v>
      </c>
      <c r="B1157" s="670" t="s">
        <v>2257</v>
      </c>
      <c r="C1157" s="670" t="s">
        <v>2258</v>
      </c>
      <c r="D1157" s="670" t="s">
        <v>4518</v>
      </c>
      <c r="E1157" s="670" t="s">
        <v>4519</v>
      </c>
      <c r="F1157" s="670">
        <v>107100.0</v>
      </c>
      <c r="G1157" s="670" t="s">
        <v>43</v>
      </c>
      <c r="H1157" s="670" t="s">
        <v>2261</v>
      </c>
      <c r="I1157" s="670" t="s">
        <v>2262</v>
      </c>
      <c r="J1157" s="671">
        <v>46234.0</v>
      </c>
    </row>
    <row r="1158">
      <c r="A1158" s="670">
        <v>1197.0</v>
      </c>
      <c r="B1158" s="670" t="s">
        <v>2257</v>
      </c>
      <c r="C1158" s="670" t="s">
        <v>2258</v>
      </c>
      <c r="D1158" s="670" t="s">
        <v>4520</v>
      </c>
      <c r="E1158" s="670" t="s">
        <v>4521</v>
      </c>
      <c r="F1158" s="670">
        <v>145600.0</v>
      </c>
      <c r="G1158" s="670" t="s">
        <v>43</v>
      </c>
      <c r="H1158" s="670" t="s">
        <v>2261</v>
      </c>
      <c r="I1158" s="670" t="s">
        <v>2262</v>
      </c>
      <c r="J1158" s="671">
        <v>46234.0</v>
      </c>
    </row>
    <row r="1159">
      <c r="A1159" s="670">
        <v>1198.0</v>
      </c>
      <c r="B1159" s="670" t="s">
        <v>2257</v>
      </c>
      <c r="C1159" s="670" t="s">
        <v>2258</v>
      </c>
      <c r="D1159" s="670" t="s">
        <v>4522</v>
      </c>
      <c r="E1159" s="670" t="s">
        <v>4523</v>
      </c>
      <c r="F1159" s="670">
        <v>188650.0</v>
      </c>
      <c r="G1159" s="670" t="s">
        <v>43</v>
      </c>
      <c r="H1159" s="670" t="s">
        <v>2261</v>
      </c>
      <c r="I1159" s="670" t="s">
        <v>2262</v>
      </c>
      <c r="J1159" s="671">
        <v>46234.0</v>
      </c>
    </row>
    <row r="1160">
      <c r="A1160" s="670">
        <v>1199.0</v>
      </c>
      <c r="B1160" s="670" t="s">
        <v>2257</v>
      </c>
      <c r="C1160" s="670" t="s">
        <v>2258</v>
      </c>
      <c r="D1160" s="670" t="s">
        <v>4524</v>
      </c>
      <c r="E1160" s="670" t="s">
        <v>4525</v>
      </c>
      <c r="F1160" s="670">
        <v>4230.0</v>
      </c>
      <c r="G1160" s="670" t="s">
        <v>43</v>
      </c>
      <c r="H1160" s="670" t="s">
        <v>2261</v>
      </c>
      <c r="I1160" s="670" t="s">
        <v>2262</v>
      </c>
      <c r="J1160" s="671">
        <v>46234.0</v>
      </c>
    </row>
    <row r="1161">
      <c r="A1161" s="670">
        <v>1200.0</v>
      </c>
      <c r="B1161" s="670" t="s">
        <v>2257</v>
      </c>
      <c r="C1161" s="670" t="s">
        <v>2258</v>
      </c>
      <c r="D1161" s="670" t="s">
        <v>4526</v>
      </c>
      <c r="E1161" s="670" t="s">
        <v>4527</v>
      </c>
      <c r="F1161" s="670">
        <v>5790.0</v>
      </c>
      <c r="G1161" s="670" t="s">
        <v>43</v>
      </c>
      <c r="H1161" s="670" t="s">
        <v>2261</v>
      </c>
      <c r="I1161" s="670" t="s">
        <v>2262</v>
      </c>
      <c r="J1161" s="671">
        <v>46234.0</v>
      </c>
    </row>
    <row r="1162">
      <c r="A1162" s="670">
        <v>1201.0</v>
      </c>
      <c r="B1162" s="670" t="s">
        <v>2257</v>
      </c>
      <c r="C1162" s="670" t="s">
        <v>2258</v>
      </c>
      <c r="D1162" s="670" t="s">
        <v>4528</v>
      </c>
      <c r="E1162" s="670" t="s">
        <v>4529</v>
      </c>
      <c r="F1162" s="670">
        <v>7310.0</v>
      </c>
      <c r="G1162" s="670" t="s">
        <v>43</v>
      </c>
      <c r="H1162" s="670" t="s">
        <v>2261</v>
      </c>
      <c r="I1162" s="670" t="s">
        <v>2262</v>
      </c>
      <c r="J1162" s="671">
        <v>46234.0</v>
      </c>
    </row>
    <row r="1163">
      <c r="A1163" s="670">
        <v>1202.0</v>
      </c>
      <c r="B1163" s="670" t="s">
        <v>2257</v>
      </c>
      <c r="C1163" s="670" t="s">
        <v>2258</v>
      </c>
      <c r="D1163" s="670" t="s">
        <v>4530</v>
      </c>
      <c r="E1163" s="670" t="s">
        <v>4531</v>
      </c>
      <c r="F1163" s="670">
        <v>8790.0</v>
      </c>
      <c r="G1163" s="670" t="s">
        <v>43</v>
      </c>
      <c r="H1163" s="670" t="s">
        <v>2261</v>
      </c>
      <c r="I1163" s="670" t="s">
        <v>2262</v>
      </c>
      <c r="J1163" s="671">
        <v>46234.0</v>
      </c>
    </row>
    <row r="1164">
      <c r="A1164" s="670">
        <v>1203.0</v>
      </c>
      <c r="B1164" s="670" t="s">
        <v>2257</v>
      </c>
      <c r="C1164" s="670" t="s">
        <v>2258</v>
      </c>
      <c r="D1164" s="670" t="s">
        <v>4532</v>
      </c>
      <c r="E1164" s="670" t="s">
        <v>4533</v>
      </c>
      <c r="F1164" s="670">
        <v>14600.0</v>
      </c>
      <c r="G1164" s="670" t="s">
        <v>43</v>
      </c>
      <c r="H1164" s="670" t="s">
        <v>2261</v>
      </c>
      <c r="I1164" s="670" t="s">
        <v>2262</v>
      </c>
      <c r="J1164" s="671">
        <v>46234.0</v>
      </c>
    </row>
    <row r="1165">
      <c r="A1165" s="670">
        <v>1204.0</v>
      </c>
      <c r="B1165" s="670" t="s">
        <v>2257</v>
      </c>
      <c r="C1165" s="670" t="s">
        <v>2258</v>
      </c>
      <c r="D1165" s="670" t="s">
        <v>4534</v>
      </c>
      <c r="E1165" s="670" t="s">
        <v>4533</v>
      </c>
      <c r="F1165" s="670">
        <v>22900.0</v>
      </c>
      <c r="G1165" s="670" t="s">
        <v>43</v>
      </c>
      <c r="H1165" s="670" t="s">
        <v>2261</v>
      </c>
      <c r="I1165" s="670" t="s">
        <v>2262</v>
      </c>
      <c r="J1165" s="671">
        <v>46234.0</v>
      </c>
    </row>
    <row r="1166">
      <c r="A1166" s="670">
        <v>1205.0</v>
      </c>
      <c r="B1166" s="670" t="s">
        <v>2257</v>
      </c>
      <c r="C1166" s="670" t="s">
        <v>2258</v>
      </c>
      <c r="D1166" s="670" t="s">
        <v>4535</v>
      </c>
      <c r="E1166" s="670" t="s">
        <v>4536</v>
      </c>
      <c r="F1166" s="670">
        <v>28300.0</v>
      </c>
      <c r="G1166" s="670" t="s">
        <v>43</v>
      </c>
      <c r="H1166" s="670" t="s">
        <v>2261</v>
      </c>
      <c r="I1166" s="670" t="s">
        <v>2262</v>
      </c>
      <c r="J1166" s="671">
        <v>46234.0</v>
      </c>
    </row>
    <row r="1167">
      <c r="A1167" s="670">
        <v>1206.0</v>
      </c>
      <c r="B1167" s="670" t="s">
        <v>2257</v>
      </c>
      <c r="C1167" s="670" t="s">
        <v>2258</v>
      </c>
      <c r="D1167" s="670" t="s">
        <v>4537</v>
      </c>
      <c r="E1167" s="670" t="s">
        <v>4538</v>
      </c>
      <c r="F1167" s="670">
        <v>58700.0</v>
      </c>
      <c r="G1167" s="670" t="s">
        <v>43</v>
      </c>
      <c r="H1167" s="670" t="s">
        <v>2261</v>
      </c>
      <c r="I1167" s="670" t="s">
        <v>2262</v>
      </c>
      <c r="J1167" s="671">
        <v>46234.0</v>
      </c>
    </row>
    <row r="1168">
      <c r="A1168" s="670">
        <v>1207.0</v>
      </c>
      <c r="B1168" s="670" t="s">
        <v>2257</v>
      </c>
      <c r="C1168" s="670" t="s">
        <v>2258</v>
      </c>
      <c r="D1168" s="670" t="s">
        <v>4539</v>
      </c>
      <c r="E1168" s="670" t="s">
        <v>4540</v>
      </c>
      <c r="F1168" s="670">
        <v>79010.0</v>
      </c>
      <c r="G1168" s="670" t="s">
        <v>43</v>
      </c>
      <c r="H1168" s="670" t="s">
        <v>2261</v>
      </c>
      <c r="I1168" s="670" t="s">
        <v>2262</v>
      </c>
      <c r="J1168" s="671">
        <v>46234.0</v>
      </c>
    </row>
    <row r="1169">
      <c r="A1169" s="670">
        <v>1208.0</v>
      </c>
      <c r="B1169" s="670" t="s">
        <v>2257</v>
      </c>
      <c r="C1169" s="670" t="s">
        <v>2258</v>
      </c>
      <c r="D1169" s="670" t="s">
        <v>4541</v>
      </c>
      <c r="E1169" s="670" t="s">
        <v>4542</v>
      </c>
      <c r="F1169" s="670">
        <v>104083.0</v>
      </c>
      <c r="G1169" s="670" t="s">
        <v>43</v>
      </c>
      <c r="H1169" s="670" t="s">
        <v>2261</v>
      </c>
      <c r="I1169" s="670" t="s">
        <v>2262</v>
      </c>
      <c r="J1169" s="671">
        <v>46234.0</v>
      </c>
    </row>
    <row r="1170">
      <c r="A1170" s="670">
        <v>1209.0</v>
      </c>
      <c r="B1170" s="670" t="s">
        <v>2257</v>
      </c>
      <c r="C1170" s="670" t="s">
        <v>2258</v>
      </c>
      <c r="D1170" s="670" t="s">
        <v>4543</v>
      </c>
      <c r="E1170" s="670" t="s">
        <v>4544</v>
      </c>
      <c r="F1170" s="670">
        <v>129806.0</v>
      </c>
      <c r="G1170" s="670" t="s">
        <v>43</v>
      </c>
      <c r="H1170" s="670" t="s">
        <v>2261</v>
      </c>
      <c r="I1170" s="670" t="s">
        <v>2262</v>
      </c>
      <c r="J1170" s="671">
        <v>46234.0</v>
      </c>
    </row>
    <row r="1171">
      <c r="A1171" s="670">
        <v>1210.0</v>
      </c>
      <c r="B1171" s="670" t="s">
        <v>2257</v>
      </c>
      <c r="C1171" s="670" t="s">
        <v>2258</v>
      </c>
      <c r="D1171" s="670" t="s">
        <v>4545</v>
      </c>
      <c r="E1171" s="670" t="s">
        <v>4546</v>
      </c>
      <c r="F1171" s="670">
        <v>183052.0</v>
      </c>
      <c r="G1171" s="670" t="s">
        <v>43</v>
      </c>
      <c r="H1171" s="670" t="s">
        <v>2572</v>
      </c>
      <c r="I1171" s="670" t="s">
        <v>2573</v>
      </c>
      <c r="J1171" s="671">
        <v>46234.0</v>
      </c>
    </row>
    <row r="1172">
      <c r="A1172" s="670">
        <v>1211.0</v>
      </c>
      <c r="B1172" s="670" t="s">
        <v>2257</v>
      </c>
      <c r="C1172" s="670" t="s">
        <v>2258</v>
      </c>
      <c r="D1172" s="670" t="s">
        <v>4547</v>
      </c>
      <c r="E1172" s="670" t="s">
        <v>4548</v>
      </c>
      <c r="F1172" s="670">
        <v>5472.0</v>
      </c>
      <c r="G1172" s="670" t="s">
        <v>43</v>
      </c>
      <c r="H1172" s="670" t="s">
        <v>2261</v>
      </c>
      <c r="I1172" s="670" t="s">
        <v>2262</v>
      </c>
      <c r="J1172" s="671">
        <v>46234.0</v>
      </c>
    </row>
    <row r="1173">
      <c r="A1173" s="670">
        <v>1212.0</v>
      </c>
      <c r="B1173" s="670" t="s">
        <v>2257</v>
      </c>
      <c r="C1173" s="670" t="s">
        <v>2258</v>
      </c>
      <c r="D1173" s="670" t="s">
        <v>4549</v>
      </c>
      <c r="E1173" s="670" t="s">
        <v>4550</v>
      </c>
      <c r="F1173" s="670">
        <v>7300.0</v>
      </c>
      <c r="G1173" s="670" t="s">
        <v>43</v>
      </c>
      <c r="H1173" s="670" t="s">
        <v>2261</v>
      </c>
      <c r="I1173" s="670" t="s">
        <v>2262</v>
      </c>
      <c r="J1173" s="671">
        <v>46234.0</v>
      </c>
    </row>
    <row r="1174">
      <c r="A1174" s="670">
        <v>1213.0</v>
      </c>
      <c r="B1174" s="670" t="s">
        <v>2257</v>
      </c>
      <c r="C1174" s="670" t="s">
        <v>2258</v>
      </c>
      <c r="D1174" s="670" t="s">
        <v>4551</v>
      </c>
      <c r="E1174" s="670" t="s">
        <v>4552</v>
      </c>
      <c r="F1174" s="670">
        <v>9000.0</v>
      </c>
      <c r="G1174" s="670" t="s">
        <v>43</v>
      </c>
      <c r="H1174" s="670" t="s">
        <v>2261</v>
      </c>
      <c r="I1174" s="670" t="s">
        <v>2262</v>
      </c>
      <c r="J1174" s="671">
        <v>46234.0</v>
      </c>
    </row>
    <row r="1175">
      <c r="A1175" s="670">
        <v>1214.0</v>
      </c>
      <c r="B1175" s="670" t="s">
        <v>2257</v>
      </c>
      <c r="C1175" s="670" t="s">
        <v>2258</v>
      </c>
      <c r="D1175" s="670" t="s">
        <v>4553</v>
      </c>
      <c r="E1175" s="670" t="s">
        <v>4554</v>
      </c>
      <c r="F1175" s="670">
        <v>10800.0</v>
      </c>
      <c r="G1175" s="670" t="s">
        <v>43</v>
      </c>
      <c r="H1175" s="670" t="s">
        <v>2261</v>
      </c>
      <c r="I1175" s="670" t="s">
        <v>2262</v>
      </c>
      <c r="J1175" s="671">
        <v>46234.0</v>
      </c>
    </row>
    <row r="1176">
      <c r="A1176" s="670">
        <v>1215.0</v>
      </c>
      <c r="B1176" s="670" t="s">
        <v>2257</v>
      </c>
      <c r="C1176" s="670" t="s">
        <v>2258</v>
      </c>
      <c r="D1176" s="670" t="s">
        <v>4555</v>
      </c>
      <c r="E1176" s="670" t="s">
        <v>4556</v>
      </c>
      <c r="F1176" s="670">
        <v>19900.0</v>
      </c>
      <c r="G1176" s="670" t="s">
        <v>43</v>
      </c>
      <c r="H1176" s="670" t="s">
        <v>2261</v>
      </c>
      <c r="I1176" s="670" t="s">
        <v>2262</v>
      </c>
      <c r="J1176" s="671">
        <v>46234.0</v>
      </c>
    </row>
    <row r="1177">
      <c r="A1177" s="670">
        <v>1216.0</v>
      </c>
      <c r="B1177" s="670" t="s">
        <v>2257</v>
      </c>
      <c r="C1177" s="670" t="s">
        <v>2258</v>
      </c>
      <c r="D1177" s="670" t="s">
        <v>4557</v>
      </c>
      <c r="E1177" s="670" t="s">
        <v>4558</v>
      </c>
      <c r="F1177" s="670">
        <v>29300.0</v>
      </c>
      <c r="G1177" s="670" t="s">
        <v>43</v>
      </c>
      <c r="H1177" s="670" t="s">
        <v>2261</v>
      </c>
      <c r="I1177" s="670" t="s">
        <v>2262</v>
      </c>
      <c r="J1177" s="671">
        <v>46234.0</v>
      </c>
    </row>
    <row r="1178">
      <c r="A1178" s="670">
        <v>1217.0</v>
      </c>
      <c r="B1178" s="670" t="s">
        <v>2257</v>
      </c>
      <c r="C1178" s="670" t="s">
        <v>2258</v>
      </c>
      <c r="D1178" s="670" t="s">
        <v>4559</v>
      </c>
      <c r="E1178" s="670" t="s">
        <v>4560</v>
      </c>
      <c r="F1178" s="670">
        <v>38900.0</v>
      </c>
      <c r="G1178" s="670" t="s">
        <v>43</v>
      </c>
      <c r="H1178" s="670" t="s">
        <v>2261</v>
      </c>
      <c r="I1178" s="670" t="s">
        <v>2262</v>
      </c>
      <c r="J1178" s="671">
        <v>46234.0</v>
      </c>
    </row>
    <row r="1179">
      <c r="A1179" s="670">
        <v>1218.0</v>
      </c>
      <c r="B1179" s="670" t="s">
        <v>2257</v>
      </c>
      <c r="C1179" s="670" t="s">
        <v>2258</v>
      </c>
      <c r="D1179" s="670" t="s">
        <v>4561</v>
      </c>
      <c r="E1179" s="670" t="s">
        <v>4562</v>
      </c>
      <c r="F1179" s="670">
        <v>5472.0</v>
      </c>
      <c r="G1179" s="670" t="s">
        <v>43</v>
      </c>
      <c r="H1179" s="670" t="s">
        <v>2261</v>
      </c>
      <c r="I1179" s="670" t="s">
        <v>2262</v>
      </c>
      <c r="J1179" s="671">
        <v>46234.0</v>
      </c>
    </row>
    <row r="1180">
      <c r="A1180" s="670">
        <v>1219.0</v>
      </c>
      <c r="B1180" s="670" t="s">
        <v>2257</v>
      </c>
      <c r="C1180" s="670" t="s">
        <v>2258</v>
      </c>
      <c r="D1180" s="670" t="s">
        <v>4563</v>
      </c>
      <c r="E1180" s="670" t="s">
        <v>4564</v>
      </c>
      <c r="F1180" s="670">
        <v>7300.0</v>
      </c>
      <c r="G1180" s="670" t="s">
        <v>43</v>
      </c>
      <c r="H1180" s="670" t="s">
        <v>2261</v>
      </c>
      <c r="I1180" s="670" t="s">
        <v>2262</v>
      </c>
      <c r="J1180" s="671">
        <v>46234.0</v>
      </c>
    </row>
    <row r="1181">
      <c r="A1181" s="670">
        <v>1220.0</v>
      </c>
      <c r="B1181" s="670" t="s">
        <v>2257</v>
      </c>
      <c r="C1181" s="670" t="s">
        <v>2258</v>
      </c>
      <c r="D1181" s="670" t="s">
        <v>4565</v>
      </c>
      <c r="E1181" s="670" t="s">
        <v>4566</v>
      </c>
      <c r="F1181" s="670">
        <v>9000.0</v>
      </c>
      <c r="G1181" s="670" t="s">
        <v>43</v>
      </c>
      <c r="H1181" s="670" t="s">
        <v>2261</v>
      </c>
      <c r="I1181" s="670" t="s">
        <v>2262</v>
      </c>
      <c r="J1181" s="671">
        <v>46234.0</v>
      </c>
    </row>
    <row r="1182">
      <c r="A1182" s="670">
        <v>1221.0</v>
      </c>
      <c r="B1182" s="670" t="s">
        <v>2257</v>
      </c>
      <c r="C1182" s="670" t="s">
        <v>2258</v>
      </c>
      <c r="D1182" s="670" t="s">
        <v>4567</v>
      </c>
      <c r="E1182" s="670" t="s">
        <v>4568</v>
      </c>
      <c r="F1182" s="670">
        <v>10800.0</v>
      </c>
      <c r="G1182" s="670" t="s">
        <v>43</v>
      </c>
      <c r="H1182" s="670" t="s">
        <v>2261</v>
      </c>
      <c r="I1182" s="670" t="s">
        <v>2262</v>
      </c>
      <c r="J1182" s="671">
        <v>46234.0</v>
      </c>
    </row>
    <row r="1183">
      <c r="A1183" s="670">
        <v>1222.0</v>
      </c>
      <c r="B1183" s="670" t="s">
        <v>2257</v>
      </c>
      <c r="C1183" s="670" t="s">
        <v>2258</v>
      </c>
      <c r="D1183" s="670" t="s">
        <v>4569</v>
      </c>
      <c r="E1183" s="670" t="s">
        <v>4570</v>
      </c>
      <c r="F1183" s="670">
        <v>19900.0</v>
      </c>
      <c r="G1183" s="670" t="s">
        <v>43</v>
      </c>
      <c r="H1183" s="670" t="s">
        <v>2261</v>
      </c>
      <c r="I1183" s="670" t="s">
        <v>2262</v>
      </c>
      <c r="J1183" s="671">
        <v>46234.0</v>
      </c>
    </row>
    <row r="1184">
      <c r="A1184" s="670">
        <v>1223.0</v>
      </c>
      <c r="B1184" s="670" t="s">
        <v>2257</v>
      </c>
      <c r="C1184" s="670" t="s">
        <v>2258</v>
      </c>
      <c r="D1184" s="670" t="s">
        <v>4571</v>
      </c>
      <c r="E1184" s="670" t="s">
        <v>4572</v>
      </c>
      <c r="F1184" s="670">
        <v>29300.0</v>
      </c>
      <c r="G1184" s="670" t="s">
        <v>43</v>
      </c>
      <c r="H1184" s="670" t="s">
        <v>2261</v>
      </c>
      <c r="I1184" s="670" t="s">
        <v>2262</v>
      </c>
      <c r="J1184" s="671">
        <v>46234.0</v>
      </c>
    </row>
    <row r="1185">
      <c r="A1185" s="670">
        <v>1224.0</v>
      </c>
      <c r="B1185" s="670" t="s">
        <v>2257</v>
      </c>
      <c r="C1185" s="670" t="s">
        <v>2258</v>
      </c>
      <c r="D1185" s="670" t="s">
        <v>4573</v>
      </c>
      <c r="E1185" s="670" t="s">
        <v>4574</v>
      </c>
      <c r="F1185" s="670">
        <v>38900.0</v>
      </c>
      <c r="G1185" s="670" t="s">
        <v>43</v>
      </c>
      <c r="H1185" s="670" t="s">
        <v>2261</v>
      </c>
      <c r="I1185" s="670" t="s">
        <v>2262</v>
      </c>
      <c r="J1185" s="671">
        <v>46234.0</v>
      </c>
    </row>
    <row r="1186">
      <c r="A1186" s="670">
        <v>1225.0</v>
      </c>
      <c r="B1186" s="670" t="s">
        <v>2257</v>
      </c>
      <c r="C1186" s="670" t="s">
        <v>2258</v>
      </c>
      <c r="D1186" s="670" t="s">
        <v>4575</v>
      </c>
      <c r="E1186" s="670" t="s">
        <v>4576</v>
      </c>
      <c r="F1186" s="670">
        <v>17.0</v>
      </c>
      <c r="G1186" s="670" t="s">
        <v>759</v>
      </c>
      <c r="H1186" s="670" t="s">
        <v>2261</v>
      </c>
      <c r="I1186" s="670" t="s">
        <v>2262</v>
      </c>
      <c r="J1186" s="671">
        <v>46234.0</v>
      </c>
    </row>
    <row r="1187">
      <c r="A1187" s="670">
        <v>1226.0</v>
      </c>
      <c r="B1187" s="670" t="s">
        <v>2559</v>
      </c>
      <c r="C1187" s="670" t="s">
        <v>2258</v>
      </c>
      <c r="D1187" s="670" t="s">
        <v>4577</v>
      </c>
      <c r="E1187" s="670" t="s">
        <v>4578</v>
      </c>
      <c r="F1187" s="670">
        <v>811.0</v>
      </c>
      <c r="G1187" s="670" t="s">
        <v>27</v>
      </c>
      <c r="H1187" s="670" t="s">
        <v>2261</v>
      </c>
      <c r="I1187" s="670" t="s">
        <v>2262</v>
      </c>
      <c r="J1187" s="671">
        <v>46234.0</v>
      </c>
    </row>
    <row r="1188">
      <c r="A1188" s="670">
        <v>1227.0</v>
      </c>
      <c r="B1188" s="670" t="s">
        <v>2559</v>
      </c>
      <c r="C1188" s="670" t="s">
        <v>2258</v>
      </c>
      <c r="D1188" s="670" t="s">
        <v>4579</v>
      </c>
      <c r="E1188" s="670" t="s">
        <v>4580</v>
      </c>
      <c r="F1188" s="670">
        <v>349.0</v>
      </c>
      <c r="G1188" s="670" t="s">
        <v>27</v>
      </c>
      <c r="H1188" s="670" t="s">
        <v>2261</v>
      </c>
      <c r="I1188" s="670" t="s">
        <v>2262</v>
      </c>
      <c r="J1188" s="671">
        <v>46234.0</v>
      </c>
    </row>
    <row r="1189">
      <c r="A1189" s="670">
        <v>1228.0</v>
      </c>
      <c r="B1189" s="670" t="s">
        <v>2559</v>
      </c>
      <c r="C1189" s="670" t="s">
        <v>2258</v>
      </c>
      <c r="D1189" s="670" t="s">
        <v>4581</v>
      </c>
      <c r="E1189" s="670" t="s">
        <v>4582</v>
      </c>
      <c r="F1189" s="670">
        <v>1191.0</v>
      </c>
      <c r="G1189" s="670" t="s">
        <v>27</v>
      </c>
      <c r="H1189" s="670" t="s">
        <v>2261</v>
      </c>
      <c r="I1189" s="670" t="s">
        <v>2262</v>
      </c>
      <c r="J1189" s="671">
        <v>46234.0</v>
      </c>
    </row>
    <row r="1190">
      <c r="A1190" s="670">
        <v>1229.0</v>
      </c>
      <c r="B1190" s="670" t="s">
        <v>2257</v>
      </c>
      <c r="C1190" s="670" t="s">
        <v>2258</v>
      </c>
      <c r="D1190" s="670" t="s">
        <v>4583</v>
      </c>
      <c r="E1190" s="670" t="s">
        <v>4584</v>
      </c>
      <c r="F1190" s="670">
        <v>1.0</v>
      </c>
      <c r="G1190" s="670" t="s">
        <v>107</v>
      </c>
      <c r="H1190" s="670" t="s">
        <v>2261</v>
      </c>
      <c r="I1190" s="670" t="s">
        <v>2262</v>
      </c>
      <c r="J1190" s="671">
        <v>46234.0</v>
      </c>
    </row>
    <row r="1191">
      <c r="A1191" s="670">
        <v>1230.0</v>
      </c>
      <c r="B1191" s="670" t="s">
        <v>2559</v>
      </c>
      <c r="C1191" s="670" t="s">
        <v>2258</v>
      </c>
      <c r="D1191" s="670" t="s">
        <v>4585</v>
      </c>
      <c r="E1191" s="670" t="s">
        <v>4586</v>
      </c>
      <c r="F1191" s="670">
        <v>5.0</v>
      </c>
      <c r="G1191" s="670" t="s">
        <v>22</v>
      </c>
      <c r="H1191" s="670" t="s">
        <v>2261</v>
      </c>
      <c r="I1191" s="670" t="s">
        <v>2262</v>
      </c>
      <c r="J1191" s="671">
        <v>46234.0</v>
      </c>
    </row>
    <row r="1192">
      <c r="A1192" s="670">
        <v>1231.0</v>
      </c>
      <c r="B1192" s="670" t="s">
        <v>2719</v>
      </c>
      <c r="C1192" s="670" t="s">
        <v>2258</v>
      </c>
      <c r="D1192" s="670" t="s">
        <v>4587</v>
      </c>
      <c r="E1192" s="670" t="s">
        <v>4588</v>
      </c>
      <c r="F1192" s="670">
        <v>134.0</v>
      </c>
      <c r="G1192" s="670" t="s">
        <v>824</v>
      </c>
      <c r="H1192" s="670" t="s">
        <v>2261</v>
      </c>
      <c r="I1192" s="670" t="s">
        <v>2262</v>
      </c>
      <c r="J1192" s="671">
        <v>46234.0</v>
      </c>
    </row>
    <row r="1193">
      <c r="A1193" s="670">
        <v>1232.0</v>
      </c>
      <c r="B1193" s="670" t="s">
        <v>2719</v>
      </c>
      <c r="C1193" s="670" t="s">
        <v>2258</v>
      </c>
      <c r="D1193" s="670" t="s">
        <v>4589</v>
      </c>
      <c r="E1193" s="670" t="s">
        <v>4590</v>
      </c>
      <c r="F1193" s="670">
        <v>37.0</v>
      </c>
      <c r="G1193" s="670" t="s">
        <v>22</v>
      </c>
      <c r="H1193" s="670" t="s">
        <v>2261</v>
      </c>
      <c r="I1193" s="670" t="s">
        <v>2262</v>
      </c>
      <c r="J1193" s="671">
        <v>46234.0</v>
      </c>
    </row>
    <row r="1194">
      <c r="A1194" s="670">
        <v>1233.0</v>
      </c>
      <c r="B1194" s="670" t="s">
        <v>2257</v>
      </c>
      <c r="C1194" s="670" t="s">
        <v>2258</v>
      </c>
      <c r="D1194" s="670" t="s">
        <v>4591</v>
      </c>
      <c r="E1194" s="670" t="s">
        <v>4592</v>
      </c>
      <c r="F1194" s="670">
        <v>20.0</v>
      </c>
      <c r="G1194" s="670" t="s">
        <v>759</v>
      </c>
      <c r="H1194" s="670" t="s">
        <v>2261</v>
      </c>
      <c r="I1194" s="670" t="s">
        <v>2262</v>
      </c>
      <c r="J1194" s="671">
        <v>46234.0</v>
      </c>
    </row>
    <row r="1195">
      <c r="A1195" s="670">
        <v>1234.0</v>
      </c>
      <c r="B1195" s="670" t="s">
        <v>2257</v>
      </c>
      <c r="C1195" s="670" t="s">
        <v>2258</v>
      </c>
      <c r="D1195" s="670" t="s">
        <v>2118</v>
      </c>
      <c r="E1195" s="670" t="s">
        <v>2228</v>
      </c>
      <c r="F1195" s="670">
        <v>875.0</v>
      </c>
      <c r="G1195" s="670" t="s">
        <v>1117</v>
      </c>
      <c r="H1195" s="670" t="s">
        <v>2261</v>
      </c>
      <c r="I1195" s="670" t="s">
        <v>2262</v>
      </c>
      <c r="J1195" s="671">
        <v>46234.0</v>
      </c>
    </row>
    <row r="1196">
      <c r="A1196" s="670">
        <v>1235.0</v>
      </c>
      <c r="B1196" s="670" t="s">
        <v>2257</v>
      </c>
      <c r="C1196" s="670" t="s">
        <v>2258</v>
      </c>
      <c r="D1196" s="670" t="s">
        <v>2121</v>
      </c>
      <c r="E1196" s="670" t="s">
        <v>2229</v>
      </c>
      <c r="F1196" s="670">
        <v>1228.0</v>
      </c>
      <c r="G1196" s="670" t="s">
        <v>1117</v>
      </c>
      <c r="H1196" s="670" t="s">
        <v>2261</v>
      </c>
      <c r="I1196" s="670" t="s">
        <v>2262</v>
      </c>
      <c r="J1196" s="671">
        <v>46234.0</v>
      </c>
    </row>
    <row r="1197">
      <c r="A1197" s="670">
        <v>1236.0</v>
      </c>
      <c r="B1197" s="670" t="s">
        <v>2257</v>
      </c>
      <c r="C1197" s="670" t="s">
        <v>2258</v>
      </c>
      <c r="D1197" s="670" t="s">
        <v>4593</v>
      </c>
      <c r="E1197" s="670" t="s">
        <v>4594</v>
      </c>
      <c r="F1197" s="670">
        <v>54.0</v>
      </c>
      <c r="G1197" s="670" t="s">
        <v>1117</v>
      </c>
      <c r="H1197" s="670" t="s">
        <v>2261</v>
      </c>
      <c r="I1197" s="670" t="s">
        <v>2262</v>
      </c>
      <c r="J1197" s="671">
        <v>46234.0</v>
      </c>
    </row>
    <row r="1198">
      <c r="A1198" s="670">
        <v>1237.0</v>
      </c>
      <c r="B1198" s="670" t="s">
        <v>2257</v>
      </c>
      <c r="C1198" s="670" t="s">
        <v>2258</v>
      </c>
      <c r="D1198" s="670" t="s">
        <v>4595</v>
      </c>
      <c r="E1198" s="670" t="s">
        <v>4596</v>
      </c>
      <c r="F1198" s="670">
        <v>54.0</v>
      </c>
      <c r="G1198" s="670" t="s">
        <v>1117</v>
      </c>
      <c r="H1198" s="670" t="s">
        <v>2261</v>
      </c>
      <c r="I1198" s="670" t="s">
        <v>2262</v>
      </c>
      <c r="J1198" s="671">
        <v>46234.0</v>
      </c>
    </row>
    <row r="1199">
      <c r="A1199" s="670">
        <v>1238.0</v>
      </c>
      <c r="B1199" s="670" t="s">
        <v>2257</v>
      </c>
      <c r="C1199" s="670" t="s">
        <v>2258</v>
      </c>
      <c r="D1199" s="670" t="s">
        <v>4597</v>
      </c>
      <c r="E1199" s="670" t="s">
        <v>4598</v>
      </c>
      <c r="F1199" s="670">
        <v>66.0</v>
      </c>
      <c r="G1199" s="670" t="s">
        <v>1117</v>
      </c>
      <c r="H1199" s="670" t="s">
        <v>2261</v>
      </c>
      <c r="I1199" s="670" t="s">
        <v>2262</v>
      </c>
      <c r="J1199" s="671">
        <v>46234.0</v>
      </c>
    </row>
    <row r="1200">
      <c r="A1200" s="670">
        <v>1239.0</v>
      </c>
      <c r="B1200" s="670" t="s">
        <v>2257</v>
      </c>
      <c r="C1200" s="670" t="s">
        <v>2258</v>
      </c>
      <c r="D1200" s="670" t="s">
        <v>4599</v>
      </c>
      <c r="E1200" s="670" t="s">
        <v>4600</v>
      </c>
      <c r="F1200" s="670">
        <v>66.0</v>
      </c>
      <c r="G1200" s="670" t="s">
        <v>1117</v>
      </c>
      <c r="H1200" s="670" t="s">
        <v>2261</v>
      </c>
      <c r="I1200" s="670" t="s">
        <v>2262</v>
      </c>
      <c r="J1200" s="671">
        <v>46234.0</v>
      </c>
    </row>
    <row r="1201">
      <c r="A1201" s="670">
        <v>1240.0</v>
      </c>
      <c r="B1201" s="670" t="s">
        <v>2257</v>
      </c>
      <c r="C1201" s="670" t="s">
        <v>2258</v>
      </c>
      <c r="D1201" s="670" t="s">
        <v>4601</v>
      </c>
      <c r="E1201" s="670" t="s">
        <v>4602</v>
      </c>
      <c r="F1201" s="670">
        <v>107.0</v>
      </c>
      <c r="G1201" s="670" t="s">
        <v>1117</v>
      </c>
      <c r="H1201" s="670" t="s">
        <v>2261</v>
      </c>
      <c r="I1201" s="670" t="s">
        <v>2262</v>
      </c>
      <c r="J1201" s="671">
        <v>46234.0</v>
      </c>
    </row>
    <row r="1202">
      <c r="A1202" s="670">
        <v>1241.0</v>
      </c>
      <c r="B1202" s="670" t="s">
        <v>2257</v>
      </c>
      <c r="C1202" s="670" t="s">
        <v>2258</v>
      </c>
      <c r="D1202" s="670" t="s">
        <v>4603</v>
      </c>
      <c r="E1202" s="670" t="s">
        <v>4604</v>
      </c>
      <c r="F1202" s="670">
        <v>107.0</v>
      </c>
      <c r="G1202" s="670" t="s">
        <v>1117</v>
      </c>
      <c r="H1202" s="670" t="s">
        <v>2261</v>
      </c>
      <c r="I1202" s="670" t="s">
        <v>2262</v>
      </c>
      <c r="J1202" s="671">
        <v>46234.0</v>
      </c>
    </row>
    <row r="1203">
      <c r="A1203" s="670">
        <v>1242.0</v>
      </c>
      <c r="B1203" s="670" t="s">
        <v>2257</v>
      </c>
      <c r="C1203" s="670" t="s">
        <v>2258</v>
      </c>
      <c r="D1203" s="670" t="s">
        <v>4605</v>
      </c>
      <c r="E1203" s="670" t="s">
        <v>4606</v>
      </c>
      <c r="F1203" s="670">
        <v>117.0</v>
      </c>
      <c r="G1203" s="670" t="s">
        <v>1117</v>
      </c>
      <c r="H1203" s="670" t="s">
        <v>2261</v>
      </c>
      <c r="I1203" s="670" t="s">
        <v>2262</v>
      </c>
      <c r="J1203" s="671">
        <v>46234.0</v>
      </c>
    </row>
    <row r="1204">
      <c r="A1204" s="670">
        <v>1243.0</v>
      </c>
      <c r="B1204" s="670" t="s">
        <v>2257</v>
      </c>
      <c r="C1204" s="670" t="s">
        <v>2258</v>
      </c>
      <c r="D1204" s="670" t="s">
        <v>4607</v>
      </c>
      <c r="E1204" s="670" t="s">
        <v>4608</v>
      </c>
      <c r="F1204" s="670">
        <v>117.0</v>
      </c>
      <c r="G1204" s="670" t="s">
        <v>1117</v>
      </c>
      <c r="H1204" s="670" t="s">
        <v>2261</v>
      </c>
      <c r="I1204" s="670" t="s">
        <v>2262</v>
      </c>
      <c r="J1204" s="671">
        <v>46234.0</v>
      </c>
    </row>
    <row r="1205">
      <c r="A1205" s="670">
        <v>1244.0</v>
      </c>
      <c r="B1205" s="670" t="s">
        <v>2257</v>
      </c>
      <c r="C1205" s="670" t="s">
        <v>2258</v>
      </c>
      <c r="D1205" s="670" t="s">
        <v>4609</v>
      </c>
      <c r="E1205" s="670" t="s">
        <v>4610</v>
      </c>
      <c r="F1205" s="670">
        <v>135.0</v>
      </c>
      <c r="G1205" s="670" t="s">
        <v>1117</v>
      </c>
      <c r="H1205" s="670" t="s">
        <v>2261</v>
      </c>
      <c r="I1205" s="670" t="s">
        <v>2262</v>
      </c>
      <c r="J1205" s="671">
        <v>46234.0</v>
      </c>
    </row>
    <row r="1206">
      <c r="A1206" s="670">
        <v>1245.0</v>
      </c>
      <c r="B1206" s="670" t="s">
        <v>2257</v>
      </c>
      <c r="C1206" s="670" t="s">
        <v>2258</v>
      </c>
      <c r="D1206" s="670" t="s">
        <v>4611</v>
      </c>
      <c r="E1206" s="670" t="s">
        <v>4612</v>
      </c>
      <c r="F1206" s="670">
        <v>135.0</v>
      </c>
      <c r="G1206" s="670" t="s">
        <v>1117</v>
      </c>
      <c r="H1206" s="670" t="s">
        <v>2261</v>
      </c>
      <c r="I1206" s="670" t="s">
        <v>2262</v>
      </c>
      <c r="J1206" s="671">
        <v>46234.0</v>
      </c>
    </row>
    <row r="1207">
      <c r="A1207" s="670">
        <v>1246.0</v>
      </c>
      <c r="B1207" s="670" t="s">
        <v>2257</v>
      </c>
      <c r="C1207" s="670" t="s">
        <v>2258</v>
      </c>
      <c r="D1207" s="670" t="s">
        <v>4613</v>
      </c>
      <c r="E1207" s="670" t="s">
        <v>4614</v>
      </c>
      <c r="F1207" s="670">
        <v>96.0</v>
      </c>
      <c r="G1207" s="670" t="s">
        <v>1117</v>
      </c>
      <c r="H1207" s="670" t="s">
        <v>2261</v>
      </c>
      <c r="I1207" s="670" t="s">
        <v>2262</v>
      </c>
      <c r="J1207" s="671">
        <v>46234.0</v>
      </c>
    </row>
    <row r="1208">
      <c r="A1208" s="670">
        <v>1247.0</v>
      </c>
      <c r="B1208" s="670" t="s">
        <v>2257</v>
      </c>
      <c r="C1208" s="670" t="s">
        <v>2258</v>
      </c>
      <c r="D1208" s="670" t="s">
        <v>4615</v>
      </c>
      <c r="E1208" s="670" t="s">
        <v>4616</v>
      </c>
      <c r="F1208" s="670">
        <v>151.0</v>
      </c>
      <c r="G1208" s="670" t="s">
        <v>1117</v>
      </c>
      <c r="H1208" s="670" t="s">
        <v>2261</v>
      </c>
      <c r="I1208" s="670" t="s">
        <v>2262</v>
      </c>
      <c r="J1208" s="671">
        <v>46234.0</v>
      </c>
    </row>
    <row r="1209">
      <c r="A1209" s="670">
        <v>1248.0</v>
      </c>
      <c r="B1209" s="670" t="s">
        <v>2257</v>
      </c>
      <c r="C1209" s="670" t="s">
        <v>2258</v>
      </c>
      <c r="D1209" s="670" t="s">
        <v>4617</v>
      </c>
      <c r="E1209" s="670" t="s">
        <v>4618</v>
      </c>
      <c r="F1209" s="670">
        <v>151.0</v>
      </c>
      <c r="G1209" s="670" t="s">
        <v>1117</v>
      </c>
      <c r="H1209" s="670" t="s">
        <v>2261</v>
      </c>
      <c r="I1209" s="670" t="s">
        <v>2262</v>
      </c>
      <c r="J1209" s="671">
        <v>46234.0</v>
      </c>
    </row>
    <row r="1210">
      <c r="A1210" s="670">
        <v>1249.0</v>
      </c>
      <c r="B1210" s="670" t="s">
        <v>2257</v>
      </c>
      <c r="C1210" s="670" t="s">
        <v>2258</v>
      </c>
      <c r="D1210" s="670" t="s">
        <v>4619</v>
      </c>
      <c r="E1210" s="670" t="s">
        <v>4620</v>
      </c>
      <c r="F1210" s="670">
        <v>178.0</v>
      </c>
      <c r="G1210" s="670" t="s">
        <v>1117</v>
      </c>
      <c r="H1210" s="670" t="s">
        <v>2261</v>
      </c>
      <c r="I1210" s="670" t="s">
        <v>2262</v>
      </c>
      <c r="J1210" s="671">
        <v>46234.0</v>
      </c>
    </row>
    <row r="1211">
      <c r="A1211" s="670">
        <v>1250.0</v>
      </c>
      <c r="B1211" s="670" t="s">
        <v>2257</v>
      </c>
      <c r="C1211" s="670" t="s">
        <v>2258</v>
      </c>
      <c r="D1211" s="670" t="s">
        <v>4621</v>
      </c>
      <c r="E1211" s="670" t="s">
        <v>4622</v>
      </c>
      <c r="F1211" s="670">
        <v>178.0</v>
      </c>
      <c r="G1211" s="670" t="s">
        <v>1117</v>
      </c>
      <c r="H1211" s="670" t="s">
        <v>2261</v>
      </c>
      <c r="I1211" s="670" t="s">
        <v>2262</v>
      </c>
      <c r="J1211" s="671">
        <v>46234.0</v>
      </c>
    </row>
    <row r="1212">
      <c r="A1212" s="670">
        <v>1251.0</v>
      </c>
      <c r="B1212" s="670" t="s">
        <v>2257</v>
      </c>
      <c r="C1212" s="670" t="s">
        <v>2258</v>
      </c>
      <c r="D1212" s="670" t="s">
        <v>4623</v>
      </c>
      <c r="E1212" s="670" t="s">
        <v>4624</v>
      </c>
      <c r="F1212" s="670">
        <v>197.0</v>
      </c>
      <c r="G1212" s="670" t="s">
        <v>1117</v>
      </c>
      <c r="H1212" s="670" t="s">
        <v>2261</v>
      </c>
      <c r="I1212" s="670" t="s">
        <v>2262</v>
      </c>
      <c r="J1212" s="671">
        <v>46234.0</v>
      </c>
    </row>
    <row r="1213">
      <c r="A1213" s="670">
        <v>1252.0</v>
      </c>
      <c r="B1213" s="670" t="s">
        <v>2257</v>
      </c>
      <c r="C1213" s="670" t="s">
        <v>2258</v>
      </c>
      <c r="D1213" s="670" t="s">
        <v>4625</v>
      </c>
      <c r="E1213" s="670" t="s">
        <v>4626</v>
      </c>
      <c r="F1213" s="670">
        <v>197.0</v>
      </c>
      <c r="G1213" s="670" t="s">
        <v>1117</v>
      </c>
      <c r="H1213" s="670" t="s">
        <v>2261</v>
      </c>
      <c r="I1213" s="670" t="s">
        <v>2262</v>
      </c>
      <c r="J1213" s="671">
        <v>46234.0</v>
      </c>
    </row>
    <row r="1214">
      <c r="A1214" s="670">
        <v>1253.0</v>
      </c>
      <c r="B1214" s="670" t="s">
        <v>2257</v>
      </c>
      <c r="C1214" s="670" t="s">
        <v>2258</v>
      </c>
      <c r="D1214" s="670" t="s">
        <v>4627</v>
      </c>
      <c r="E1214" s="670" t="s">
        <v>4628</v>
      </c>
      <c r="F1214" s="670">
        <v>175.0</v>
      </c>
      <c r="G1214" s="670" t="s">
        <v>1117</v>
      </c>
      <c r="H1214" s="670" t="s">
        <v>2261</v>
      </c>
      <c r="I1214" s="670" t="s">
        <v>2262</v>
      </c>
      <c r="J1214" s="671">
        <v>46234.0</v>
      </c>
    </row>
    <row r="1215">
      <c r="A1215" s="670">
        <v>1254.0</v>
      </c>
      <c r="B1215" s="670" t="s">
        <v>2257</v>
      </c>
      <c r="C1215" s="670" t="s">
        <v>2258</v>
      </c>
      <c r="D1215" s="670" t="s">
        <v>4629</v>
      </c>
      <c r="E1215" s="670" t="s">
        <v>4630</v>
      </c>
      <c r="F1215" s="670">
        <v>161.0</v>
      </c>
      <c r="G1215" s="670" t="s">
        <v>1117</v>
      </c>
      <c r="H1215" s="670" t="s">
        <v>2261</v>
      </c>
      <c r="I1215" s="670" t="s">
        <v>2262</v>
      </c>
      <c r="J1215" s="671">
        <v>46234.0</v>
      </c>
    </row>
    <row r="1216">
      <c r="A1216" s="670">
        <v>1255.0</v>
      </c>
      <c r="B1216" s="670" t="s">
        <v>2257</v>
      </c>
      <c r="C1216" s="670" t="s">
        <v>2258</v>
      </c>
      <c r="D1216" s="670" t="s">
        <v>4631</v>
      </c>
      <c r="E1216" s="670" t="s">
        <v>4632</v>
      </c>
      <c r="F1216" s="670">
        <v>161.0</v>
      </c>
      <c r="G1216" s="670" t="s">
        <v>1117</v>
      </c>
      <c r="H1216" s="670" t="s">
        <v>2261</v>
      </c>
      <c r="I1216" s="670" t="s">
        <v>2262</v>
      </c>
      <c r="J1216" s="671">
        <v>46234.0</v>
      </c>
    </row>
    <row r="1217">
      <c r="A1217" s="670">
        <v>1256.0</v>
      </c>
      <c r="B1217" s="670" t="s">
        <v>2257</v>
      </c>
      <c r="C1217" s="670" t="s">
        <v>2258</v>
      </c>
      <c r="D1217" s="670" t="s">
        <v>4633</v>
      </c>
      <c r="E1217" s="670" t="s">
        <v>4634</v>
      </c>
      <c r="F1217" s="670">
        <v>177.0</v>
      </c>
      <c r="G1217" s="670" t="s">
        <v>1117</v>
      </c>
      <c r="H1217" s="670" t="s">
        <v>2261</v>
      </c>
      <c r="I1217" s="670" t="s">
        <v>2262</v>
      </c>
      <c r="J1217" s="671">
        <v>46234.0</v>
      </c>
    </row>
    <row r="1218">
      <c r="A1218" s="670">
        <v>1257.0</v>
      </c>
      <c r="B1218" s="670" t="s">
        <v>2257</v>
      </c>
      <c r="C1218" s="670" t="s">
        <v>2258</v>
      </c>
      <c r="D1218" s="670" t="s">
        <v>4635</v>
      </c>
      <c r="E1218" s="670" t="s">
        <v>4636</v>
      </c>
      <c r="F1218" s="670">
        <v>177.0</v>
      </c>
      <c r="G1218" s="670" t="s">
        <v>1117</v>
      </c>
      <c r="H1218" s="670" t="s">
        <v>2261</v>
      </c>
      <c r="I1218" s="670" t="s">
        <v>2262</v>
      </c>
      <c r="J1218" s="671">
        <v>46234.0</v>
      </c>
    </row>
    <row r="1219">
      <c r="A1219" s="670">
        <v>1258.0</v>
      </c>
      <c r="B1219" s="670" t="s">
        <v>2257</v>
      </c>
      <c r="C1219" s="670" t="s">
        <v>2258</v>
      </c>
      <c r="D1219" s="670" t="s">
        <v>4637</v>
      </c>
      <c r="E1219" s="670" t="s">
        <v>4638</v>
      </c>
      <c r="F1219" s="670">
        <v>193.0</v>
      </c>
      <c r="G1219" s="670" t="s">
        <v>1117</v>
      </c>
      <c r="H1219" s="670" t="s">
        <v>2261</v>
      </c>
      <c r="I1219" s="670" t="s">
        <v>2262</v>
      </c>
      <c r="J1219" s="671">
        <v>46234.0</v>
      </c>
    </row>
    <row r="1220">
      <c r="A1220" s="670">
        <v>1259.0</v>
      </c>
      <c r="B1220" s="670" t="s">
        <v>2257</v>
      </c>
      <c r="C1220" s="670" t="s">
        <v>2258</v>
      </c>
      <c r="D1220" s="670" t="s">
        <v>4639</v>
      </c>
      <c r="E1220" s="670" t="s">
        <v>4640</v>
      </c>
      <c r="F1220" s="670">
        <v>193.0</v>
      </c>
      <c r="G1220" s="670" t="s">
        <v>1117</v>
      </c>
      <c r="H1220" s="670" t="s">
        <v>2261</v>
      </c>
      <c r="I1220" s="670" t="s">
        <v>2262</v>
      </c>
      <c r="J1220" s="671">
        <v>46234.0</v>
      </c>
    </row>
    <row r="1221">
      <c r="A1221" s="670">
        <v>1260.0</v>
      </c>
      <c r="B1221" s="670" t="s">
        <v>2257</v>
      </c>
      <c r="C1221" s="670" t="s">
        <v>2258</v>
      </c>
      <c r="D1221" s="670" t="s">
        <v>4641</v>
      </c>
      <c r="E1221" s="670" t="s">
        <v>4642</v>
      </c>
      <c r="F1221" s="670">
        <v>209.0</v>
      </c>
      <c r="G1221" s="670" t="s">
        <v>1117</v>
      </c>
      <c r="H1221" s="670" t="s">
        <v>2261</v>
      </c>
      <c r="I1221" s="670" t="s">
        <v>2262</v>
      </c>
      <c r="J1221" s="671">
        <v>46234.0</v>
      </c>
    </row>
    <row r="1222">
      <c r="A1222" s="670">
        <v>1261.0</v>
      </c>
      <c r="B1222" s="670" t="s">
        <v>2257</v>
      </c>
      <c r="C1222" s="670" t="s">
        <v>2258</v>
      </c>
      <c r="D1222" s="670" t="s">
        <v>4643</v>
      </c>
      <c r="E1222" s="670" t="s">
        <v>4644</v>
      </c>
      <c r="F1222" s="670">
        <v>209.0</v>
      </c>
      <c r="G1222" s="670" t="s">
        <v>1117</v>
      </c>
      <c r="H1222" s="670" t="s">
        <v>2261</v>
      </c>
      <c r="I1222" s="670" t="s">
        <v>2262</v>
      </c>
      <c r="J1222" s="671">
        <v>46234.0</v>
      </c>
    </row>
    <row r="1223">
      <c r="A1223" s="670">
        <v>1262.0</v>
      </c>
      <c r="B1223" s="670" t="s">
        <v>2257</v>
      </c>
      <c r="C1223" s="670" t="s">
        <v>2258</v>
      </c>
      <c r="D1223" s="670" t="s">
        <v>4645</v>
      </c>
      <c r="E1223" s="670" t="s">
        <v>4646</v>
      </c>
      <c r="F1223" s="670">
        <v>225.0</v>
      </c>
      <c r="G1223" s="670" t="s">
        <v>1117</v>
      </c>
      <c r="H1223" s="670" t="s">
        <v>2261</v>
      </c>
      <c r="I1223" s="670" t="s">
        <v>2262</v>
      </c>
      <c r="J1223" s="671">
        <v>46234.0</v>
      </c>
    </row>
    <row r="1224">
      <c r="A1224" s="670">
        <v>1263.0</v>
      </c>
      <c r="B1224" s="670" t="s">
        <v>2257</v>
      </c>
      <c r="C1224" s="670" t="s">
        <v>2258</v>
      </c>
      <c r="D1224" s="670" t="s">
        <v>4647</v>
      </c>
      <c r="E1224" s="670" t="s">
        <v>4648</v>
      </c>
      <c r="F1224" s="670">
        <v>225.0</v>
      </c>
      <c r="G1224" s="670" t="s">
        <v>1117</v>
      </c>
      <c r="H1224" s="670" t="s">
        <v>2261</v>
      </c>
      <c r="I1224" s="670" t="s">
        <v>2262</v>
      </c>
      <c r="J1224" s="671">
        <v>46234.0</v>
      </c>
    </row>
    <row r="1225">
      <c r="A1225" s="670">
        <v>1264.0</v>
      </c>
      <c r="B1225" s="670" t="s">
        <v>2257</v>
      </c>
      <c r="C1225" s="670" t="s">
        <v>2258</v>
      </c>
      <c r="D1225" s="670" t="s">
        <v>4649</v>
      </c>
      <c r="E1225" s="670" t="s">
        <v>4650</v>
      </c>
      <c r="F1225" s="670">
        <v>193.0</v>
      </c>
      <c r="G1225" s="670" t="s">
        <v>1117</v>
      </c>
      <c r="H1225" s="670" t="s">
        <v>2261</v>
      </c>
      <c r="I1225" s="670" t="s">
        <v>2262</v>
      </c>
      <c r="J1225" s="671">
        <v>46234.0</v>
      </c>
    </row>
    <row r="1226">
      <c r="A1226" s="670">
        <v>1265.0</v>
      </c>
      <c r="B1226" s="670" t="s">
        <v>2257</v>
      </c>
      <c r="C1226" s="670" t="s">
        <v>2258</v>
      </c>
      <c r="D1226" s="670" t="s">
        <v>4651</v>
      </c>
      <c r="E1226" s="670" t="s">
        <v>4652</v>
      </c>
      <c r="F1226" s="670">
        <v>246.0</v>
      </c>
      <c r="G1226" s="670" t="s">
        <v>1117</v>
      </c>
      <c r="H1226" s="670" t="s">
        <v>2261</v>
      </c>
      <c r="I1226" s="670" t="s">
        <v>2262</v>
      </c>
      <c r="J1226" s="671">
        <v>46234.0</v>
      </c>
    </row>
    <row r="1227">
      <c r="A1227" s="670">
        <v>1266.0</v>
      </c>
      <c r="B1227" s="670" t="s">
        <v>2257</v>
      </c>
      <c r="C1227" s="673" t="s">
        <v>2258</v>
      </c>
      <c r="D1227" s="670" t="s">
        <v>4653</v>
      </c>
      <c r="E1227" s="670" t="s">
        <v>4654</v>
      </c>
      <c r="F1227" s="670">
        <v>246.0</v>
      </c>
      <c r="G1227" s="670" t="s">
        <v>1117</v>
      </c>
      <c r="H1227" s="670" t="s">
        <v>2261</v>
      </c>
      <c r="I1227" s="670" t="s">
        <v>2262</v>
      </c>
      <c r="J1227" s="671">
        <v>46234.0</v>
      </c>
    </row>
    <row r="1228">
      <c r="A1228" s="670">
        <v>1267.0</v>
      </c>
      <c r="B1228" s="670" t="s">
        <v>2257</v>
      </c>
      <c r="C1228" s="673" t="s">
        <v>2258</v>
      </c>
      <c r="D1228" s="670" t="s">
        <v>4655</v>
      </c>
      <c r="E1228" s="670" t="s">
        <v>4656</v>
      </c>
      <c r="F1228" s="670">
        <v>257.0</v>
      </c>
      <c r="G1228" s="670" t="s">
        <v>1117</v>
      </c>
      <c r="H1228" s="670" t="s">
        <v>2261</v>
      </c>
      <c r="I1228" s="670" t="s">
        <v>2262</v>
      </c>
      <c r="J1228" s="671">
        <v>46234.0</v>
      </c>
    </row>
    <row r="1229">
      <c r="A1229" s="670">
        <v>1268.0</v>
      </c>
      <c r="B1229" s="670" t="s">
        <v>2257</v>
      </c>
      <c r="C1229" s="673" t="s">
        <v>2258</v>
      </c>
      <c r="D1229" s="670" t="s">
        <v>4657</v>
      </c>
      <c r="E1229" s="670" t="s">
        <v>4658</v>
      </c>
      <c r="F1229" s="670">
        <v>257.0</v>
      </c>
      <c r="G1229" s="670" t="s">
        <v>1117</v>
      </c>
      <c r="H1229" s="670" t="s">
        <v>2261</v>
      </c>
      <c r="I1229" s="670" t="s">
        <v>2262</v>
      </c>
      <c r="J1229" s="671">
        <v>46234.0</v>
      </c>
    </row>
    <row r="1230">
      <c r="A1230" s="670">
        <v>1269.0</v>
      </c>
      <c r="B1230" s="670" t="s">
        <v>2257</v>
      </c>
      <c r="C1230" s="670" t="s">
        <v>2258</v>
      </c>
      <c r="D1230" s="670" t="s">
        <v>4659</v>
      </c>
      <c r="E1230" s="670" t="s">
        <v>4660</v>
      </c>
      <c r="F1230" s="670">
        <v>300.0</v>
      </c>
      <c r="G1230" s="670" t="s">
        <v>1117</v>
      </c>
      <c r="H1230" s="670" t="s">
        <v>2261</v>
      </c>
      <c r="I1230" s="670" t="s">
        <v>2262</v>
      </c>
      <c r="J1230" s="671">
        <v>46234.0</v>
      </c>
    </row>
    <row r="1231">
      <c r="A1231" s="670">
        <v>1270.0</v>
      </c>
      <c r="B1231" s="670" t="s">
        <v>2257</v>
      </c>
      <c r="C1231" s="673" t="s">
        <v>2258</v>
      </c>
      <c r="D1231" s="670" t="s">
        <v>4661</v>
      </c>
      <c r="E1231" s="670" t="s">
        <v>4662</v>
      </c>
      <c r="F1231" s="670">
        <v>300.0</v>
      </c>
      <c r="G1231" s="670" t="s">
        <v>1117</v>
      </c>
      <c r="H1231" s="670" t="s">
        <v>2261</v>
      </c>
      <c r="I1231" s="670" t="s">
        <v>2262</v>
      </c>
      <c r="J1231" s="671">
        <v>46234.0</v>
      </c>
    </row>
    <row r="1232">
      <c r="A1232" s="670">
        <v>1271.0</v>
      </c>
      <c r="B1232" s="670" t="s">
        <v>2257</v>
      </c>
      <c r="C1232" s="673" t="s">
        <v>2258</v>
      </c>
      <c r="D1232" s="670" t="s">
        <v>4663</v>
      </c>
      <c r="E1232" s="670" t="s">
        <v>4664</v>
      </c>
      <c r="F1232" s="670">
        <v>268.0</v>
      </c>
      <c r="G1232" s="670" t="s">
        <v>1117</v>
      </c>
      <c r="H1232" s="670" t="s">
        <v>2261</v>
      </c>
      <c r="I1232" s="670" t="s">
        <v>2262</v>
      </c>
      <c r="J1232" s="671">
        <v>46234.0</v>
      </c>
    </row>
    <row r="1233">
      <c r="A1233" s="670">
        <v>1272.0</v>
      </c>
      <c r="B1233" s="670" t="s">
        <v>2257</v>
      </c>
      <c r="C1233" s="673" t="s">
        <v>2258</v>
      </c>
      <c r="D1233" s="670" t="s">
        <v>4665</v>
      </c>
      <c r="E1233" s="670" t="s">
        <v>4666</v>
      </c>
      <c r="F1233" s="670">
        <v>317.0</v>
      </c>
      <c r="G1233" s="670" t="s">
        <v>1117</v>
      </c>
      <c r="H1233" s="670" t="s">
        <v>2261</v>
      </c>
      <c r="I1233" s="670" t="s">
        <v>2262</v>
      </c>
      <c r="J1233" s="671">
        <v>46234.0</v>
      </c>
    </row>
    <row r="1234">
      <c r="A1234" s="670">
        <v>1273.0</v>
      </c>
      <c r="B1234" s="670" t="s">
        <v>2257</v>
      </c>
      <c r="C1234" s="670" t="s">
        <v>2258</v>
      </c>
      <c r="D1234" s="670" t="s">
        <v>4667</v>
      </c>
      <c r="E1234" s="670" t="s">
        <v>4668</v>
      </c>
      <c r="F1234" s="670">
        <v>550.0</v>
      </c>
      <c r="G1234" s="670" t="s">
        <v>1117</v>
      </c>
      <c r="H1234" s="670" t="s">
        <v>2261</v>
      </c>
      <c r="I1234" s="670" t="s">
        <v>2262</v>
      </c>
      <c r="J1234" s="671">
        <v>46234.0</v>
      </c>
    </row>
    <row r="1235">
      <c r="A1235" s="670">
        <v>1274.0</v>
      </c>
      <c r="B1235" s="670" t="s">
        <v>2257</v>
      </c>
      <c r="C1235" s="670" t="s">
        <v>2258</v>
      </c>
      <c r="D1235" s="670" t="s">
        <v>2231</v>
      </c>
      <c r="E1235" s="670" t="s">
        <v>2232</v>
      </c>
      <c r="F1235" s="670">
        <v>720.0</v>
      </c>
      <c r="G1235" s="670" t="s">
        <v>1117</v>
      </c>
      <c r="H1235" s="670" t="s">
        <v>2261</v>
      </c>
      <c r="I1235" s="670" t="s">
        <v>2262</v>
      </c>
      <c r="J1235" s="671">
        <v>46234.0</v>
      </c>
    </row>
    <row r="1236">
      <c r="A1236" s="670">
        <v>1275.0</v>
      </c>
      <c r="B1236" s="670" t="s">
        <v>2257</v>
      </c>
      <c r="C1236" s="670" t="s">
        <v>2258</v>
      </c>
      <c r="D1236" s="670" t="s">
        <v>4669</v>
      </c>
      <c r="E1236" s="670" t="s">
        <v>4670</v>
      </c>
      <c r="F1236" s="670">
        <v>254.0</v>
      </c>
      <c r="G1236" s="670" t="s">
        <v>1117</v>
      </c>
      <c r="H1236" s="670" t="s">
        <v>2261</v>
      </c>
      <c r="I1236" s="670" t="s">
        <v>2262</v>
      </c>
      <c r="J1236" s="671">
        <v>46234.0</v>
      </c>
    </row>
    <row r="1237">
      <c r="A1237" s="670">
        <v>1276.0</v>
      </c>
      <c r="B1237" s="670" t="s">
        <v>2257</v>
      </c>
      <c r="C1237" s="670" t="s">
        <v>2258</v>
      </c>
      <c r="D1237" s="670" t="s">
        <v>4671</v>
      </c>
      <c r="E1237" s="670" t="s">
        <v>4672</v>
      </c>
      <c r="F1237" s="670">
        <v>381.0</v>
      </c>
      <c r="G1237" s="670" t="s">
        <v>1117</v>
      </c>
      <c r="H1237" s="670" t="s">
        <v>2261</v>
      </c>
      <c r="I1237" s="670" t="s">
        <v>2262</v>
      </c>
      <c r="J1237" s="671">
        <v>46234.0</v>
      </c>
    </row>
    <row r="1238">
      <c r="A1238" s="670">
        <v>1277.0</v>
      </c>
      <c r="B1238" s="670" t="s">
        <v>2257</v>
      </c>
      <c r="C1238" s="670" t="s">
        <v>2258</v>
      </c>
      <c r="D1238" s="670" t="s">
        <v>4673</v>
      </c>
      <c r="E1238" s="670" t="s">
        <v>4674</v>
      </c>
      <c r="F1238" s="670">
        <v>216.0</v>
      </c>
      <c r="G1238" s="670" t="s">
        <v>1117</v>
      </c>
      <c r="H1238" s="670" t="s">
        <v>2261</v>
      </c>
      <c r="I1238" s="670" t="s">
        <v>2262</v>
      </c>
      <c r="J1238" s="671">
        <v>46234.0</v>
      </c>
    </row>
    <row r="1239">
      <c r="A1239" s="670">
        <v>1278.0</v>
      </c>
      <c r="B1239" s="670" t="s">
        <v>2257</v>
      </c>
      <c r="C1239" s="670" t="s">
        <v>2258</v>
      </c>
      <c r="D1239" s="670" t="s">
        <v>4675</v>
      </c>
      <c r="E1239" s="670" t="s">
        <v>4676</v>
      </c>
      <c r="F1239" s="670">
        <v>309.0</v>
      </c>
      <c r="G1239" s="670" t="s">
        <v>1117</v>
      </c>
      <c r="H1239" s="670" t="s">
        <v>2261</v>
      </c>
      <c r="I1239" s="670" t="s">
        <v>2262</v>
      </c>
      <c r="J1239" s="671">
        <v>46234.0</v>
      </c>
    </row>
    <row r="1240">
      <c r="A1240" s="670">
        <v>1279.0</v>
      </c>
      <c r="B1240" s="670" t="s">
        <v>2257</v>
      </c>
      <c r="C1240" s="670" t="s">
        <v>2258</v>
      </c>
      <c r="D1240" s="670" t="s">
        <v>4677</v>
      </c>
      <c r="E1240" s="670" t="s">
        <v>4678</v>
      </c>
      <c r="F1240" s="670">
        <v>127.0</v>
      </c>
      <c r="G1240" s="670" t="s">
        <v>1117</v>
      </c>
      <c r="H1240" s="670" t="s">
        <v>2261</v>
      </c>
      <c r="I1240" s="670" t="s">
        <v>2262</v>
      </c>
      <c r="J1240" s="671">
        <v>46234.0</v>
      </c>
    </row>
    <row r="1241">
      <c r="A1241" s="670">
        <v>1280.0</v>
      </c>
      <c r="B1241" s="670" t="s">
        <v>2257</v>
      </c>
      <c r="C1241" s="670" t="s">
        <v>2258</v>
      </c>
      <c r="D1241" s="670" t="s">
        <v>4679</v>
      </c>
      <c r="E1241" s="670" t="s">
        <v>4680</v>
      </c>
      <c r="F1241" s="670">
        <v>212.0</v>
      </c>
      <c r="G1241" s="670" t="s">
        <v>1117</v>
      </c>
      <c r="H1241" s="670" t="s">
        <v>2261</v>
      </c>
      <c r="I1241" s="670" t="s">
        <v>2262</v>
      </c>
      <c r="J1241" s="671">
        <v>46234.0</v>
      </c>
    </row>
    <row r="1242">
      <c r="A1242" s="670">
        <v>1281.0</v>
      </c>
      <c r="B1242" s="670" t="s">
        <v>2257</v>
      </c>
      <c r="C1242" s="670" t="s">
        <v>2258</v>
      </c>
      <c r="D1242" s="670" t="s">
        <v>4681</v>
      </c>
      <c r="E1242" s="670" t="s">
        <v>4682</v>
      </c>
      <c r="F1242" s="670">
        <v>60.0</v>
      </c>
      <c r="G1242" s="670" t="s">
        <v>1117</v>
      </c>
      <c r="H1242" s="670" t="s">
        <v>2572</v>
      </c>
      <c r="I1242" s="670" t="s">
        <v>2573</v>
      </c>
      <c r="J1242" s="671">
        <v>46234.0</v>
      </c>
    </row>
    <row r="1243">
      <c r="A1243" s="670">
        <v>1282.0</v>
      </c>
      <c r="B1243" s="670" t="s">
        <v>2257</v>
      </c>
      <c r="C1243" s="670" t="s">
        <v>2258</v>
      </c>
      <c r="D1243" s="670" t="s">
        <v>4683</v>
      </c>
      <c r="E1243" s="670" t="s">
        <v>4684</v>
      </c>
      <c r="F1243" s="670">
        <v>103.0</v>
      </c>
      <c r="G1243" s="670" t="s">
        <v>1117</v>
      </c>
      <c r="H1243" s="670" t="s">
        <v>2261</v>
      </c>
      <c r="I1243" s="670" t="s">
        <v>2262</v>
      </c>
      <c r="J1243" s="671">
        <v>46234.0</v>
      </c>
    </row>
    <row r="1244">
      <c r="A1244" s="670">
        <v>1283.0</v>
      </c>
      <c r="B1244" s="670" t="s">
        <v>2257</v>
      </c>
      <c r="C1244" s="670" t="s">
        <v>2258</v>
      </c>
      <c r="D1244" s="670" t="s">
        <v>4685</v>
      </c>
      <c r="E1244" s="670" t="s">
        <v>4686</v>
      </c>
      <c r="F1244" s="670">
        <v>28.0</v>
      </c>
      <c r="G1244" s="670" t="s">
        <v>1117</v>
      </c>
      <c r="H1244" s="670" t="s">
        <v>2261</v>
      </c>
      <c r="I1244" s="670" t="s">
        <v>2262</v>
      </c>
      <c r="J1244" s="671">
        <v>46234.0</v>
      </c>
    </row>
    <row r="1245">
      <c r="A1245" s="670">
        <v>1284.0</v>
      </c>
      <c r="B1245" s="670" t="s">
        <v>2257</v>
      </c>
      <c r="C1245" s="670" t="s">
        <v>2258</v>
      </c>
      <c r="D1245" s="670" t="s">
        <v>4687</v>
      </c>
      <c r="E1245" s="670" t="s">
        <v>4688</v>
      </c>
      <c r="F1245" s="670">
        <v>41.0</v>
      </c>
      <c r="G1245" s="670" t="s">
        <v>1117</v>
      </c>
      <c r="H1245" s="670" t="s">
        <v>2261</v>
      </c>
      <c r="I1245" s="670" t="s">
        <v>2262</v>
      </c>
      <c r="J1245" s="671">
        <v>46234.0</v>
      </c>
    </row>
    <row r="1246">
      <c r="A1246" s="670">
        <v>1285.0</v>
      </c>
      <c r="B1246" s="670" t="s">
        <v>2257</v>
      </c>
      <c r="C1246" s="670" t="s">
        <v>2258</v>
      </c>
      <c r="D1246" s="670" t="s">
        <v>4689</v>
      </c>
      <c r="E1246" s="670" t="s">
        <v>4690</v>
      </c>
      <c r="F1246" s="670">
        <v>41.0</v>
      </c>
      <c r="G1246" s="670" t="s">
        <v>1117</v>
      </c>
      <c r="H1246" s="670" t="s">
        <v>2261</v>
      </c>
      <c r="I1246" s="670" t="s">
        <v>2262</v>
      </c>
      <c r="J1246" s="671">
        <v>46234.0</v>
      </c>
    </row>
    <row r="1247">
      <c r="A1247" s="670">
        <v>1286.0</v>
      </c>
      <c r="B1247" s="670" t="s">
        <v>2257</v>
      </c>
      <c r="C1247" s="670" t="s">
        <v>2258</v>
      </c>
      <c r="D1247" s="670" t="s">
        <v>4691</v>
      </c>
      <c r="E1247" s="670" t="s">
        <v>4692</v>
      </c>
      <c r="F1247" s="670">
        <v>35.0</v>
      </c>
      <c r="G1247" s="670" t="s">
        <v>1117</v>
      </c>
      <c r="H1247" s="670" t="s">
        <v>2261</v>
      </c>
      <c r="I1247" s="670" t="s">
        <v>2262</v>
      </c>
      <c r="J1247" s="671">
        <v>46234.0</v>
      </c>
    </row>
    <row r="1248">
      <c r="A1248" s="670">
        <v>1287.0</v>
      </c>
      <c r="B1248" s="670" t="s">
        <v>2257</v>
      </c>
      <c r="C1248" s="670" t="s">
        <v>2258</v>
      </c>
      <c r="D1248" s="670" t="s">
        <v>4693</v>
      </c>
      <c r="E1248" s="670" t="s">
        <v>4694</v>
      </c>
      <c r="F1248" s="670">
        <v>51.0</v>
      </c>
      <c r="G1248" s="670" t="s">
        <v>1117</v>
      </c>
      <c r="H1248" s="670" t="s">
        <v>2261</v>
      </c>
      <c r="I1248" s="670" t="s">
        <v>2262</v>
      </c>
      <c r="J1248" s="671">
        <v>46234.0</v>
      </c>
    </row>
    <row r="1249">
      <c r="A1249" s="670">
        <v>1288.0</v>
      </c>
      <c r="B1249" s="670" t="s">
        <v>2257</v>
      </c>
      <c r="C1249" s="670" t="s">
        <v>2258</v>
      </c>
      <c r="D1249" s="670" t="s">
        <v>4695</v>
      </c>
      <c r="E1249" s="670" t="s">
        <v>4696</v>
      </c>
      <c r="F1249" s="670">
        <v>51.0</v>
      </c>
      <c r="G1249" s="670" t="s">
        <v>1117</v>
      </c>
      <c r="H1249" s="670" t="s">
        <v>2261</v>
      </c>
      <c r="I1249" s="670" t="s">
        <v>2262</v>
      </c>
      <c r="J1249" s="671">
        <v>46234.0</v>
      </c>
    </row>
    <row r="1250">
      <c r="A1250" s="670">
        <v>1289.0</v>
      </c>
      <c r="B1250" s="670" t="s">
        <v>2257</v>
      </c>
      <c r="C1250" s="670" t="s">
        <v>2258</v>
      </c>
      <c r="D1250" s="670" t="s">
        <v>4697</v>
      </c>
      <c r="E1250" s="670" t="s">
        <v>4698</v>
      </c>
      <c r="F1250" s="670">
        <v>7.0</v>
      </c>
      <c r="G1250" s="670" t="s">
        <v>1117</v>
      </c>
      <c r="H1250" s="670" t="s">
        <v>2261</v>
      </c>
      <c r="I1250" s="670" t="s">
        <v>2262</v>
      </c>
      <c r="J1250" s="671">
        <v>46234.0</v>
      </c>
    </row>
    <row r="1251">
      <c r="A1251" s="670">
        <v>1290.0</v>
      </c>
      <c r="B1251" s="670" t="s">
        <v>2257</v>
      </c>
      <c r="C1251" s="670" t="s">
        <v>2258</v>
      </c>
      <c r="D1251" s="670" t="s">
        <v>4699</v>
      </c>
      <c r="E1251" s="670" t="s">
        <v>4700</v>
      </c>
      <c r="F1251" s="670">
        <v>14.0</v>
      </c>
      <c r="G1251" s="670" t="s">
        <v>1117</v>
      </c>
      <c r="H1251" s="670" t="s">
        <v>2261</v>
      </c>
      <c r="I1251" s="670" t="s">
        <v>2262</v>
      </c>
      <c r="J1251" s="671">
        <v>46234.0</v>
      </c>
    </row>
    <row r="1252">
      <c r="A1252" s="670">
        <v>1291.0</v>
      </c>
      <c r="B1252" s="670" t="s">
        <v>2257</v>
      </c>
      <c r="C1252" s="670" t="s">
        <v>2258</v>
      </c>
      <c r="D1252" s="670" t="s">
        <v>4701</v>
      </c>
      <c r="E1252" s="670" t="s">
        <v>4702</v>
      </c>
      <c r="F1252" s="670">
        <v>11.0</v>
      </c>
      <c r="G1252" s="670" t="s">
        <v>1117</v>
      </c>
      <c r="H1252" s="670" t="s">
        <v>2261</v>
      </c>
      <c r="I1252" s="670" t="s">
        <v>2262</v>
      </c>
      <c r="J1252" s="671">
        <v>46234.0</v>
      </c>
    </row>
    <row r="1253">
      <c r="A1253" s="670">
        <v>1292.0</v>
      </c>
      <c r="B1253" s="670" t="s">
        <v>2257</v>
      </c>
      <c r="C1253" s="670" t="s">
        <v>2258</v>
      </c>
      <c r="D1253" s="670" t="s">
        <v>4703</v>
      </c>
      <c r="E1253" s="670" t="s">
        <v>4704</v>
      </c>
      <c r="F1253" s="670">
        <v>10.0</v>
      </c>
      <c r="G1253" s="670" t="s">
        <v>1117</v>
      </c>
      <c r="H1253" s="670" t="s">
        <v>2261</v>
      </c>
      <c r="I1253" s="670" t="s">
        <v>2262</v>
      </c>
      <c r="J1253" s="671">
        <v>46234.0</v>
      </c>
    </row>
    <row r="1254">
      <c r="A1254" s="670">
        <v>1293.0</v>
      </c>
      <c r="B1254" s="670" t="s">
        <v>2257</v>
      </c>
      <c r="C1254" s="670" t="s">
        <v>2258</v>
      </c>
      <c r="D1254" s="670" t="s">
        <v>4705</v>
      </c>
      <c r="E1254" s="670" t="s">
        <v>4706</v>
      </c>
      <c r="F1254" s="670">
        <v>16.0</v>
      </c>
      <c r="G1254" s="670" t="s">
        <v>1117</v>
      </c>
      <c r="H1254" s="670" t="s">
        <v>2261</v>
      </c>
      <c r="I1254" s="670" t="s">
        <v>2262</v>
      </c>
      <c r="J1254" s="671">
        <v>46234.0</v>
      </c>
    </row>
    <row r="1255">
      <c r="A1255" s="670">
        <v>1294.0</v>
      </c>
      <c r="B1255" s="670" t="s">
        <v>2257</v>
      </c>
      <c r="C1255" s="670" t="s">
        <v>2258</v>
      </c>
      <c r="D1255" s="670" t="s">
        <v>4707</v>
      </c>
      <c r="E1255" s="670" t="s">
        <v>4708</v>
      </c>
      <c r="F1255" s="670">
        <v>9.0</v>
      </c>
      <c r="G1255" s="670" t="s">
        <v>1117</v>
      </c>
      <c r="H1255" s="670" t="s">
        <v>2261</v>
      </c>
      <c r="I1255" s="670" t="s">
        <v>2262</v>
      </c>
      <c r="J1255" s="671">
        <v>46234.0</v>
      </c>
    </row>
    <row r="1256">
      <c r="A1256" s="670">
        <v>1295.0</v>
      </c>
      <c r="B1256" s="670" t="s">
        <v>2257</v>
      </c>
      <c r="C1256" s="670" t="s">
        <v>2258</v>
      </c>
      <c r="D1256" s="670" t="s">
        <v>4709</v>
      </c>
      <c r="E1256" s="670" t="s">
        <v>4710</v>
      </c>
      <c r="F1256" s="670">
        <v>13.0</v>
      </c>
      <c r="G1256" s="670" t="s">
        <v>1117</v>
      </c>
      <c r="H1256" s="670" t="s">
        <v>2261</v>
      </c>
      <c r="I1256" s="670" t="s">
        <v>2262</v>
      </c>
      <c r="J1256" s="671">
        <v>46234.0</v>
      </c>
    </row>
    <row r="1257">
      <c r="A1257" s="670">
        <v>1296.0</v>
      </c>
      <c r="B1257" s="670" t="s">
        <v>2257</v>
      </c>
      <c r="C1257" s="670" t="s">
        <v>2258</v>
      </c>
      <c r="D1257" s="670" t="s">
        <v>4711</v>
      </c>
      <c r="E1257" s="670" t="s">
        <v>4712</v>
      </c>
      <c r="F1257" s="670">
        <v>51.0</v>
      </c>
      <c r="G1257" s="670" t="s">
        <v>1117</v>
      </c>
      <c r="H1257" s="670" t="s">
        <v>2261</v>
      </c>
      <c r="I1257" s="670" t="s">
        <v>2262</v>
      </c>
      <c r="J1257" s="671">
        <v>46234.0</v>
      </c>
    </row>
    <row r="1258">
      <c r="A1258" s="670">
        <v>1297.0</v>
      </c>
      <c r="B1258" s="670" t="s">
        <v>2257</v>
      </c>
      <c r="C1258" s="670" t="s">
        <v>2258</v>
      </c>
      <c r="D1258" s="670" t="s">
        <v>4713</v>
      </c>
      <c r="E1258" s="670" t="s">
        <v>4714</v>
      </c>
      <c r="F1258" s="670">
        <v>74.0</v>
      </c>
      <c r="G1258" s="670" t="s">
        <v>1117</v>
      </c>
      <c r="H1258" s="670" t="s">
        <v>2261</v>
      </c>
      <c r="I1258" s="670" t="s">
        <v>2262</v>
      </c>
      <c r="J1258" s="671">
        <v>46234.0</v>
      </c>
    </row>
    <row r="1259">
      <c r="A1259" s="670">
        <v>1298.0</v>
      </c>
      <c r="B1259" s="670" t="s">
        <v>2257</v>
      </c>
      <c r="C1259" s="670" t="s">
        <v>2258</v>
      </c>
      <c r="D1259" s="670" t="s">
        <v>4715</v>
      </c>
      <c r="E1259" s="670" t="s">
        <v>4716</v>
      </c>
      <c r="F1259" s="670">
        <v>6.0</v>
      </c>
      <c r="G1259" s="670" t="s">
        <v>1117</v>
      </c>
      <c r="H1259" s="670" t="s">
        <v>2261</v>
      </c>
      <c r="I1259" s="670" t="s">
        <v>2262</v>
      </c>
      <c r="J1259" s="671">
        <v>46234.0</v>
      </c>
    </row>
    <row r="1260">
      <c r="A1260" s="670">
        <v>1299.0</v>
      </c>
      <c r="B1260" s="670" t="s">
        <v>2257</v>
      </c>
      <c r="C1260" s="670" t="s">
        <v>2258</v>
      </c>
      <c r="D1260" s="670" t="s">
        <v>4717</v>
      </c>
      <c r="E1260" s="670" t="s">
        <v>4718</v>
      </c>
      <c r="F1260" s="670">
        <v>9.0</v>
      </c>
      <c r="G1260" s="670" t="s">
        <v>1117</v>
      </c>
      <c r="H1260" s="670" t="s">
        <v>2261</v>
      </c>
      <c r="I1260" s="670" t="s">
        <v>2262</v>
      </c>
      <c r="J1260" s="671">
        <v>46234.0</v>
      </c>
    </row>
    <row r="1261">
      <c r="A1261" s="670">
        <v>1300.0</v>
      </c>
      <c r="B1261" s="670" t="s">
        <v>2257</v>
      </c>
      <c r="C1261" s="670" t="s">
        <v>2258</v>
      </c>
      <c r="D1261" s="670" t="s">
        <v>4719</v>
      </c>
      <c r="E1261" s="670" t="s">
        <v>4720</v>
      </c>
      <c r="F1261" s="670">
        <v>12.0</v>
      </c>
      <c r="G1261" s="670" t="s">
        <v>22</v>
      </c>
      <c r="H1261" s="670" t="s">
        <v>2261</v>
      </c>
      <c r="I1261" s="670" t="s">
        <v>2262</v>
      </c>
      <c r="J1261" s="671">
        <v>46234.0</v>
      </c>
    </row>
    <row r="1262">
      <c r="A1262" s="670">
        <v>1301.0</v>
      </c>
      <c r="B1262" s="670" t="s">
        <v>2257</v>
      </c>
      <c r="C1262" s="670" t="s">
        <v>2258</v>
      </c>
      <c r="D1262" s="670" t="s">
        <v>4721</v>
      </c>
      <c r="E1262" s="670" t="s">
        <v>4722</v>
      </c>
      <c r="F1262" s="670">
        <v>18.0</v>
      </c>
      <c r="G1262" s="670" t="s">
        <v>22</v>
      </c>
      <c r="H1262" s="670" t="s">
        <v>2261</v>
      </c>
      <c r="I1262" s="670" t="s">
        <v>2262</v>
      </c>
      <c r="J1262" s="671">
        <v>46234.0</v>
      </c>
    </row>
    <row r="1263">
      <c r="A1263" s="670">
        <v>1302.0</v>
      </c>
      <c r="B1263" s="670" t="s">
        <v>2257</v>
      </c>
      <c r="C1263" s="670" t="s">
        <v>2258</v>
      </c>
      <c r="D1263" s="670" t="s">
        <v>4723</v>
      </c>
      <c r="E1263" s="670" t="s">
        <v>4724</v>
      </c>
      <c r="F1263" s="670">
        <v>18.0</v>
      </c>
      <c r="G1263" s="670" t="s">
        <v>22</v>
      </c>
      <c r="H1263" s="670" t="s">
        <v>2261</v>
      </c>
      <c r="I1263" s="670" t="s">
        <v>2262</v>
      </c>
      <c r="J1263" s="671">
        <v>46234.0</v>
      </c>
    </row>
    <row r="1264">
      <c r="A1264" s="670">
        <v>1303.0</v>
      </c>
      <c r="B1264" s="670" t="s">
        <v>2257</v>
      </c>
      <c r="C1264" s="670" t="s">
        <v>2258</v>
      </c>
      <c r="D1264" s="670" t="s">
        <v>4725</v>
      </c>
      <c r="E1264" s="670" t="s">
        <v>4726</v>
      </c>
      <c r="F1264" s="670">
        <v>28.0</v>
      </c>
      <c r="G1264" s="670" t="s">
        <v>22</v>
      </c>
      <c r="H1264" s="670" t="s">
        <v>2261</v>
      </c>
      <c r="I1264" s="670" t="s">
        <v>2262</v>
      </c>
      <c r="J1264" s="671">
        <v>46234.0</v>
      </c>
    </row>
    <row r="1265">
      <c r="A1265" s="670">
        <v>1304.0</v>
      </c>
      <c r="B1265" s="670" t="s">
        <v>2257</v>
      </c>
      <c r="C1265" s="670" t="s">
        <v>2258</v>
      </c>
      <c r="D1265" s="670" t="s">
        <v>4727</v>
      </c>
      <c r="E1265" s="670" t="s">
        <v>4728</v>
      </c>
      <c r="F1265" s="670">
        <v>60.0</v>
      </c>
      <c r="G1265" s="670" t="s">
        <v>1117</v>
      </c>
      <c r="H1265" s="670" t="s">
        <v>2261</v>
      </c>
      <c r="I1265" s="670" t="s">
        <v>2262</v>
      </c>
      <c r="J1265" s="671">
        <v>46234.0</v>
      </c>
    </row>
    <row r="1266">
      <c r="A1266" s="670">
        <v>1305.0</v>
      </c>
      <c r="B1266" s="670" t="s">
        <v>2257</v>
      </c>
      <c r="C1266" s="670" t="s">
        <v>2258</v>
      </c>
      <c r="D1266" s="670" t="s">
        <v>4729</v>
      </c>
      <c r="E1266" s="670" t="s">
        <v>4730</v>
      </c>
      <c r="F1266" s="670">
        <v>90.0</v>
      </c>
      <c r="G1266" s="670" t="s">
        <v>1117</v>
      </c>
      <c r="H1266" s="670" t="s">
        <v>2261</v>
      </c>
      <c r="I1266" s="670" t="s">
        <v>2262</v>
      </c>
      <c r="J1266" s="671">
        <v>46234.0</v>
      </c>
    </row>
    <row r="1267">
      <c r="A1267" s="670">
        <v>1306.0</v>
      </c>
      <c r="B1267" s="670" t="s">
        <v>2257</v>
      </c>
      <c r="C1267" s="670" t="s">
        <v>2258</v>
      </c>
      <c r="D1267" s="670" t="s">
        <v>4731</v>
      </c>
      <c r="E1267" s="670" t="s">
        <v>4732</v>
      </c>
      <c r="F1267" s="670">
        <v>59.0</v>
      </c>
      <c r="G1267" s="670" t="s">
        <v>1117</v>
      </c>
      <c r="H1267" s="670" t="s">
        <v>2261</v>
      </c>
      <c r="I1267" s="670" t="s">
        <v>2262</v>
      </c>
      <c r="J1267" s="671">
        <v>46234.0</v>
      </c>
    </row>
    <row r="1268">
      <c r="A1268" s="670">
        <v>1307.0</v>
      </c>
      <c r="B1268" s="670" t="s">
        <v>2257</v>
      </c>
      <c r="C1268" s="670" t="s">
        <v>2258</v>
      </c>
      <c r="D1268" s="670" t="s">
        <v>4733</v>
      </c>
      <c r="E1268" s="670" t="s">
        <v>4734</v>
      </c>
      <c r="F1268" s="670">
        <v>76.0</v>
      </c>
      <c r="G1268" s="670" t="s">
        <v>1117</v>
      </c>
      <c r="H1268" s="670" t="s">
        <v>2261</v>
      </c>
      <c r="I1268" s="670" t="s">
        <v>2262</v>
      </c>
      <c r="J1268" s="671">
        <v>46234.0</v>
      </c>
    </row>
    <row r="1269">
      <c r="A1269" s="670">
        <v>1308.0</v>
      </c>
      <c r="B1269" s="670" t="s">
        <v>2257</v>
      </c>
      <c r="C1269" s="670" t="s">
        <v>2258</v>
      </c>
      <c r="D1269" s="670" t="s">
        <v>4735</v>
      </c>
      <c r="E1269" s="670" t="s">
        <v>4736</v>
      </c>
      <c r="F1269" s="670">
        <v>65.0</v>
      </c>
      <c r="G1269" s="670" t="s">
        <v>1117</v>
      </c>
      <c r="H1269" s="670" t="s">
        <v>2261</v>
      </c>
      <c r="I1269" s="670" t="s">
        <v>2262</v>
      </c>
      <c r="J1269" s="671">
        <v>46234.0</v>
      </c>
    </row>
    <row r="1270">
      <c r="A1270" s="670">
        <v>1309.0</v>
      </c>
      <c r="B1270" s="670" t="s">
        <v>2257</v>
      </c>
      <c r="C1270" s="670" t="s">
        <v>2258</v>
      </c>
      <c r="D1270" s="670" t="s">
        <v>4737</v>
      </c>
      <c r="E1270" s="670" t="s">
        <v>4738</v>
      </c>
      <c r="F1270" s="670">
        <v>115.0</v>
      </c>
      <c r="G1270" s="670" t="s">
        <v>1117</v>
      </c>
      <c r="H1270" s="670" t="s">
        <v>2261</v>
      </c>
      <c r="I1270" s="670" t="s">
        <v>2262</v>
      </c>
      <c r="J1270" s="671">
        <v>46234.0</v>
      </c>
    </row>
    <row r="1271">
      <c r="A1271" s="670">
        <v>1310.0</v>
      </c>
      <c r="B1271" s="670" t="s">
        <v>2257</v>
      </c>
      <c r="C1271" s="670" t="s">
        <v>2258</v>
      </c>
      <c r="D1271" s="670" t="s">
        <v>4739</v>
      </c>
      <c r="E1271" s="670" t="s">
        <v>4740</v>
      </c>
      <c r="F1271" s="670">
        <v>65.0</v>
      </c>
      <c r="G1271" s="670" t="s">
        <v>1117</v>
      </c>
      <c r="H1271" s="670" t="s">
        <v>2261</v>
      </c>
      <c r="I1271" s="670" t="s">
        <v>2262</v>
      </c>
      <c r="J1271" s="671">
        <v>46234.0</v>
      </c>
    </row>
    <row r="1272">
      <c r="A1272" s="670">
        <v>1311.0</v>
      </c>
      <c r="B1272" s="670" t="s">
        <v>2257</v>
      </c>
      <c r="C1272" s="670" t="s">
        <v>2258</v>
      </c>
      <c r="D1272" s="670" t="s">
        <v>4741</v>
      </c>
      <c r="E1272" s="670" t="s">
        <v>4742</v>
      </c>
      <c r="F1272" s="670">
        <v>115.0</v>
      </c>
      <c r="G1272" s="670" t="s">
        <v>1117</v>
      </c>
      <c r="H1272" s="670" t="s">
        <v>2261</v>
      </c>
      <c r="I1272" s="670" t="s">
        <v>2262</v>
      </c>
      <c r="J1272" s="671">
        <v>46234.0</v>
      </c>
    </row>
    <row r="1273">
      <c r="A1273" s="670">
        <v>1312.0</v>
      </c>
      <c r="B1273" s="670" t="s">
        <v>2257</v>
      </c>
      <c r="C1273" s="670" t="s">
        <v>2258</v>
      </c>
      <c r="D1273" s="670" t="s">
        <v>4743</v>
      </c>
      <c r="E1273" s="670" t="s">
        <v>4744</v>
      </c>
      <c r="F1273" s="670">
        <v>97.0</v>
      </c>
      <c r="G1273" s="670" t="s">
        <v>1117</v>
      </c>
      <c r="H1273" s="670" t="s">
        <v>2261</v>
      </c>
      <c r="I1273" s="670" t="s">
        <v>2262</v>
      </c>
      <c r="J1273" s="671">
        <v>46234.0</v>
      </c>
    </row>
    <row r="1274">
      <c r="A1274" s="670">
        <v>1313.0</v>
      </c>
      <c r="B1274" s="670" t="s">
        <v>2257</v>
      </c>
      <c r="C1274" s="670" t="s">
        <v>2258</v>
      </c>
      <c r="D1274" s="670" t="s">
        <v>4745</v>
      </c>
      <c r="E1274" s="670" t="s">
        <v>4746</v>
      </c>
      <c r="F1274" s="670">
        <v>127.0</v>
      </c>
      <c r="G1274" s="670" t="s">
        <v>1117</v>
      </c>
      <c r="H1274" s="670" t="s">
        <v>2261</v>
      </c>
      <c r="I1274" s="670" t="s">
        <v>2262</v>
      </c>
      <c r="J1274" s="671">
        <v>46234.0</v>
      </c>
    </row>
    <row r="1275">
      <c r="A1275" s="670">
        <v>1314.0</v>
      </c>
      <c r="B1275" s="670" t="s">
        <v>2257</v>
      </c>
      <c r="C1275" s="670" t="s">
        <v>2258</v>
      </c>
      <c r="D1275" s="670" t="s">
        <v>4747</v>
      </c>
      <c r="E1275" s="670" t="s">
        <v>4748</v>
      </c>
      <c r="F1275" s="670">
        <v>106.0</v>
      </c>
      <c r="G1275" s="670" t="s">
        <v>1117</v>
      </c>
      <c r="H1275" s="670" t="s">
        <v>2261</v>
      </c>
      <c r="I1275" s="670" t="s">
        <v>2262</v>
      </c>
      <c r="J1275" s="671">
        <v>46234.0</v>
      </c>
    </row>
    <row r="1276">
      <c r="A1276" s="670">
        <v>1315.0</v>
      </c>
      <c r="B1276" s="670" t="s">
        <v>2257</v>
      </c>
      <c r="C1276" s="670" t="s">
        <v>2258</v>
      </c>
      <c r="D1276" s="670" t="s">
        <v>4749</v>
      </c>
      <c r="E1276" s="670" t="s">
        <v>4750</v>
      </c>
      <c r="F1276" s="670">
        <v>135.0</v>
      </c>
      <c r="G1276" s="670" t="s">
        <v>1117</v>
      </c>
      <c r="H1276" s="670" t="s">
        <v>2261</v>
      </c>
      <c r="I1276" s="670" t="s">
        <v>2262</v>
      </c>
      <c r="J1276" s="671">
        <v>46234.0</v>
      </c>
    </row>
    <row r="1277">
      <c r="A1277" s="670">
        <v>1316.0</v>
      </c>
      <c r="B1277" s="670" t="s">
        <v>2257</v>
      </c>
      <c r="C1277" s="670" t="s">
        <v>2258</v>
      </c>
      <c r="D1277" s="670" t="s">
        <v>4751</v>
      </c>
      <c r="E1277" s="670" t="s">
        <v>4752</v>
      </c>
      <c r="F1277" s="670">
        <v>130.0</v>
      </c>
      <c r="G1277" s="670" t="s">
        <v>1117</v>
      </c>
      <c r="H1277" s="670" t="s">
        <v>2261</v>
      </c>
      <c r="I1277" s="670" t="s">
        <v>2262</v>
      </c>
      <c r="J1277" s="671">
        <v>46234.0</v>
      </c>
    </row>
    <row r="1278">
      <c r="A1278" s="670">
        <v>1317.0</v>
      </c>
      <c r="B1278" s="670" t="s">
        <v>2257</v>
      </c>
      <c r="C1278" s="670" t="s">
        <v>2258</v>
      </c>
      <c r="D1278" s="670" t="s">
        <v>4753</v>
      </c>
      <c r="E1278" s="670" t="s">
        <v>4754</v>
      </c>
      <c r="F1278" s="670">
        <v>250.0</v>
      </c>
      <c r="G1278" s="670" t="s">
        <v>1117</v>
      </c>
      <c r="H1278" s="670" t="s">
        <v>2261</v>
      </c>
      <c r="I1278" s="670" t="s">
        <v>2262</v>
      </c>
      <c r="J1278" s="671">
        <v>46234.0</v>
      </c>
    </row>
    <row r="1279">
      <c r="A1279" s="670">
        <v>1318.0</v>
      </c>
      <c r="B1279" s="670" t="s">
        <v>2257</v>
      </c>
      <c r="C1279" s="670" t="s">
        <v>2258</v>
      </c>
      <c r="D1279" s="670" t="s">
        <v>4755</v>
      </c>
      <c r="E1279" s="670" t="s">
        <v>4756</v>
      </c>
      <c r="F1279" s="670">
        <v>110.0</v>
      </c>
      <c r="G1279" s="670" t="s">
        <v>1117</v>
      </c>
      <c r="H1279" s="670" t="s">
        <v>2261</v>
      </c>
      <c r="I1279" s="670" t="s">
        <v>2262</v>
      </c>
      <c r="J1279" s="671">
        <v>46234.0</v>
      </c>
    </row>
    <row r="1280">
      <c r="A1280" s="670">
        <v>1319.0</v>
      </c>
      <c r="B1280" s="670" t="s">
        <v>2257</v>
      </c>
      <c r="C1280" s="670" t="s">
        <v>2258</v>
      </c>
      <c r="D1280" s="670" t="s">
        <v>4757</v>
      </c>
      <c r="E1280" s="670" t="s">
        <v>4758</v>
      </c>
      <c r="F1280" s="670">
        <v>135.0</v>
      </c>
      <c r="G1280" s="670" t="s">
        <v>1117</v>
      </c>
      <c r="H1280" s="670" t="s">
        <v>2261</v>
      </c>
      <c r="I1280" s="670" t="s">
        <v>2262</v>
      </c>
      <c r="J1280" s="671">
        <v>46234.0</v>
      </c>
    </row>
    <row r="1281">
      <c r="A1281" s="670">
        <v>1320.0</v>
      </c>
      <c r="B1281" s="670" t="s">
        <v>2257</v>
      </c>
      <c r="C1281" s="670" t="s">
        <v>2258</v>
      </c>
      <c r="D1281" s="670" t="s">
        <v>4759</v>
      </c>
      <c r="E1281" s="670" t="s">
        <v>4760</v>
      </c>
      <c r="F1281" s="670">
        <v>110.0</v>
      </c>
      <c r="G1281" s="670" t="s">
        <v>1117</v>
      </c>
      <c r="H1281" s="670" t="s">
        <v>2261</v>
      </c>
      <c r="I1281" s="670" t="s">
        <v>2262</v>
      </c>
      <c r="J1281" s="671">
        <v>46234.0</v>
      </c>
    </row>
    <row r="1282">
      <c r="A1282" s="670">
        <v>1321.0</v>
      </c>
      <c r="B1282" s="670" t="s">
        <v>2257</v>
      </c>
      <c r="C1282" s="670" t="s">
        <v>2258</v>
      </c>
      <c r="D1282" s="670" t="s">
        <v>4761</v>
      </c>
      <c r="E1282" s="670" t="s">
        <v>4762</v>
      </c>
      <c r="F1282" s="670">
        <v>135.0</v>
      </c>
      <c r="G1282" s="670" t="s">
        <v>1117</v>
      </c>
      <c r="H1282" s="670" t="s">
        <v>2261</v>
      </c>
      <c r="I1282" s="670" t="s">
        <v>2262</v>
      </c>
      <c r="J1282" s="671">
        <v>46234.0</v>
      </c>
    </row>
    <row r="1283">
      <c r="A1283" s="670">
        <v>1322.0</v>
      </c>
      <c r="B1283" s="670" t="s">
        <v>2257</v>
      </c>
      <c r="C1283" s="670" t="s">
        <v>2258</v>
      </c>
      <c r="D1283" s="670" t="s">
        <v>4763</v>
      </c>
      <c r="E1283" s="670" t="s">
        <v>4764</v>
      </c>
      <c r="F1283" s="670">
        <v>120.0</v>
      </c>
      <c r="G1283" s="670" t="s">
        <v>1117</v>
      </c>
      <c r="H1283" s="670" t="s">
        <v>2261</v>
      </c>
      <c r="I1283" s="670" t="s">
        <v>2262</v>
      </c>
      <c r="J1283" s="671">
        <v>46234.0</v>
      </c>
    </row>
    <row r="1284">
      <c r="A1284" s="670">
        <v>1323.0</v>
      </c>
      <c r="B1284" s="670" t="s">
        <v>2257</v>
      </c>
      <c r="C1284" s="670" t="s">
        <v>2258</v>
      </c>
      <c r="D1284" s="670" t="s">
        <v>4765</v>
      </c>
      <c r="E1284" s="670" t="s">
        <v>4766</v>
      </c>
      <c r="F1284" s="670">
        <v>150.0</v>
      </c>
      <c r="G1284" s="670" t="s">
        <v>1117</v>
      </c>
      <c r="H1284" s="670" t="s">
        <v>2261</v>
      </c>
      <c r="I1284" s="670" t="s">
        <v>2262</v>
      </c>
      <c r="J1284" s="671">
        <v>46234.0</v>
      </c>
    </row>
    <row r="1285">
      <c r="A1285" s="670">
        <v>1324.0</v>
      </c>
      <c r="B1285" s="670" t="s">
        <v>2257</v>
      </c>
      <c r="C1285" s="670" t="s">
        <v>2258</v>
      </c>
      <c r="D1285" s="670" t="s">
        <v>4767</v>
      </c>
      <c r="E1285" s="670" t="s">
        <v>4768</v>
      </c>
      <c r="F1285" s="670">
        <v>120.0</v>
      </c>
      <c r="G1285" s="670" t="s">
        <v>1117</v>
      </c>
      <c r="H1285" s="670" t="s">
        <v>2261</v>
      </c>
      <c r="I1285" s="670" t="s">
        <v>2262</v>
      </c>
      <c r="J1285" s="671">
        <v>46234.0</v>
      </c>
    </row>
    <row r="1286">
      <c r="A1286" s="670">
        <v>1325.0</v>
      </c>
      <c r="B1286" s="670" t="s">
        <v>2257</v>
      </c>
      <c r="C1286" s="670" t="s">
        <v>2258</v>
      </c>
      <c r="D1286" s="670" t="s">
        <v>4769</v>
      </c>
      <c r="E1286" s="670" t="s">
        <v>4770</v>
      </c>
      <c r="F1286" s="670">
        <v>150.0</v>
      </c>
      <c r="G1286" s="670" t="s">
        <v>1117</v>
      </c>
      <c r="H1286" s="670" t="s">
        <v>2261</v>
      </c>
      <c r="I1286" s="670" t="s">
        <v>2262</v>
      </c>
      <c r="J1286" s="671">
        <v>46234.0</v>
      </c>
    </row>
    <row r="1287">
      <c r="A1287" s="670">
        <v>1326.0</v>
      </c>
      <c r="B1287" s="670" t="s">
        <v>2257</v>
      </c>
      <c r="C1287" s="670" t="s">
        <v>2258</v>
      </c>
      <c r="D1287" s="670" t="s">
        <v>4771</v>
      </c>
      <c r="E1287" s="670" t="s">
        <v>4772</v>
      </c>
      <c r="F1287" s="670">
        <v>160.0</v>
      </c>
      <c r="G1287" s="670" t="s">
        <v>1117</v>
      </c>
      <c r="H1287" s="670" t="s">
        <v>2261</v>
      </c>
      <c r="I1287" s="670" t="s">
        <v>2262</v>
      </c>
      <c r="J1287" s="671">
        <v>46234.0</v>
      </c>
    </row>
    <row r="1288">
      <c r="A1288" s="670">
        <v>1327.0</v>
      </c>
      <c r="B1288" s="670" t="s">
        <v>2257</v>
      </c>
      <c r="C1288" s="670" t="s">
        <v>2258</v>
      </c>
      <c r="D1288" s="670" t="s">
        <v>4773</v>
      </c>
      <c r="E1288" s="670" t="s">
        <v>4774</v>
      </c>
      <c r="F1288" s="670">
        <v>280.0</v>
      </c>
      <c r="G1288" s="670" t="s">
        <v>1117</v>
      </c>
      <c r="H1288" s="670" t="s">
        <v>2261</v>
      </c>
      <c r="I1288" s="670" t="s">
        <v>2262</v>
      </c>
      <c r="J1288" s="671">
        <v>46234.0</v>
      </c>
    </row>
    <row r="1289">
      <c r="A1289" s="670">
        <v>1328.0</v>
      </c>
      <c r="B1289" s="670" t="s">
        <v>2257</v>
      </c>
      <c r="C1289" s="670" t="s">
        <v>2258</v>
      </c>
      <c r="D1289" s="670" t="s">
        <v>4775</v>
      </c>
      <c r="E1289" s="670" t="s">
        <v>4776</v>
      </c>
      <c r="F1289" s="670">
        <v>76.0</v>
      </c>
      <c r="G1289" s="670" t="s">
        <v>1117</v>
      </c>
      <c r="H1289" s="670" t="s">
        <v>2261</v>
      </c>
      <c r="I1289" s="670" t="s">
        <v>2262</v>
      </c>
      <c r="J1289" s="671">
        <v>46234.0</v>
      </c>
    </row>
    <row r="1290">
      <c r="A1290" s="670">
        <v>1329.0</v>
      </c>
      <c r="B1290" s="670" t="s">
        <v>2257</v>
      </c>
      <c r="C1290" s="670" t="s">
        <v>2258</v>
      </c>
      <c r="D1290" s="670" t="s">
        <v>4777</v>
      </c>
      <c r="E1290" s="670" t="s">
        <v>4778</v>
      </c>
      <c r="F1290" s="670">
        <v>84.0</v>
      </c>
      <c r="G1290" s="670" t="s">
        <v>1117</v>
      </c>
      <c r="H1290" s="670" t="s">
        <v>2261</v>
      </c>
      <c r="I1290" s="670" t="s">
        <v>2262</v>
      </c>
      <c r="J1290" s="671">
        <v>46234.0</v>
      </c>
    </row>
    <row r="1291">
      <c r="A1291" s="670">
        <v>1330.0</v>
      </c>
      <c r="B1291" s="670" t="s">
        <v>2257</v>
      </c>
      <c r="C1291" s="670" t="s">
        <v>2258</v>
      </c>
      <c r="D1291" s="670" t="s">
        <v>4779</v>
      </c>
      <c r="E1291" s="670" t="s">
        <v>4780</v>
      </c>
      <c r="F1291" s="670">
        <v>84.0</v>
      </c>
      <c r="G1291" s="670" t="s">
        <v>1117</v>
      </c>
      <c r="H1291" s="670" t="s">
        <v>2261</v>
      </c>
      <c r="I1291" s="670" t="s">
        <v>2262</v>
      </c>
      <c r="J1291" s="671">
        <v>46234.0</v>
      </c>
    </row>
    <row r="1292">
      <c r="A1292" s="670">
        <v>1331.0</v>
      </c>
      <c r="B1292" s="670" t="s">
        <v>2257</v>
      </c>
      <c r="C1292" s="670" t="s">
        <v>2258</v>
      </c>
      <c r="D1292" s="670" t="s">
        <v>4781</v>
      </c>
      <c r="E1292" s="670" t="s">
        <v>4782</v>
      </c>
      <c r="F1292" s="670">
        <v>101.0</v>
      </c>
      <c r="G1292" s="670" t="s">
        <v>1117</v>
      </c>
      <c r="H1292" s="670" t="s">
        <v>2261</v>
      </c>
      <c r="I1292" s="670" t="s">
        <v>2262</v>
      </c>
      <c r="J1292" s="671">
        <v>46234.0</v>
      </c>
    </row>
    <row r="1293">
      <c r="A1293" s="670">
        <v>1332.0</v>
      </c>
      <c r="B1293" s="670" t="s">
        <v>2257</v>
      </c>
      <c r="C1293" s="670" t="s">
        <v>2258</v>
      </c>
      <c r="D1293" s="670" t="s">
        <v>4783</v>
      </c>
      <c r="E1293" s="670" t="s">
        <v>4784</v>
      </c>
      <c r="F1293" s="670">
        <v>93.0</v>
      </c>
      <c r="G1293" s="670" t="s">
        <v>1117</v>
      </c>
      <c r="H1293" s="670" t="s">
        <v>2261</v>
      </c>
      <c r="I1293" s="670" t="s">
        <v>2262</v>
      </c>
      <c r="J1293" s="671">
        <v>46234.0</v>
      </c>
    </row>
    <row r="1294">
      <c r="A1294" s="670">
        <v>1333.0</v>
      </c>
      <c r="B1294" s="670" t="s">
        <v>2257</v>
      </c>
      <c r="C1294" s="670" t="s">
        <v>2258</v>
      </c>
      <c r="D1294" s="670" t="s">
        <v>4785</v>
      </c>
      <c r="E1294" s="670" t="s">
        <v>4786</v>
      </c>
      <c r="F1294" s="670">
        <v>7.0</v>
      </c>
      <c r="G1294" s="670" t="s">
        <v>1117</v>
      </c>
      <c r="H1294" s="670" t="s">
        <v>2261</v>
      </c>
      <c r="I1294" s="670" t="s">
        <v>2262</v>
      </c>
      <c r="J1294" s="671">
        <v>46234.0</v>
      </c>
    </row>
    <row r="1295">
      <c r="A1295" s="670">
        <v>1334.0</v>
      </c>
      <c r="B1295" s="670" t="s">
        <v>2257</v>
      </c>
      <c r="C1295" s="670" t="s">
        <v>2258</v>
      </c>
      <c r="D1295" s="670" t="s">
        <v>4787</v>
      </c>
      <c r="E1295" s="670" t="s">
        <v>4788</v>
      </c>
      <c r="F1295" s="670">
        <v>8.0</v>
      </c>
      <c r="G1295" s="670" t="s">
        <v>1117</v>
      </c>
      <c r="H1295" s="670" t="s">
        <v>2261</v>
      </c>
      <c r="I1295" s="670" t="s">
        <v>2262</v>
      </c>
      <c r="J1295" s="671">
        <v>46234.0</v>
      </c>
    </row>
    <row r="1296">
      <c r="A1296" s="670">
        <v>1335.0</v>
      </c>
      <c r="B1296" s="670" t="s">
        <v>2257</v>
      </c>
      <c r="C1296" s="670" t="s">
        <v>2258</v>
      </c>
      <c r="D1296" s="670" t="s">
        <v>4789</v>
      </c>
      <c r="E1296" s="670" t="s">
        <v>4790</v>
      </c>
      <c r="F1296" s="670">
        <v>5.0</v>
      </c>
      <c r="G1296" s="670" t="s">
        <v>1117</v>
      </c>
      <c r="H1296" s="670" t="s">
        <v>2261</v>
      </c>
      <c r="I1296" s="670" t="s">
        <v>2262</v>
      </c>
      <c r="J1296" s="671">
        <v>46234.0</v>
      </c>
    </row>
    <row r="1297">
      <c r="A1297" s="670">
        <v>1336.0</v>
      </c>
      <c r="B1297" s="670" t="s">
        <v>2257</v>
      </c>
      <c r="C1297" s="670" t="s">
        <v>2258</v>
      </c>
      <c r="D1297" s="670" t="s">
        <v>4791</v>
      </c>
      <c r="E1297" s="670" t="s">
        <v>4792</v>
      </c>
      <c r="F1297" s="670">
        <v>6.0</v>
      </c>
      <c r="G1297" s="670" t="s">
        <v>1117</v>
      </c>
      <c r="H1297" s="670" t="s">
        <v>2261</v>
      </c>
      <c r="I1297" s="670" t="s">
        <v>2262</v>
      </c>
      <c r="J1297" s="671">
        <v>46234.0</v>
      </c>
    </row>
    <row r="1298">
      <c r="A1298" s="670">
        <v>1337.0</v>
      </c>
      <c r="B1298" s="670" t="s">
        <v>2257</v>
      </c>
      <c r="C1298" s="670" t="s">
        <v>2258</v>
      </c>
      <c r="D1298" s="670" t="s">
        <v>4793</v>
      </c>
      <c r="E1298" s="670" t="s">
        <v>4794</v>
      </c>
      <c r="F1298" s="670">
        <v>55000.0</v>
      </c>
      <c r="G1298" s="670" t="s">
        <v>824</v>
      </c>
      <c r="H1298" s="670" t="s">
        <v>2261</v>
      </c>
      <c r="I1298" s="670" t="s">
        <v>2262</v>
      </c>
      <c r="J1298" s="671">
        <v>46234.0</v>
      </c>
    </row>
    <row r="1299">
      <c r="A1299" s="670">
        <v>1338.0</v>
      </c>
      <c r="B1299" s="670" t="s">
        <v>2257</v>
      </c>
      <c r="C1299" s="670" t="s">
        <v>2258</v>
      </c>
      <c r="D1299" s="670" t="s">
        <v>4795</v>
      </c>
      <c r="E1299" s="670" t="s">
        <v>4796</v>
      </c>
      <c r="F1299" s="670">
        <v>790.0</v>
      </c>
      <c r="G1299" s="670" t="s">
        <v>22</v>
      </c>
      <c r="H1299" s="670" t="s">
        <v>2261</v>
      </c>
      <c r="I1299" s="670" t="s">
        <v>2262</v>
      </c>
      <c r="J1299" s="671">
        <v>46234.0</v>
      </c>
    </row>
    <row r="1300">
      <c r="A1300" s="670">
        <v>1339.0</v>
      </c>
      <c r="B1300" s="670" t="s">
        <v>2257</v>
      </c>
      <c r="C1300" s="670" t="s">
        <v>2258</v>
      </c>
      <c r="D1300" s="670" t="s">
        <v>4797</v>
      </c>
      <c r="E1300" s="670" t="s">
        <v>4798</v>
      </c>
      <c r="F1300" s="670">
        <v>1290.0</v>
      </c>
      <c r="G1300" s="670" t="s">
        <v>22</v>
      </c>
      <c r="H1300" s="670" t="s">
        <v>2261</v>
      </c>
      <c r="I1300" s="670" t="s">
        <v>2262</v>
      </c>
      <c r="J1300" s="671">
        <v>46234.0</v>
      </c>
    </row>
    <row r="1301">
      <c r="A1301" s="670">
        <v>1340.0</v>
      </c>
      <c r="B1301" s="670" t="s">
        <v>2257</v>
      </c>
      <c r="C1301" s="670" t="s">
        <v>2258</v>
      </c>
      <c r="D1301" s="670" t="s">
        <v>4799</v>
      </c>
      <c r="E1301" s="670" t="s">
        <v>4800</v>
      </c>
      <c r="F1301" s="670">
        <v>1725.0</v>
      </c>
      <c r="G1301" s="670" t="s">
        <v>22</v>
      </c>
      <c r="H1301" s="670" t="s">
        <v>2261</v>
      </c>
      <c r="I1301" s="670" t="s">
        <v>2262</v>
      </c>
      <c r="J1301" s="671">
        <v>46234.0</v>
      </c>
    </row>
    <row r="1302">
      <c r="A1302" s="670">
        <v>1341.0</v>
      </c>
      <c r="B1302" s="670" t="s">
        <v>2257</v>
      </c>
      <c r="C1302" s="670" t="s">
        <v>2258</v>
      </c>
      <c r="D1302" s="670" t="s">
        <v>4801</v>
      </c>
      <c r="E1302" s="670" t="s">
        <v>4802</v>
      </c>
      <c r="F1302" s="670">
        <v>2340.0</v>
      </c>
      <c r="G1302" s="670" t="s">
        <v>22</v>
      </c>
      <c r="H1302" s="670" t="s">
        <v>2261</v>
      </c>
      <c r="I1302" s="670" t="s">
        <v>2262</v>
      </c>
      <c r="J1302" s="671">
        <v>46234.0</v>
      </c>
    </row>
    <row r="1303">
      <c r="A1303" s="670">
        <v>1342.0</v>
      </c>
      <c r="B1303" s="670" t="s">
        <v>2257</v>
      </c>
      <c r="C1303" s="670" t="s">
        <v>2258</v>
      </c>
      <c r="D1303" s="670" t="s">
        <v>4803</v>
      </c>
      <c r="E1303" s="670" t="s">
        <v>4804</v>
      </c>
      <c r="F1303" s="670">
        <v>3055.0</v>
      </c>
      <c r="G1303" s="670" t="s">
        <v>22</v>
      </c>
      <c r="H1303" s="670" t="s">
        <v>2261</v>
      </c>
      <c r="I1303" s="670" t="s">
        <v>2262</v>
      </c>
      <c r="J1303" s="671">
        <v>46234.0</v>
      </c>
    </row>
    <row r="1304">
      <c r="A1304" s="670">
        <v>1343.0</v>
      </c>
      <c r="B1304" s="670" t="s">
        <v>2257</v>
      </c>
      <c r="C1304" s="670" t="s">
        <v>2258</v>
      </c>
      <c r="D1304" s="670" t="s">
        <v>4805</v>
      </c>
      <c r="E1304" s="670" t="s">
        <v>4806</v>
      </c>
      <c r="F1304" s="670">
        <v>4570.0</v>
      </c>
      <c r="G1304" s="670" t="s">
        <v>22</v>
      </c>
      <c r="H1304" s="670" t="s">
        <v>2261</v>
      </c>
      <c r="I1304" s="670" t="s">
        <v>2262</v>
      </c>
      <c r="J1304" s="671">
        <v>46234.0</v>
      </c>
    </row>
    <row r="1305">
      <c r="A1305" s="670">
        <v>1344.0</v>
      </c>
      <c r="B1305" s="670" t="s">
        <v>2257</v>
      </c>
      <c r="C1305" s="670" t="s">
        <v>2258</v>
      </c>
      <c r="D1305" s="670" t="s">
        <v>4807</v>
      </c>
      <c r="E1305" s="670" t="s">
        <v>4808</v>
      </c>
      <c r="F1305" s="670">
        <v>870.0</v>
      </c>
      <c r="G1305" s="670" t="s">
        <v>22</v>
      </c>
      <c r="H1305" s="670" t="s">
        <v>2261</v>
      </c>
      <c r="I1305" s="670" t="s">
        <v>2262</v>
      </c>
      <c r="J1305" s="671">
        <v>46234.0</v>
      </c>
    </row>
    <row r="1306">
      <c r="A1306" s="670">
        <v>1345.0</v>
      </c>
      <c r="B1306" s="670" t="s">
        <v>2257</v>
      </c>
      <c r="C1306" s="670" t="s">
        <v>2258</v>
      </c>
      <c r="D1306" s="670" t="s">
        <v>4809</v>
      </c>
      <c r="E1306" s="670" t="s">
        <v>4810</v>
      </c>
      <c r="F1306" s="670">
        <v>1440.0</v>
      </c>
      <c r="G1306" s="670" t="s">
        <v>22</v>
      </c>
      <c r="H1306" s="670" t="s">
        <v>2261</v>
      </c>
      <c r="I1306" s="670" t="s">
        <v>2262</v>
      </c>
      <c r="J1306" s="671">
        <v>46234.0</v>
      </c>
    </row>
    <row r="1307">
      <c r="A1307" s="670">
        <v>1346.0</v>
      </c>
      <c r="B1307" s="670" t="s">
        <v>2257</v>
      </c>
      <c r="C1307" s="670" t="s">
        <v>2258</v>
      </c>
      <c r="D1307" s="670" t="s">
        <v>4811</v>
      </c>
      <c r="E1307" s="670" t="s">
        <v>4812</v>
      </c>
      <c r="F1307" s="670">
        <v>1930.0</v>
      </c>
      <c r="G1307" s="670" t="s">
        <v>22</v>
      </c>
      <c r="H1307" s="670" t="s">
        <v>2261</v>
      </c>
      <c r="I1307" s="670" t="s">
        <v>2262</v>
      </c>
      <c r="J1307" s="671">
        <v>46234.0</v>
      </c>
    </row>
    <row r="1308">
      <c r="A1308" s="670">
        <v>1347.0</v>
      </c>
      <c r="B1308" s="670" t="s">
        <v>2257</v>
      </c>
      <c r="C1308" s="670" t="s">
        <v>2258</v>
      </c>
      <c r="D1308" s="670" t="s">
        <v>4813</v>
      </c>
      <c r="E1308" s="670" t="s">
        <v>4814</v>
      </c>
      <c r="F1308" s="670">
        <v>2640.0</v>
      </c>
      <c r="G1308" s="670" t="s">
        <v>22</v>
      </c>
      <c r="H1308" s="670" t="s">
        <v>2261</v>
      </c>
      <c r="I1308" s="670" t="s">
        <v>2262</v>
      </c>
      <c r="J1308" s="671">
        <v>46234.0</v>
      </c>
    </row>
    <row r="1309">
      <c r="A1309" s="670">
        <v>1348.0</v>
      </c>
      <c r="B1309" s="670" t="s">
        <v>2257</v>
      </c>
      <c r="C1309" s="670" t="s">
        <v>2258</v>
      </c>
      <c r="D1309" s="670" t="s">
        <v>4815</v>
      </c>
      <c r="E1309" s="670" t="s">
        <v>4816</v>
      </c>
      <c r="F1309" s="670">
        <v>3590.0</v>
      </c>
      <c r="G1309" s="670" t="s">
        <v>22</v>
      </c>
      <c r="H1309" s="670" t="s">
        <v>2261</v>
      </c>
      <c r="I1309" s="670" t="s">
        <v>2262</v>
      </c>
      <c r="J1309" s="671">
        <v>46234.0</v>
      </c>
    </row>
    <row r="1310">
      <c r="A1310" s="670">
        <v>1349.0</v>
      </c>
      <c r="B1310" s="670" t="s">
        <v>2257</v>
      </c>
      <c r="C1310" s="670" t="s">
        <v>2258</v>
      </c>
      <c r="D1310" s="670" t="s">
        <v>4817</v>
      </c>
      <c r="E1310" s="670" t="s">
        <v>4818</v>
      </c>
      <c r="F1310" s="670">
        <v>5435.0</v>
      </c>
      <c r="G1310" s="670" t="s">
        <v>22</v>
      </c>
      <c r="H1310" s="670" t="s">
        <v>2261</v>
      </c>
      <c r="I1310" s="670" t="s">
        <v>2262</v>
      </c>
      <c r="J1310" s="671">
        <v>46234.0</v>
      </c>
    </row>
    <row r="1311">
      <c r="A1311" s="670">
        <v>1350.0</v>
      </c>
      <c r="B1311" s="670" t="s">
        <v>2257</v>
      </c>
      <c r="C1311" s="670" t="s">
        <v>2258</v>
      </c>
      <c r="D1311" s="670" t="s">
        <v>4819</v>
      </c>
      <c r="E1311" s="670" t="s">
        <v>4820</v>
      </c>
      <c r="F1311" s="670">
        <v>751.0</v>
      </c>
      <c r="G1311" s="670" t="s">
        <v>22</v>
      </c>
      <c r="H1311" s="670" t="s">
        <v>2261</v>
      </c>
      <c r="I1311" s="670" t="s">
        <v>2262</v>
      </c>
      <c r="J1311" s="671">
        <v>46234.0</v>
      </c>
    </row>
    <row r="1312">
      <c r="A1312" s="670">
        <v>1351.0</v>
      </c>
      <c r="B1312" s="670" t="s">
        <v>2257</v>
      </c>
      <c r="C1312" s="670" t="s">
        <v>2258</v>
      </c>
      <c r="D1312" s="670" t="s">
        <v>4821</v>
      </c>
      <c r="E1312" s="670" t="s">
        <v>4822</v>
      </c>
      <c r="F1312" s="670">
        <v>1010.0</v>
      </c>
      <c r="G1312" s="670" t="s">
        <v>22</v>
      </c>
      <c r="H1312" s="670" t="s">
        <v>2261</v>
      </c>
      <c r="I1312" s="670" t="s">
        <v>2262</v>
      </c>
      <c r="J1312" s="671">
        <v>46234.0</v>
      </c>
    </row>
    <row r="1313">
      <c r="A1313" s="670">
        <v>1352.0</v>
      </c>
      <c r="B1313" s="670" t="s">
        <v>2257</v>
      </c>
      <c r="C1313" s="670" t="s">
        <v>2258</v>
      </c>
      <c r="D1313" s="670" t="s">
        <v>4823</v>
      </c>
      <c r="E1313" s="670" t="s">
        <v>4824</v>
      </c>
      <c r="F1313" s="670">
        <v>1183.0</v>
      </c>
      <c r="G1313" s="670" t="s">
        <v>22</v>
      </c>
      <c r="H1313" s="670" t="s">
        <v>2261</v>
      </c>
      <c r="I1313" s="670" t="s">
        <v>2262</v>
      </c>
      <c r="J1313" s="671">
        <v>46234.0</v>
      </c>
    </row>
    <row r="1314">
      <c r="A1314" s="670">
        <v>1353.0</v>
      </c>
      <c r="B1314" s="670" t="s">
        <v>2257</v>
      </c>
      <c r="C1314" s="670" t="s">
        <v>2258</v>
      </c>
      <c r="D1314" s="670" t="s">
        <v>4825</v>
      </c>
      <c r="E1314" s="670" t="s">
        <v>4826</v>
      </c>
      <c r="F1314" s="670">
        <v>85.0</v>
      </c>
      <c r="G1314" s="670" t="s">
        <v>22</v>
      </c>
      <c r="H1314" s="670" t="s">
        <v>2261</v>
      </c>
      <c r="I1314" s="670" t="s">
        <v>2262</v>
      </c>
      <c r="J1314" s="671">
        <v>46235.0</v>
      </c>
    </row>
    <row r="1315">
      <c r="A1315" s="670">
        <v>1354.0</v>
      </c>
      <c r="B1315" s="670" t="s">
        <v>2257</v>
      </c>
      <c r="C1315" s="670" t="s">
        <v>2258</v>
      </c>
      <c r="D1315" s="670" t="s">
        <v>4827</v>
      </c>
      <c r="E1315" s="670" t="s">
        <v>4828</v>
      </c>
      <c r="F1315" s="670">
        <v>109.0</v>
      </c>
      <c r="G1315" s="670" t="s">
        <v>22</v>
      </c>
      <c r="H1315" s="670" t="s">
        <v>2261</v>
      </c>
      <c r="I1315" s="670" t="s">
        <v>2262</v>
      </c>
      <c r="J1315" s="671">
        <v>46235.0</v>
      </c>
    </row>
    <row r="1316">
      <c r="A1316" s="670">
        <v>1355.0</v>
      </c>
      <c r="B1316" s="670" t="s">
        <v>2257</v>
      </c>
      <c r="C1316" s="670" t="s">
        <v>2258</v>
      </c>
      <c r="D1316" s="670" t="s">
        <v>4829</v>
      </c>
      <c r="E1316" s="670" t="s">
        <v>4830</v>
      </c>
      <c r="F1316" s="670">
        <v>162.0</v>
      </c>
      <c r="G1316" s="670" t="s">
        <v>22</v>
      </c>
      <c r="H1316" s="670" t="s">
        <v>2261</v>
      </c>
      <c r="I1316" s="670" t="s">
        <v>2262</v>
      </c>
      <c r="J1316" s="671">
        <v>46235.0</v>
      </c>
    </row>
    <row r="1317">
      <c r="A1317" s="670">
        <v>1356.0</v>
      </c>
      <c r="B1317" s="670" t="s">
        <v>2257</v>
      </c>
      <c r="C1317" s="670" t="s">
        <v>2258</v>
      </c>
      <c r="D1317" s="670" t="s">
        <v>4831</v>
      </c>
      <c r="E1317" s="670" t="s">
        <v>4832</v>
      </c>
      <c r="F1317" s="670">
        <v>197.0</v>
      </c>
      <c r="G1317" s="670" t="s">
        <v>22</v>
      </c>
      <c r="H1317" s="670" t="s">
        <v>2261</v>
      </c>
      <c r="I1317" s="670" t="s">
        <v>2262</v>
      </c>
      <c r="J1317" s="671">
        <v>46235.0</v>
      </c>
    </row>
    <row r="1318">
      <c r="A1318" s="670">
        <v>1357.0</v>
      </c>
      <c r="B1318" s="670" t="s">
        <v>2257</v>
      </c>
      <c r="C1318" s="670" t="s">
        <v>2258</v>
      </c>
      <c r="D1318" s="670" t="s">
        <v>4833</v>
      </c>
      <c r="E1318" s="670" t="s">
        <v>4834</v>
      </c>
      <c r="F1318" s="670">
        <v>226.0</v>
      </c>
      <c r="G1318" s="670" t="s">
        <v>22</v>
      </c>
      <c r="H1318" s="670" t="s">
        <v>2261</v>
      </c>
      <c r="I1318" s="670" t="s">
        <v>2262</v>
      </c>
      <c r="J1318" s="671">
        <v>46235.0</v>
      </c>
    </row>
    <row r="1319">
      <c r="A1319" s="670">
        <v>1358.0</v>
      </c>
      <c r="B1319" s="670" t="s">
        <v>2257</v>
      </c>
      <c r="C1319" s="670" t="s">
        <v>2258</v>
      </c>
      <c r="D1319" s="670" t="s">
        <v>4835</v>
      </c>
      <c r="E1319" s="670" t="s">
        <v>4836</v>
      </c>
      <c r="F1319" s="670">
        <v>313.0</v>
      </c>
      <c r="G1319" s="670" t="s">
        <v>22</v>
      </c>
      <c r="H1319" s="670" t="s">
        <v>2261</v>
      </c>
      <c r="I1319" s="670" t="s">
        <v>2262</v>
      </c>
      <c r="J1319" s="671">
        <v>46235.0</v>
      </c>
    </row>
    <row r="1320">
      <c r="A1320" s="670">
        <v>1359.0</v>
      </c>
      <c r="B1320" s="670" t="s">
        <v>2257</v>
      </c>
      <c r="C1320" s="670" t="s">
        <v>2258</v>
      </c>
      <c r="D1320" s="670" t="s">
        <v>4837</v>
      </c>
      <c r="E1320" s="670" t="s">
        <v>4838</v>
      </c>
      <c r="F1320" s="670">
        <v>400.0</v>
      </c>
      <c r="G1320" s="670" t="s">
        <v>22</v>
      </c>
      <c r="H1320" s="670" t="s">
        <v>2261</v>
      </c>
      <c r="I1320" s="670" t="s">
        <v>2262</v>
      </c>
      <c r="J1320" s="671">
        <v>46235.0</v>
      </c>
    </row>
    <row r="1321">
      <c r="A1321" s="670">
        <v>1360.0</v>
      </c>
      <c r="B1321" s="670" t="s">
        <v>2257</v>
      </c>
      <c r="C1321" s="670" t="s">
        <v>2258</v>
      </c>
      <c r="D1321" s="670" t="s">
        <v>4839</v>
      </c>
      <c r="E1321" s="670" t="s">
        <v>4840</v>
      </c>
      <c r="F1321" s="670">
        <v>527.0</v>
      </c>
      <c r="G1321" s="670" t="s">
        <v>22</v>
      </c>
      <c r="H1321" s="670" t="s">
        <v>2261</v>
      </c>
      <c r="I1321" s="670" t="s">
        <v>2262</v>
      </c>
      <c r="J1321" s="671">
        <v>46235.0</v>
      </c>
    </row>
    <row r="1322">
      <c r="A1322" s="670">
        <v>1361.0</v>
      </c>
      <c r="B1322" s="670" t="s">
        <v>2257</v>
      </c>
      <c r="C1322" s="670" t="s">
        <v>2258</v>
      </c>
      <c r="D1322" s="670" t="s">
        <v>4841</v>
      </c>
      <c r="E1322" s="670" t="s">
        <v>4842</v>
      </c>
      <c r="F1322" s="670">
        <v>16450.0</v>
      </c>
      <c r="G1322" s="670" t="s">
        <v>4843</v>
      </c>
      <c r="H1322" s="670" t="s">
        <v>2261</v>
      </c>
      <c r="I1322" s="670" t="s">
        <v>2262</v>
      </c>
      <c r="J1322" s="671">
        <v>46234.0</v>
      </c>
    </row>
    <row r="1323">
      <c r="A1323" s="670">
        <v>1362.0</v>
      </c>
      <c r="B1323" s="670" t="s">
        <v>2257</v>
      </c>
      <c r="C1323" s="670" t="s">
        <v>2258</v>
      </c>
      <c r="D1323" s="670" t="s">
        <v>4844</v>
      </c>
      <c r="E1323" s="670" t="s">
        <v>4845</v>
      </c>
      <c r="F1323" s="670">
        <v>18666.0</v>
      </c>
      <c r="G1323" s="670" t="s">
        <v>4843</v>
      </c>
      <c r="H1323" s="670" t="s">
        <v>2261</v>
      </c>
      <c r="I1323" s="670" t="s">
        <v>2262</v>
      </c>
      <c r="J1323" s="671">
        <v>46234.0</v>
      </c>
    </row>
    <row r="1324">
      <c r="A1324" s="670">
        <v>1363.0</v>
      </c>
      <c r="B1324" s="670" t="s">
        <v>2257</v>
      </c>
      <c r="C1324" s="670" t="s">
        <v>2258</v>
      </c>
      <c r="D1324" s="670" t="s">
        <v>4846</v>
      </c>
      <c r="E1324" s="670" t="s">
        <v>4847</v>
      </c>
      <c r="F1324" s="670">
        <v>22222.0</v>
      </c>
      <c r="G1324" s="670" t="s">
        <v>4843</v>
      </c>
      <c r="H1324" s="670" t="s">
        <v>2261</v>
      </c>
      <c r="I1324" s="670" t="s">
        <v>2262</v>
      </c>
      <c r="J1324" s="671">
        <v>46234.0</v>
      </c>
    </row>
    <row r="1325">
      <c r="A1325" s="670">
        <v>1364.0</v>
      </c>
      <c r="B1325" s="670" t="s">
        <v>2257</v>
      </c>
      <c r="C1325" s="670" t="s">
        <v>2258</v>
      </c>
      <c r="D1325" s="670" t="s">
        <v>4848</v>
      </c>
      <c r="E1325" s="670" t="s">
        <v>4849</v>
      </c>
      <c r="F1325" s="670">
        <v>23900.0</v>
      </c>
      <c r="G1325" s="670" t="s">
        <v>4843</v>
      </c>
      <c r="H1325" s="670" t="s">
        <v>2261</v>
      </c>
      <c r="I1325" s="670" t="s">
        <v>2262</v>
      </c>
      <c r="J1325" s="671">
        <v>46234.0</v>
      </c>
    </row>
    <row r="1326">
      <c r="A1326" s="670">
        <v>1365.0</v>
      </c>
      <c r="B1326" s="670" t="s">
        <v>2257</v>
      </c>
      <c r="C1326" s="670" t="s">
        <v>2258</v>
      </c>
      <c r="D1326" s="670" t="s">
        <v>4850</v>
      </c>
      <c r="E1326" s="670" t="s">
        <v>4851</v>
      </c>
      <c r="F1326" s="670">
        <v>22500.0</v>
      </c>
      <c r="G1326" s="670" t="s">
        <v>4843</v>
      </c>
      <c r="H1326" s="670" t="s">
        <v>2261</v>
      </c>
      <c r="I1326" s="670" t="s">
        <v>2262</v>
      </c>
      <c r="J1326" s="671">
        <v>46234.0</v>
      </c>
    </row>
    <row r="1327">
      <c r="A1327" s="670">
        <v>1366.0</v>
      </c>
      <c r="B1327" s="670" t="s">
        <v>2257</v>
      </c>
      <c r="C1327" s="670" t="s">
        <v>2258</v>
      </c>
      <c r="D1327" s="670" t="s">
        <v>4852</v>
      </c>
      <c r="E1327" s="670" t="s">
        <v>4853</v>
      </c>
      <c r="F1327" s="670">
        <v>22000.0</v>
      </c>
      <c r="G1327" s="670" t="s">
        <v>4843</v>
      </c>
      <c r="H1327" s="670" t="s">
        <v>2261</v>
      </c>
      <c r="I1327" s="670" t="s">
        <v>2262</v>
      </c>
      <c r="J1327" s="671">
        <v>46234.0</v>
      </c>
    </row>
    <row r="1328">
      <c r="A1328" s="670">
        <v>1367.0</v>
      </c>
      <c r="B1328" s="670" t="s">
        <v>2257</v>
      </c>
      <c r="C1328" s="670" t="s">
        <v>2258</v>
      </c>
      <c r="D1328" s="670" t="s">
        <v>4854</v>
      </c>
      <c r="E1328" s="670" t="s">
        <v>4855</v>
      </c>
      <c r="F1328" s="670">
        <v>21500.0</v>
      </c>
      <c r="G1328" s="670" t="s">
        <v>4843</v>
      </c>
      <c r="H1328" s="670" t="s">
        <v>2261</v>
      </c>
      <c r="I1328" s="670" t="s">
        <v>2262</v>
      </c>
      <c r="J1328" s="671">
        <v>46234.0</v>
      </c>
    </row>
    <row r="1329">
      <c r="A1329" s="670">
        <v>1368.0</v>
      </c>
      <c r="B1329" s="670" t="s">
        <v>2257</v>
      </c>
      <c r="C1329" s="670" t="s">
        <v>2258</v>
      </c>
      <c r="D1329" s="670" t="s">
        <v>4856</v>
      </c>
      <c r="E1329" s="670" t="s">
        <v>4857</v>
      </c>
      <c r="F1329" s="670">
        <v>20600.0</v>
      </c>
      <c r="G1329" s="670" t="s">
        <v>4843</v>
      </c>
      <c r="H1329" s="670" t="s">
        <v>2261</v>
      </c>
      <c r="I1329" s="670" t="s">
        <v>2262</v>
      </c>
      <c r="J1329" s="671">
        <v>46234.0</v>
      </c>
    </row>
    <row r="1330">
      <c r="A1330" s="670">
        <v>1369.0</v>
      </c>
      <c r="B1330" s="670" t="s">
        <v>2257</v>
      </c>
      <c r="C1330" s="670" t="s">
        <v>2258</v>
      </c>
      <c r="D1330" s="670" t="s">
        <v>4858</v>
      </c>
      <c r="E1330" s="670" t="s">
        <v>4859</v>
      </c>
      <c r="F1330" s="670">
        <v>18850.0</v>
      </c>
      <c r="G1330" s="670" t="s">
        <v>4843</v>
      </c>
      <c r="H1330" s="670" t="s">
        <v>2261</v>
      </c>
      <c r="I1330" s="670" t="s">
        <v>2262</v>
      </c>
      <c r="J1330" s="671">
        <v>46234.0</v>
      </c>
    </row>
    <row r="1331">
      <c r="A1331" s="670">
        <v>1370.0</v>
      </c>
      <c r="B1331" s="670" t="s">
        <v>2257</v>
      </c>
      <c r="C1331" s="670" t="s">
        <v>2258</v>
      </c>
      <c r="D1331" s="670" t="s">
        <v>4860</v>
      </c>
      <c r="E1331" s="670" t="s">
        <v>4861</v>
      </c>
      <c r="F1331" s="670">
        <v>20299.0</v>
      </c>
      <c r="G1331" s="670" t="s">
        <v>4843</v>
      </c>
      <c r="H1331" s="670" t="s">
        <v>2261</v>
      </c>
      <c r="I1331" s="670" t="s">
        <v>2262</v>
      </c>
      <c r="J1331" s="671">
        <v>46234.0</v>
      </c>
    </row>
    <row r="1332">
      <c r="A1332" s="670">
        <v>1371.0</v>
      </c>
      <c r="B1332" s="670" t="s">
        <v>2257</v>
      </c>
      <c r="C1332" s="670" t="s">
        <v>2258</v>
      </c>
      <c r="D1332" s="670" t="s">
        <v>4862</v>
      </c>
      <c r="E1332" s="670" t="s">
        <v>4863</v>
      </c>
      <c r="F1332" s="670">
        <v>24182.0</v>
      </c>
      <c r="G1332" s="670" t="s">
        <v>4843</v>
      </c>
      <c r="H1332" s="670" t="s">
        <v>2261</v>
      </c>
      <c r="I1332" s="670" t="s">
        <v>2262</v>
      </c>
      <c r="J1332" s="671">
        <v>46234.0</v>
      </c>
    </row>
    <row r="1333">
      <c r="A1333" s="670">
        <v>1372.0</v>
      </c>
      <c r="B1333" s="670" t="s">
        <v>2257</v>
      </c>
      <c r="C1333" s="670" t="s">
        <v>2258</v>
      </c>
      <c r="D1333" s="670" t="s">
        <v>4864</v>
      </c>
      <c r="E1333" s="670" t="s">
        <v>4865</v>
      </c>
      <c r="F1333" s="670">
        <v>23900.0</v>
      </c>
      <c r="G1333" s="670" t="s">
        <v>4843</v>
      </c>
      <c r="H1333" s="670" t="s">
        <v>2261</v>
      </c>
      <c r="I1333" s="670" t="s">
        <v>2262</v>
      </c>
      <c r="J1333" s="671">
        <v>46234.0</v>
      </c>
    </row>
    <row r="1334">
      <c r="A1334" s="670">
        <v>1373.0</v>
      </c>
      <c r="B1334" s="670" t="s">
        <v>2257</v>
      </c>
      <c r="C1334" s="670" t="s">
        <v>2258</v>
      </c>
      <c r="D1334" s="670" t="s">
        <v>4866</v>
      </c>
      <c r="E1334" s="670" t="s">
        <v>4867</v>
      </c>
      <c r="F1334" s="670">
        <v>23000.0</v>
      </c>
      <c r="G1334" s="670" t="s">
        <v>4843</v>
      </c>
      <c r="H1334" s="670" t="s">
        <v>2261</v>
      </c>
      <c r="I1334" s="670" t="s">
        <v>2262</v>
      </c>
      <c r="J1334" s="671">
        <v>46234.0</v>
      </c>
    </row>
    <row r="1335">
      <c r="A1335" s="670">
        <v>1374.0</v>
      </c>
      <c r="B1335" s="670" t="s">
        <v>2257</v>
      </c>
      <c r="C1335" s="670" t="s">
        <v>2258</v>
      </c>
      <c r="D1335" s="670" t="s">
        <v>4868</v>
      </c>
      <c r="E1335" s="670" t="s">
        <v>4869</v>
      </c>
      <c r="F1335" s="670">
        <v>22500.0</v>
      </c>
      <c r="G1335" s="670" t="s">
        <v>4843</v>
      </c>
      <c r="H1335" s="670" t="s">
        <v>2261</v>
      </c>
      <c r="I1335" s="670" t="s">
        <v>2262</v>
      </c>
      <c r="J1335" s="671">
        <v>46234.0</v>
      </c>
    </row>
    <row r="1336">
      <c r="A1336" s="670">
        <v>1375.0</v>
      </c>
      <c r="B1336" s="670" t="s">
        <v>2257</v>
      </c>
      <c r="C1336" s="670" t="s">
        <v>2258</v>
      </c>
      <c r="D1336" s="670" t="s">
        <v>4870</v>
      </c>
      <c r="E1336" s="670" t="s">
        <v>4871</v>
      </c>
      <c r="F1336" s="670">
        <v>21500.0</v>
      </c>
      <c r="G1336" s="670" t="s">
        <v>4843</v>
      </c>
      <c r="H1336" s="670" t="s">
        <v>2261</v>
      </c>
      <c r="I1336" s="670" t="s">
        <v>2262</v>
      </c>
      <c r="J1336" s="671">
        <v>46234.0</v>
      </c>
    </row>
    <row r="1337">
      <c r="A1337" s="670">
        <v>1376.0</v>
      </c>
      <c r="B1337" s="670" t="s">
        <v>2257</v>
      </c>
      <c r="C1337" s="670" t="s">
        <v>2258</v>
      </c>
      <c r="D1337" s="670" t="s">
        <v>4872</v>
      </c>
      <c r="E1337" s="670" t="s">
        <v>4873</v>
      </c>
      <c r="F1337" s="670">
        <v>20600.0</v>
      </c>
      <c r="G1337" s="670" t="s">
        <v>4843</v>
      </c>
      <c r="H1337" s="670" t="s">
        <v>2261</v>
      </c>
      <c r="I1337" s="670" t="s">
        <v>2262</v>
      </c>
      <c r="J1337" s="671">
        <v>46234.0</v>
      </c>
    </row>
    <row r="1338">
      <c r="A1338" s="670">
        <v>1377.0</v>
      </c>
      <c r="B1338" s="670" t="s">
        <v>2257</v>
      </c>
      <c r="C1338" s="670" t="s">
        <v>2258</v>
      </c>
      <c r="D1338" s="670" t="s">
        <v>4874</v>
      </c>
      <c r="E1338" s="670" t="s">
        <v>4875</v>
      </c>
      <c r="F1338" s="670">
        <v>26500.0</v>
      </c>
      <c r="G1338" s="670" t="s">
        <v>4843</v>
      </c>
      <c r="H1338" s="670" t="s">
        <v>2261</v>
      </c>
      <c r="I1338" s="670" t="s">
        <v>2262</v>
      </c>
      <c r="J1338" s="671">
        <v>46234.0</v>
      </c>
    </row>
    <row r="1339">
      <c r="A1339" s="670">
        <v>1378.0</v>
      </c>
      <c r="B1339" s="670" t="s">
        <v>2257</v>
      </c>
      <c r="C1339" s="670" t="s">
        <v>2258</v>
      </c>
      <c r="D1339" s="670" t="s">
        <v>4876</v>
      </c>
      <c r="E1339" s="670" t="s">
        <v>4877</v>
      </c>
      <c r="F1339" s="670">
        <v>20237.0</v>
      </c>
      <c r="G1339" s="670" t="s">
        <v>4843</v>
      </c>
      <c r="H1339" s="670" t="s">
        <v>2261</v>
      </c>
      <c r="I1339" s="670" t="s">
        <v>2262</v>
      </c>
      <c r="J1339" s="671">
        <v>46234.0</v>
      </c>
    </row>
    <row r="1340">
      <c r="A1340" s="670">
        <v>1379.0</v>
      </c>
      <c r="B1340" s="670" t="s">
        <v>2257</v>
      </c>
      <c r="C1340" s="670" t="s">
        <v>2258</v>
      </c>
      <c r="D1340" s="670" t="s">
        <v>4878</v>
      </c>
      <c r="E1340" s="670" t="s">
        <v>4879</v>
      </c>
      <c r="F1340" s="670">
        <v>24108.0</v>
      </c>
      <c r="G1340" s="670" t="s">
        <v>4843</v>
      </c>
      <c r="H1340" s="670" t="s">
        <v>2261</v>
      </c>
      <c r="I1340" s="670" t="s">
        <v>2262</v>
      </c>
      <c r="J1340" s="671">
        <v>46234.0</v>
      </c>
    </row>
    <row r="1341">
      <c r="A1341" s="670">
        <v>1380.0</v>
      </c>
      <c r="B1341" s="670" t="s">
        <v>2257</v>
      </c>
      <c r="C1341" s="670" t="s">
        <v>2258</v>
      </c>
      <c r="D1341" s="670" t="s">
        <v>4880</v>
      </c>
      <c r="E1341" s="670" t="s">
        <v>4881</v>
      </c>
      <c r="F1341" s="670">
        <v>24300.0</v>
      </c>
      <c r="G1341" s="670" t="s">
        <v>4843</v>
      </c>
      <c r="H1341" s="670" t="s">
        <v>2261</v>
      </c>
      <c r="I1341" s="670" t="s">
        <v>2262</v>
      </c>
      <c r="J1341" s="671">
        <v>46234.0</v>
      </c>
    </row>
    <row r="1342">
      <c r="A1342" s="670">
        <v>1381.0</v>
      </c>
      <c r="B1342" s="670" t="s">
        <v>2257</v>
      </c>
      <c r="C1342" s="670" t="s">
        <v>2258</v>
      </c>
      <c r="D1342" s="670" t="s">
        <v>4882</v>
      </c>
      <c r="E1342" s="670" t="s">
        <v>4883</v>
      </c>
      <c r="F1342" s="670">
        <v>22600.0</v>
      </c>
      <c r="G1342" s="670" t="s">
        <v>4843</v>
      </c>
      <c r="H1342" s="670" t="s">
        <v>2261</v>
      </c>
      <c r="I1342" s="670" t="s">
        <v>2262</v>
      </c>
      <c r="J1342" s="671">
        <v>46234.0</v>
      </c>
    </row>
    <row r="1343">
      <c r="A1343" s="670">
        <v>1382.0</v>
      </c>
      <c r="B1343" s="670" t="s">
        <v>2257</v>
      </c>
      <c r="C1343" s="670" t="s">
        <v>2258</v>
      </c>
      <c r="D1343" s="670" t="s">
        <v>4884</v>
      </c>
      <c r="E1343" s="670" t="s">
        <v>4885</v>
      </c>
      <c r="F1343" s="670">
        <v>21600.0</v>
      </c>
      <c r="G1343" s="670" t="s">
        <v>4843</v>
      </c>
      <c r="H1343" s="670" t="s">
        <v>2261</v>
      </c>
      <c r="I1343" s="670" t="s">
        <v>2262</v>
      </c>
      <c r="J1343" s="671">
        <v>46234.0</v>
      </c>
    </row>
    <row r="1344">
      <c r="A1344" s="670">
        <v>1383.0</v>
      </c>
      <c r="B1344" s="670" t="s">
        <v>2257</v>
      </c>
      <c r="C1344" s="670" t="s">
        <v>2258</v>
      </c>
      <c r="D1344" s="670" t="s">
        <v>4886</v>
      </c>
      <c r="E1344" s="670" t="s">
        <v>4887</v>
      </c>
      <c r="F1344" s="670">
        <v>20900.0</v>
      </c>
      <c r="G1344" s="670" t="s">
        <v>4843</v>
      </c>
      <c r="H1344" s="670" t="s">
        <v>2261</v>
      </c>
      <c r="I1344" s="670" t="s">
        <v>2262</v>
      </c>
      <c r="J1344" s="671">
        <v>46234.0</v>
      </c>
    </row>
    <row r="1345">
      <c r="A1345" s="670">
        <v>1384.0</v>
      </c>
      <c r="B1345" s="670" t="s">
        <v>2257</v>
      </c>
      <c r="C1345" s="670" t="s">
        <v>2258</v>
      </c>
      <c r="D1345" s="670" t="s">
        <v>4888</v>
      </c>
      <c r="E1345" s="670" t="s">
        <v>4889</v>
      </c>
      <c r="F1345" s="670">
        <v>20500.0</v>
      </c>
      <c r="G1345" s="670" t="s">
        <v>4843</v>
      </c>
      <c r="H1345" s="670" t="s">
        <v>2261</v>
      </c>
      <c r="I1345" s="670" t="s">
        <v>2262</v>
      </c>
      <c r="J1345" s="671">
        <v>46234.0</v>
      </c>
    </row>
    <row r="1346">
      <c r="A1346" s="670">
        <v>1385.0</v>
      </c>
      <c r="B1346" s="670" t="s">
        <v>2257</v>
      </c>
      <c r="C1346" s="670" t="s">
        <v>2258</v>
      </c>
      <c r="D1346" s="670" t="s">
        <v>4890</v>
      </c>
      <c r="E1346" s="670" t="s">
        <v>4891</v>
      </c>
      <c r="F1346" s="670">
        <v>25800.0</v>
      </c>
      <c r="G1346" s="670" t="s">
        <v>4843</v>
      </c>
      <c r="H1346" s="670" t="s">
        <v>2261</v>
      </c>
      <c r="I1346" s="670" t="s">
        <v>2262</v>
      </c>
      <c r="J1346" s="671">
        <v>46234.0</v>
      </c>
    </row>
    <row r="1347">
      <c r="A1347" s="670">
        <v>1386.0</v>
      </c>
      <c r="B1347" s="670" t="s">
        <v>2257</v>
      </c>
      <c r="C1347" s="670" t="s">
        <v>2258</v>
      </c>
      <c r="D1347" s="670" t="s">
        <v>4892</v>
      </c>
      <c r="E1347" s="670" t="s">
        <v>4893</v>
      </c>
      <c r="F1347" s="670">
        <v>25500.0</v>
      </c>
      <c r="G1347" s="670" t="s">
        <v>4843</v>
      </c>
      <c r="H1347" s="670" t="s">
        <v>2261</v>
      </c>
      <c r="I1347" s="670" t="s">
        <v>2262</v>
      </c>
      <c r="J1347" s="671">
        <v>46234.0</v>
      </c>
    </row>
    <row r="1348">
      <c r="A1348" s="670">
        <v>1387.0</v>
      </c>
      <c r="B1348" s="670" t="s">
        <v>2257</v>
      </c>
      <c r="C1348" s="670" t="s">
        <v>2258</v>
      </c>
      <c r="D1348" s="670" t="s">
        <v>4894</v>
      </c>
      <c r="E1348" s="670" t="s">
        <v>4895</v>
      </c>
      <c r="F1348" s="670">
        <v>24600.0</v>
      </c>
      <c r="G1348" s="670" t="s">
        <v>4843</v>
      </c>
      <c r="H1348" s="670" t="s">
        <v>2261</v>
      </c>
      <c r="I1348" s="670" t="s">
        <v>2262</v>
      </c>
      <c r="J1348" s="671">
        <v>46234.0</v>
      </c>
    </row>
    <row r="1349">
      <c r="A1349" s="670">
        <v>1388.0</v>
      </c>
      <c r="B1349" s="670" t="s">
        <v>2257</v>
      </c>
      <c r="C1349" s="670" t="s">
        <v>2258</v>
      </c>
      <c r="D1349" s="670" t="s">
        <v>4896</v>
      </c>
      <c r="E1349" s="670" t="s">
        <v>4897</v>
      </c>
      <c r="F1349" s="670">
        <v>23500.0</v>
      </c>
      <c r="G1349" s="670" t="s">
        <v>4843</v>
      </c>
      <c r="H1349" s="670" t="s">
        <v>2261</v>
      </c>
      <c r="I1349" s="670" t="s">
        <v>2262</v>
      </c>
      <c r="J1349" s="671">
        <v>46234.0</v>
      </c>
    </row>
    <row r="1350">
      <c r="A1350" s="670">
        <v>1389.0</v>
      </c>
      <c r="B1350" s="670" t="s">
        <v>2257</v>
      </c>
      <c r="C1350" s="670" t="s">
        <v>2258</v>
      </c>
      <c r="D1350" s="670" t="s">
        <v>4898</v>
      </c>
      <c r="E1350" s="670" t="s">
        <v>4899</v>
      </c>
      <c r="F1350" s="670">
        <v>22800.0</v>
      </c>
      <c r="G1350" s="670" t="s">
        <v>4843</v>
      </c>
      <c r="H1350" s="670" t="s">
        <v>2261</v>
      </c>
      <c r="I1350" s="670" t="s">
        <v>2262</v>
      </c>
      <c r="J1350" s="671">
        <v>46234.0</v>
      </c>
    </row>
    <row r="1351">
      <c r="A1351" s="670">
        <v>1390.0</v>
      </c>
      <c r="B1351" s="670" t="s">
        <v>2257</v>
      </c>
      <c r="C1351" s="670" t="s">
        <v>2258</v>
      </c>
      <c r="D1351" s="670" t="s">
        <v>4900</v>
      </c>
      <c r="E1351" s="670" t="s">
        <v>4901</v>
      </c>
      <c r="F1351" s="670">
        <v>21900.0</v>
      </c>
      <c r="G1351" s="670" t="s">
        <v>4843</v>
      </c>
      <c r="H1351" s="670" t="s">
        <v>2261</v>
      </c>
      <c r="I1351" s="670" t="s">
        <v>2262</v>
      </c>
      <c r="J1351" s="671">
        <v>46234.0</v>
      </c>
    </row>
    <row r="1352">
      <c r="A1352" s="670">
        <v>1391.0</v>
      </c>
      <c r="B1352" s="670" t="s">
        <v>2257</v>
      </c>
      <c r="C1352" s="670" t="s">
        <v>2258</v>
      </c>
      <c r="D1352" s="670" t="s">
        <v>4902</v>
      </c>
      <c r="E1352" s="670" t="s">
        <v>4903</v>
      </c>
      <c r="F1352" s="670">
        <v>24900.0</v>
      </c>
      <c r="G1352" s="670" t="s">
        <v>4843</v>
      </c>
      <c r="H1352" s="670" t="s">
        <v>2261</v>
      </c>
      <c r="I1352" s="670" t="s">
        <v>2262</v>
      </c>
      <c r="J1352" s="671">
        <v>46234.0</v>
      </c>
    </row>
    <row r="1353">
      <c r="A1353" s="670">
        <v>1392.0</v>
      </c>
      <c r="B1353" s="670" t="s">
        <v>2257</v>
      </c>
      <c r="C1353" s="670" t="s">
        <v>2258</v>
      </c>
      <c r="D1353" s="670" t="s">
        <v>4904</v>
      </c>
      <c r="E1353" s="670" t="s">
        <v>4905</v>
      </c>
      <c r="F1353" s="670">
        <v>23800.0</v>
      </c>
      <c r="G1353" s="670" t="s">
        <v>4843</v>
      </c>
      <c r="H1353" s="670" t="s">
        <v>2261</v>
      </c>
      <c r="I1353" s="670" t="s">
        <v>2262</v>
      </c>
      <c r="J1353" s="671">
        <v>46234.0</v>
      </c>
    </row>
    <row r="1354">
      <c r="A1354" s="670">
        <v>1393.0</v>
      </c>
      <c r="B1354" s="670" t="s">
        <v>2257</v>
      </c>
      <c r="C1354" s="670" t="s">
        <v>2258</v>
      </c>
      <c r="D1354" s="670" t="s">
        <v>4906</v>
      </c>
      <c r="E1354" s="670" t="s">
        <v>4907</v>
      </c>
      <c r="F1354" s="670">
        <v>22500.0</v>
      </c>
      <c r="G1354" s="670" t="s">
        <v>4843</v>
      </c>
      <c r="H1354" s="670" t="s">
        <v>2261</v>
      </c>
      <c r="I1354" s="670" t="s">
        <v>2262</v>
      </c>
      <c r="J1354" s="671">
        <v>46234.0</v>
      </c>
    </row>
    <row r="1355">
      <c r="A1355" s="670">
        <v>1394.0</v>
      </c>
      <c r="B1355" s="670" t="s">
        <v>2257</v>
      </c>
      <c r="C1355" s="670" t="s">
        <v>2258</v>
      </c>
      <c r="D1355" s="670" t="s">
        <v>4908</v>
      </c>
      <c r="E1355" s="670" t="s">
        <v>4909</v>
      </c>
      <c r="F1355" s="670">
        <v>21900.0</v>
      </c>
      <c r="G1355" s="670" t="s">
        <v>4843</v>
      </c>
      <c r="H1355" s="670" t="s">
        <v>2261</v>
      </c>
      <c r="I1355" s="670" t="s">
        <v>2262</v>
      </c>
      <c r="J1355" s="671">
        <v>46234.0</v>
      </c>
    </row>
    <row r="1356">
      <c r="A1356" s="670">
        <v>1395.0</v>
      </c>
      <c r="B1356" s="670" t="s">
        <v>2257</v>
      </c>
      <c r="C1356" s="670" t="s">
        <v>2258</v>
      </c>
      <c r="D1356" s="670" t="s">
        <v>4910</v>
      </c>
      <c r="E1356" s="670" t="s">
        <v>4911</v>
      </c>
      <c r="F1356" s="670">
        <v>21000.0</v>
      </c>
      <c r="G1356" s="670" t="s">
        <v>4843</v>
      </c>
      <c r="H1356" s="670" t="s">
        <v>2261</v>
      </c>
      <c r="I1356" s="670" t="s">
        <v>2262</v>
      </c>
      <c r="J1356" s="671">
        <v>46234.0</v>
      </c>
    </row>
    <row r="1357">
      <c r="A1357" s="670">
        <v>1396.0</v>
      </c>
      <c r="B1357" s="670" t="s">
        <v>2257</v>
      </c>
      <c r="C1357" s="670" t="s">
        <v>2258</v>
      </c>
      <c r="D1357" s="670" t="s">
        <v>4912</v>
      </c>
      <c r="E1357" s="670" t="s">
        <v>4913</v>
      </c>
      <c r="F1357" s="670">
        <v>12373.0</v>
      </c>
      <c r="G1357" s="670" t="s">
        <v>4843</v>
      </c>
      <c r="H1357" s="670" t="s">
        <v>2261</v>
      </c>
      <c r="I1357" s="670" t="s">
        <v>2262</v>
      </c>
      <c r="J1357" s="671">
        <v>46234.0</v>
      </c>
    </row>
    <row r="1358">
      <c r="A1358" s="670">
        <v>1397.0</v>
      </c>
      <c r="B1358" s="670" t="s">
        <v>2257</v>
      </c>
      <c r="C1358" s="670" t="s">
        <v>2258</v>
      </c>
      <c r="D1358" s="670" t="s">
        <v>4914</v>
      </c>
      <c r="E1358" s="670" t="s">
        <v>4915</v>
      </c>
      <c r="F1358" s="670">
        <v>17676.0</v>
      </c>
      <c r="G1358" s="670" t="s">
        <v>4843</v>
      </c>
      <c r="H1358" s="670" t="s">
        <v>2261</v>
      </c>
      <c r="I1358" s="670" t="s">
        <v>2262</v>
      </c>
      <c r="J1358" s="671">
        <v>46234.0</v>
      </c>
    </row>
    <row r="1359">
      <c r="A1359" s="670">
        <v>1398.0</v>
      </c>
      <c r="B1359" s="670" t="s">
        <v>2257</v>
      </c>
      <c r="C1359" s="670" t="s">
        <v>2258</v>
      </c>
      <c r="D1359" s="670" t="s">
        <v>4916</v>
      </c>
      <c r="E1359" s="670" t="s">
        <v>4917</v>
      </c>
      <c r="F1359" s="670">
        <v>23200.0</v>
      </c>
      <c r="G1359" s="670" t="s">
        <v>4843</v>
      </c>
      <c r="H1359" s="670" t="s">
        <v>2261</v>
      </c>
      <c r="I1359" s="670" t="s">
        <v>2262</v>
      </c>
      <c r="J1359" s="671">
        <v>46234.0</v>
      </c>
    </row>
    <row r="1360">
      <c r="A1360" s="670">
        <v>1399.0</v>
      </c>
      <c r="B1360" s="670" t="s">
        <v>2257</v>
      </c>
      <c r="C1360" s="670" t="s">
        <v>2258</v>
      </c>
      <c r="D1360" s="670" t="s">
        <v>4918</v>
      </c>
      <c r="E1360" s="670" t="s">
        <v>4919</v>
      </c>
      <c r="F1360" s="670">
        <v>22800.0</v>
      </c>
      <c r="G1360" s="670" t="s">
        <v>4843</v>
      </c>
      <c r="H1360" s="670" t="s">
        <v>2261</v>
      </c>
      <c r="I1360" s="670" t="s">
        <v>2262</v>
      </c>
      <c r="J1360" s="671">
        <v>46234.0</v>
      </c>
    </row>
    <row r="1361">
      <c r="A1361" s="670">
        <v>1400.0</v>
      </c>
      <c r="B1361" s="670" t="s">
        <v>2257</v>
      </c>
      <c r="C1361" s="670" t="s">
        <v>2258</v>
      </c>
      <c r="D1361" s="670" t="s">
        <v>4920</v>
      </c>
      <c r="E1361" s="670" t="s">
        <v>4921</v>
      </c>
      <c r="F1361" s="670">
        <v>21900.0</v>
      </c>
      <c r="G1361" s="670" t="s">
        <v>4843</v>
      </c>
      <c r="H1361" s="670" t="s">
        <v>2261</v>
      </c>
      <c r="I1361" s="670" t="s">
        <v>2262</v>
      </c>
      <c r="J1361" s="671">
        <v>46234.0</v>
      </c>
    </row>
    <row r="1362">
      <c r="A1362" s="670">
        <v>1401.0</v>
      </c>
      <c r="B1362" s="670" t="s">
        <v>2257</v>
      </c>
      <c r="C1362" s="670" t="s">
        <v>2258</v>
      </c>
      <c r="D1362" s="670" t="s">
        <v>4922</v>
      </c>
      <c r="E1362" s="670" t="s">
        <v>4923</v>
      </c>
      <c r="F1362" s="670">
        <v>21000.0</v>
      </c>
      <c r="G1362" s="670" t="s">
        <v>4843</v>
      </c>
      <c r="H1362" s="670" t="s">
        <v>2261</v>
      </c>
      <c r="I1362" s="670" t="s">
        <v>2262</v>
      </c>
      <c r="J1362" s="671">
        <v>46234.0</v>
      </c>
    </row>
    <row r="1363">
      <c r="A1363" s="670">
        <v>1402.0</v>
      </c>
      <c r="B1363" s="670" t="s">
        <v>2257</v>
      </c>
      <c r="C1363" s="670" t="s">
        <v>2258</v>
      </c>
      <c r="D1363" s="670" t="s">
        <v>4924</v>
      </c>
      <c r="E1363" s="670" t="s">
        <v>4925</v>
      </c>
      <c r="F1363" s="670">
        <v>20900.0</v>
      </c>
      <c r="G1363" s="670" t="s">
        <v>4843</v>
      </c>
      <c r="H1363" s="670" t="s">
        <v>2261</v>
      </c>
      <c r="I1363" s="670" t="s">
        <v>2262</v>
      </c>
      <c r="J1363" s="671">
        <v>46234.0</v>
      </c>
    </row>
    <row r="1364">
      <c r="A1364" s="670">
        <v>1403.0</v>
      </c>
      <c r="B1364" s="670" t="s">
        <v>2257</v>
      </c>
      <c r="C1364" s="670" t="s">
        <v>2258</v>
      </c>
      <c r="D1364" s="670" t="s">
        <v>4926</v>
      </c>
      <c r="E1364" s="670" t="s">
        <v>4927</v>
      </c>
      <c r="F1364" s="670">
        <v>21000.0</v>
      </c>
      <c r="G1364" s="670" t="s">
        <v>4843</v>
      </c>
      <c r="H1364" s="670" t="s">
        <v>2261</v>
      </c>
      <c r="I1364" s="670" t="s">
        <v>2262</v>
      </c>
      <c r="J1364" s="671">
        <v>46234.0</v>
      </c>
    </row>
    <row r="1365">
      <c r="A1365" s="670">
        <v>1404.0</v>
      </c>
      <c r="B1365" s="670" t="s">
        <v>2257</v>
      </c>
      <c r="C1365" s="670" t="s">
        <v>2258</v>
      </c>
      <c r="D1365" s="670" t="s">
        <v>4928</v>
      </c>
      <c r="E1365" s="670" t="s">
        <v>4929</v>
      </c>
      <c r="F1365" s="670">
        <v>15590.0</v>
      </c>
      <c r="G1365" s="670" t="s">
        <v>4843</v>
      </c>
      <c r="H1365" s="670" t="s">
        <v>2261</v>
      </c>
      <c r="I1365" s="670" t="s">
        <v>2262</v>
      </c>
      <c r="J1365" s="671">
        <v>46234.0</v>
      </c>
    </row>
    <row r="1366">
      <c r="A1366" s="670">
        <v>1405.0</v>
      </c>
      <c r="B1366" s="670" t="s">
        <v>2257</v>
      </c>
      <c r="C1366" s="670" t="s">
        <v>2258</v>
      </c>
      <c r="D1366" s="670" t="s">
        <v>4930</v>
      </c>
      <c r="E1366" s="670" t="s">
        <v>4931</v>
      </c>
      <c r="F1366" s="670">
        <v>19512.0</v>
      </c>
      <c r="G1366" s="670" t="s">
        <v>4843</v>
      </c>
      <c r="H1366" s="670" t="s">
        <v>2261</v>
      </c>
      <c r="I1366" s="670" t="s">
        <v>2262</v>
      </c>
      <c r="J1366" s="671">
        <v>46234.0</v>
      </c>
    </row>
    <row r="1367">
      <c r="A1367" s="670">
        <v>1406.0</v>
      </c>
      <c r="B1367" s="670" t="s">
        <v>2257</v>
      </c>
      <c r="C1367" s="670" t="s">
        <v>2258</v>
      </c>
      <c r="D1367" s="670" t="s">
        <v>4932</v>
      </c>
      <c r="E1367" s="670" t="s">
        <v>4933</v>
      </c>
      <c r="F1367" s="670">
        <v>23900.0</v>
      </c>
      <c r="G1367" s="670" t="s">
        <v>4843</v>
      </c>
      <c r="H1367" s="670" t="s">
        <v>2261</v>
      </c>
      <c r="I1367" s="670" t="s">
        <v>2262</v>
      </c>
      <c r="J1367" s="671">
        <v>46234.0</v>
      </c>
    </row>
    <row r="1368">
      <c r="A1368" s="670">
        <v>1407.0</v>
      </c>
      <c r="B1368" s="670" t="s">
        <v>2257</v>
      </c>
      <c r="C1368" s="670" t="s">
        <v>2258</v>
      </c>
      <c r="D1368" s="670" t="s">
        <v>4934</v>
      </c>
      <c r="E1368" s="670" t="s">
        <v>4935</v>
      </c>
      <c r="F1368" s="670">
        <v>22800.0</v>
      </c>
      <c r="G1368" s="670" t="s">
        <v>4843</v>
      </c>
      <c r="H1368" s="670" t="s">
        <v>2261</v>
      </c>
      <c r="I1368" s="670" t="s">
        <v>2262</v>
      </c>
      <c r="J1368" s="671">
        <v>46234.0</v>
      </c>
    </row>
    <row r="1369">
      <c r="A1369" s="670">
        <v>1408.0</v>
      </c>
      <c r="B1369" s="670" t="s">
        <v>2257</v>
      </c>
      <c r="C1369" s="670" t="s">
        <v>2258</v>
      </c>
      <c r="D1369" s="670" t="s">
        <v>4936</v>
      </c>
      <c r="E1369" s="670" t="s">
        <v>4937</v>
      </c>
      <c r="F1369" s="670">
        <v>21900.0</v>
      </c>
      <c r="G1369" s="670" t="s">
        <v>4843</v>
      </c>
      <c r="H1369" s="670" t="s">
        <v>2261</v>
      </c>
      <c r="I1369" s="670" t="s">
        <v>2262</v>
      </c>
      <c r="J1369" s="671">
        <v>46234.0</v>
      </c>
    </row>
    <row r="1370">
      <c r="A1370" s="670">
        <v>1409.0</v>
      </c>
      <c r="B1370" s="670" t="s">
        <v>2257</v>
      </c>
      <c r="C1370" s="670" t="s">
        <v>2258</v>
      </c>
      <c r="D1370" s="670" t="s">
        <v>4938</v>
      </c>
      <c r="E1370" s="670" t="s">
        <v>4939</v>
      </c>
      <c r="F1370" s="670">
        <v>20500.0</v>
      </c>
      <c r="G1370" s="670" t="s">
        <v>4843</v>
      </c>
      <c r="H1370" s="670" t="s">
        <v>2261</v>
      </c>
      <c r="I1370" s="670" t="s">
        <v>2262</v>
      </c>
      <c r="J1370" s="671">
        <v>46234.0</v>
      </c>
    </row>
    <row r="1371">
      <c r="A1371" s="670">
        <v>1410.0</v>
      </c>
      <c r="B1371" s="670" t="s">
        <v>2257</v>
      </c>
      <c r="C1371" s="670" t="s">
        <v>2258</v>
      </c>
      <c r="D1371" s="670" t="s">
        <v>4940</v>
      </c>
      <c r="E1371" s="670" t="s">
        <v>4941</v>
      </c>
      <c r="F1371" s="670">
        <v>19800.0</v>
      </c>
      <c r="G1371" s="670" t="s">
        <v>4843</v>
      </c>
      <c r="H1371" s="670" t="s">
        <v>2261</v>
      </c>
      <c r="I1371" s="670" t="s">
        <v>2262</v>
      </c>
      <c r="J1371" s="671">
        <v>46234.0</v>
      </c>
    </row>
    <row r="1372">
      <c r="A1372" s="670">
        <v>1411.0</v>
      </c>
      <c r="B1372" s="670" t="s">
        <v>2257</v>
      </c>
      <c r="C1372" s="670" t="s">
        <v>2258</v>
      </c>
      <c r="D1372" s="670" t="s">
        <v>4942</v>
      </c>
      <c r="E1372" s="670" t="s">
        <v>4943</v>
      </c>
      <c r="F1372" s="670">
        <v>22000.0</v>
      </c>
      <c r="G1372" s="670" t="s">
        <v>4843</v>
      </c>
      <c r="H1372" s="670" t="s">
        <v>2261</v>
      </c>
      <c r="I1372" s="670" t="s">
        <v>2262</v>
      </c>
      <c r="J1372" s="671">
        <v>46234.0</v>
      </c>
    </row>
    <row r="1373">
      <c r="A1373" s="670">
        <v>1412.0</v>
      </c>
      <c r="B1373" s="670" t="s">
        <v>2257</v>
      </c>
      <c r="C1373" s="670" t="s">
        <v>2258</v>
      </c>
      <c r="D1373" s="670" t="s">
        <v>4944</v>
      </c>
      <c r="E1373" s="670" t="s">
        <v>4945</v>
      </c>
      <c r="F1373" s="670">
        <v>20199.0</v>
      </c>
      <c r="G1373" s="670" t="s">
        <v>4843</v>
      </c>
      <c r="H1373" s="670" t="s">
        <v>2261</v>
      </c>
      <c r="I1373" s="670" t="s">
        <v>2262</v>
      </c>
      <c r="J1373" s="671">
        <v>46234.0</v>
      </c>
    </row>
    <row r="1374">
      <c r="A1374" s="670">
        <v>1413.0</v>
      </c>
      <c r="B1374" s="670" t="s">
        <v>2257</v>
      </c>
      <c r="C1374" s="670" t="s">
        <v>2258</v>
      </c>
      <c r="D1374" s="670" t="s">
        <v>4946</v>
      </c>
      <c r="E1374" s="670" t="s">
        <v>4947</v>
      </c>
      <c r="F1374" s="670">
        <v>22447.0</v>
      </c>
      <c r="G1374" s="670" t="s">
        <v>4843</v>
      </c>
      <c r="H1374" s="670" t="s">
        <v>2261</v>
      </c>
      <c r="I1374" s="670" t="s">
        <v>2262</v>
      </c>
      <c r="J1374" s="671">
        <v>46234.0</v>
      </c>
    </row>
    <row r="1375">
      <c r="A1375" s="670">
        <v>1414.0</v>
      </c>
      <c r="B1375" s="670" t="s">
        <v>2257</v>
      </c>
      <c r="C1375" s="670" t="s">
        <v>2258</v>
      </c>
      <c r="D1375" s="670" t="s">
        <v>4948</v>
      </c>
      <c r="E1375" s="670" t="s">
        <v>4949</v>
      </c>
      <c r="F1375" s="670">
        <v>23900.0</v>
      </c>
      <c r="G1375" s="670" t="s">
        <v>4843</v>
      </c>
      <c r="H1375" s="670" t="s">
        <v>2261</v>
      </c>
      <c r="I1375" s="670" t="s">
        <v>2262</v>
      </c>
      <c r="J1375" s="671">
        <v>46234.0</v>
      </c>
    </row>
    <row r="1376">
      <c r="A1376" s="670">
        <v>1415.0</v>
      </c>
      <c r="B1376" s="670" t="s">
        <v>2257</v>
      </c>
      <c r="C1376" s="670" t="s">
        <v>2258</v>
      </c>
      <c r="D1376" s="670" t="s">
        <v>4950</v>
      </c>
      <c r="E1376" s="670" t="s">
        <v>4951</v>
      </c>
      <c r="F1376" s="670">
        <v>23200.0</v>
      </c>
      <c r="G1376" s="670" t="s">
        <v>4843</v>
      </c>
      <c r="H1376" s="670" t="s">
        <v>2261</v>
      </c>
      <c r="I1376" s="670" t="s">
        <v>2262</v>
      </c>
      <c r="J1376" s="671">
        <v>46234.0</v>
      </c>
    </row>
    <row r="1377">
      <c r="A1377" s="670">
        <v>1416.0</v>
      </c>
      <c r="B1377" s="670" t="s">
        <v>2257</v>
      </c>
      <c r="C1377" s="670" t="s">
        <v>2258</v>
      </c>
      <c r="D1377" s="670" t="s">
        <v>4952</v>
      </c>
      <c r="E1377" s="670" t="s">
        <v>4953</v>
      </c>
      <c r="F1377" s="670">
        <v>21500.0</v>
      </c>
      <c r="G1377" s="670" t="s">
        <v>4843</v>
      </c>
      <c r="H1377" s="670" t="s">
        <v>2261</v>
      </c>
      <c r="I1377" s="670" t="s">
        <v>2262</v>
      </c>
      <c r="J1377" s="671">
        <v>46234.0</v>
      </c>
    </row>
    <row r="1378">
      <c r="A1378" s="670">
        <v>1417.0</v>
      </c>
      <c r="B1378" s="670" t="s">
        <v>2257</v>
      </c>
      <c r="C1378" s="670" t="s">
        <v>2258</v>
      </c>
      <c r="D1378" s="670" t="s">
        <v>4954</v>
      </c>
      <c r="E1378" s="670" t="s">
        <v>4955</v>
      </c>
      <c r="F1378" s="670">
        <v>20850.0</v>
      </c>
      <c r="G1378" s="670" t="s">
        <v>4843</v>
      </c>
      <c r="H1378" s="670" t="s">
        <v>2261</v>
      </c>
      <c r="I1378" s="670" t="s">
        <v>2262</v>
      </c>
      <c r="J1378" s="671">
        <v>46234.0</v>
      </c>
    </row>
    <row r="1379">
      <c r="A1379" s="670">
        <v>1418.0</v>
      </c>
      <c r="B1379" s="670" t="s">
        <v>2257</v>
      </c>
      <c r="C1379" s="670" t="s">
        <v>2258</v>
      </c>
      <c r="D1379" s="670" t="s">
        <v>4956</v>
      </c>
      <c r="E1379" s="670" t="s">
        <v>4957</v>
      </c>
      <c r="F1379" s="670">
        <v>19900.0</v>
      </c>
      <c r="G1379" s="670" t="s">
        <v>4843</v>
      </c>
      <c r="H1379" s="670" t="s">
        <v>2261</v>
      </c>
      <c r="I1379" s="670" t="s">
        <v>2262</v>
      </c>
      <c r="J1379" s="671">
        <v>46234.0</v>
      </c>
    </row>
    <row r="1380">
      <c r="A1380" s="670">
        <v>1419.0</v>
      </c>
      <c r="B1380" s="670" t="s">
        <v>2257</v>
      </c>
      <c r="C1380" s="670" t="s">
        <v>2258</v>
      </c>
      <c r="D1380" s="670" t="s">
        <v>4958</v>
      </c>
      <c r="E1380" s="670" t="s">
        <v>4959</v>
      </c>
      <c r="F1380" s="670">
        <v>22500.0</v>
      </c>
      <c r="G1380" s="670" t="s">
        <v>4843</v>
      </c>
      <c r="H1380" s="670" t="s">
        <v>2261</v>
      </c>
      <c r="I1380" s="670" t="s">
        <v>2262</v>
      </c>
      <c r="J1380" s="671">
        <v>46234.0</v>
      </c>
    </row>
    <row r="1381">
      <c r="A1381" s="670">
        <v>1420.0</v>
      </c>
      <c r="B1381" s="670" t="s">
        <v>2257</v>
      </c>
      <c r="C1381" s="670" t="s">
        <v>2258</v>
      </c>
      <c r="D1381" s="670" t="s">
        <v>4960</v>
      </c>
      <c r="E1381" s="670" t="s">
        <v>4961</v>
      </c>
      <c r="F1381" s="670">
        <v>22792.0</v>
      </c>
      <c r="G1381" s="670" t="s">
        <v>4843</v>
      </c>
      <c r="H1381" s="670" t="s">
        <v>2261</v>
      </c>
      <c r="I1381" s="670" t="s">
        <v>2262</v>
      </c>
      <c r="J1381" s="671">
        <v>46234.0</v>
      </c>
    </row>
    <row r="1382">
      <c r="A1382" s="670">
        <v>1421.0</v>
      </c>
      <c r="B1382" s="670" t="s">
        <v>2257</v>
      </c>
      <c r="C1382" s="670" t="s">
        <v>2258</v>
      </c>
      <c r="D1382" s="670" t="s">
        <v>4962</v>
      </c>
      <c r="E1382" s="670" t="s">
        <v>4963</v>
      </c>
      <c r="F1382" s="670">
        <v>24000.0</v>
      </c>
      <c r="G1382" s="670" t="s">
        <v>4843</v>
      </c>
      <c r="H1382" s="670" t="s">
        <v>2261</v>
      </c>
      <c r="I1382" s="670" t="s">
        <v>2262</v>
      </c>
      <c r="J1382" s="671">
        <v>46234.0</v>
      </c>
    </row>
    <row r="1383">
      <c r="A1383" s="670">
        <v>1422.0</v>
      </c>
      <c r="B1383" s="670" t="s">
        <v>2257</v>
      </c>
      <c r="C1383" s="670" t="s">
        <v>2258</v>
      </c>
      <c r="D1383" s="670" t="s">
        <v>4964</v>
      </c>
      <c r="E1383" s="670" t="s">
        <v>4965</v>
      </c>
      <c r="F1383" s="670">
        <v>23800.0</v>
      </c>
      <c r="G1383" s="670" t="s">
        <v>4843</v>
      </c>
      <c r="H1383" s="670" t="s">
        <v>2261</v>
      </c>
      <c r="I1383" s="670" t="s">
        <v>2262</v>
      </c>
      <c r="J1383" s="671">
        <v>46234.0</v>
      </c>
    </row>
    <row r="1384">
      <c r="A1384" s="670">
        <v>1423.0</v>
      </c>
      <c r="B1384" s="670" t="s">
        <v>2257</v>
      </c>
      <c r="C1384" s="670" t="s">
        <v>2258</v>
      </c>
      <c r="D1384" s="670" t="s">
        <v>4966</v>
      </c>
      <c r="E1384" s="670" t="s">
        <v>4967</v>
      </c>
      <c r="F1384" s="670">
        <v>22800.0</v>
      </c>
      <c r="G1384" s="670" t="s">
        <v>4843</v>
      </c>
      <c r="H1384" s="670" t="s">
        <v>2261</v>
      </c>
      <c r="I1384" s="670" t="s">
        <v>2262</v>
      </c>
      <c r="J1384" s="671">
        <v>46234.0</v>
      </c>
    </row>
    <row r="1385">
      <c r="A1385" s="670">
        <v>1424.0</v>
      </c>
      <c r="B1385" s="670" t="s">
        <v>2257</v>
      </c>
      <c r="C1385" s="670" t="s">
        <v>2258</v>
      </c>
      <c r="D1385" s="670" t="s">
        <v>4968</v>
      </c>
      <c r="E1385" s="670" t="s">
        <v>4969</v>
      </c>
      <c r="F1385" s="670">
        <v>22000.0</v>
      </c>
      <c r="G1385" s="670" t="s">
        <v>4843</v>
      </c>
      <c r="H1385" s="670" t="s">
        <v>2261</v>
      </c>
      <c r="I1385" s="670" t="s">
        <v>2262</v>
      </c>
      <c r="J1385" s="671">
        <v>46234.0</v>
      </c>
    </row>
    <row r="1386">
      <c r="A1386" s="670">
        <v>1425.0</v>
      </c>
      <c r="B1386" s="670" t="s">
        <v>2257</v>
      </c>
      <c r="C1386" s="670" t="s">
        <v>2258</v>
      </c>
      <c r="D1386" s="670" t="s">
        <v>4970</v>
      </c>
      <c r="E1386" s="670" t="s">
        <v>4971</v>
      </c>
      <c r="F1386" s="670">
        <v>21000.0</v>
      </c>
      <c r="G1386" s="670" t="s">
        <v>4843</v>
      </c>
      <c r="H1386" s="670" t="s">
        <v>2261</v>
      </c>
      <c r="I1386" s="670" t="s">
        <v>2262</v>
      </c>
      <c r="J1386" s="671">
        <v>46234.0</v>
      </c>
    </row>
    <row r="1387">
      <c r="A1387" s="670">
        <v>1426.0</v>
      </c>
      <c r="B1387" s="670" t="s">
        <v>2257</v>
      </c>
      <c r="C1387" s="670" t="s">
        <v>2258</v>
      </c>
      <c r="D1387" s="670" t="s">
        <v>4972</v>
      </c>
      <c r="E1387" s="670" t="s">
        <v>4973</v>
      </c>
      <c r="F1387" s="670">
        <v>20000.0</v>
      </c>
      <c r="G1387" s="670" t="s">
        <v>4843</v>
      </c>
      <c r="H1387" s="670" t="s">
        <v>2261</v>
      </c>
      <c r="I1387" s="670" t="s">
        <v>2262</v>
      </c>
      <c r="J1387" s="671">
        <v>46234.0</v>
      </c>
    </row>
    <row r="1388">
      <c r="A1388" s="670">
        <v>1427.0</v>
      </c>
      <c r="B1388" s="670" t="s">
        <v>2257</v>
      </c>
      <c r="C1388" s="670" t="s">
        <v>2258</v>
      </c>
      <c r="D1388" s="670" t="s">
        <v>4974</v>
      </c>
      <c r="E1388" s="670" t="s">
        <v>4975</v>
      </c>
      <c r="F1388" s="670">
        <v>23000.0</v>
      </c>
      <c r="G1388" s="670" t="s">
        <v>4843</v>
      </c>
      <c r="H1388" s="670" t="s">
        <v>2261</v>
      </c>
      <c r="I1388" s="670" t="s">
        <v>2262</v>
      </c>
      <c r="J1388" s="671">
        <v>46234.0</v>
      </c>
    </row>
    <row r="1389">
      <c r="A1389" s="670">
        <v>1428.0</v>
      </c>
      <c r="B1389" s="670" t="s">
        <v>2257</v>
      </c>
      <c r="C1389" s="670" t="s">
        <v>2258</v>
      </c>
      <c r="D1389" s="670" t="s">
        <v>4976</v>
      </c>
      <c r="E1389" s="670" t="s">
        <v>4977</v>
      </c>
      <c r="F1389" s="670">
        <v>25500.0</v>
      </c>
      <c r="G1389" s="670" t="s">
        <v>4843</v>
      </c>
      <c r="H1389" s="670" t="s">
        <v>2261</v>
      </c>
      <c r="I1389" s="670" t="s">
        <v>2262</v>
      </c>
      <c r="J1389" s="671">
        <v>46234.0</v>
      </c>
    </row>
    <row r="1390">
      <c r="A1390" s="670">
        <v>1429.0</v>
      </c>
      <c r="B1390" s="670" t="s">
        <v>2257</v>
      </c>
      <c r="C1390" s="670" t="s">
        <v>2258</v>
      </c>
      <c r="D1390" s="670" t="s">
        <v>4978</v>
      </c>
      <c r="E1390" s="670" t="s">
        <v>4979</v>
      </c>
      <c r="F1390" s="670">
        <v>24800.0</v>
      </c>
      <c r="G1390" s="670" t="s">
        <v>4843</v>
      </c>
      <c r="H1390" s="670" t="s">
        <v>2261</v>
      </c>
      <c r="I1390" s="670" t="s">
        <v>2262</v>
      </c>
      <c r="J1390" s="671">
        <v>46234.0</v>
      </c>
    </row>
    <row r="1391">
      <c r="A1391" s="670">
        <v>1430.0</v>
      </c>
      <c r="B1391" s="670" t="s">
        <v>2257</v>
      </c>
      <c r="C1391" s="670" t="s">
        <v>2258</v>
      </c>
      <c r="D1391" s="670" t="s">
        <v>4980</v>
      </c>
      <c r="E1391" s="670" t="s">
        <v>4981</v>
      </c>
      <c r="F1391" s="670">
        <v>24500.0</v>
      </c>
      <c r="G1391" s="670" t="s">
        <v>4843</v>
      </c>
      <c r="H1391" s="670" t="s">
        <v>2261</v>
      </c>
      <c r="I1391" s="670" t="s">
        <v>2262</v>
      </c>
      <c r="J1391" s="671">
        <v>46234.0</v>
      </c>
    </row>
    <row r="1392">
      <c r="A1392" s="670">
        <v>1431.0</v>
      </c>
      <c r="B1392" s="670" t="s">
        <v>2257</v>
      </c>
      <c r="C1392" s="670" t="s">
        <v>2258</v>
      </c>
      <c r="D1392" s="670" t="s">
        <v>4982</v>
      </c>
      <c r="E1392" s="670" t="s">
        <v>4983</v>
      </c>
      <c r="F1392" s="670">
        <v>23900.0</v>
      </c>
      <c r="G1392" s="670" t="s">
        <v>4843</v>
      </c>
      <c r="H1392" s="670" t="s">
        <v>2261</v>
      </c>
      <c r="I1392" s="670" t="s">
        <v>2262</v>
      </c>
      <c r="J1392" s="671">
        <v>46234.0</v>
      </c>
    </row>
    <row r="1393">
      <c r="A1393" s="670">
        <v>1432.0</v>
      </c>
      <c r="B1393" s="670" t="s">
        <v>2257</v>
      </c>
      <c r="C1393" s="670" t="s">
        <v>2258</v>
      </c>
      <c r="D1393" s="670" t="s">
        <v>4984</v>
      </c>
      <c r="E1393" s="670" t="s">
        <v>4985</v>
      </c>
      <c r="F1393" s="670">
        <v>22900.0</v>
      </c>
      <c r="G1393" s="670" t="s">
        <v>4843</v>
      </c>
      <c r="H1393" s="670" t="s">
        <v>2261</v>
      </c>
      <c r="I1393" s="670" t="s">
        <v>2262</v>
      </c>
      <c r="J1393" s="671">
        <v>46234.0</v>
      </c>
    </row>
    <row r="1394">
      <c r="A1394" s="670">
        <v>1433.0</v>
      </c>
      <c r="B1394" s="670" t="s">
        <v>2257</v>
      </c>
      <c r="C1394" s="670" t="s">
        <v>2258</v>
      </c>
      <c r="D1394" s="670" t="s">
        <v>4986</v>
      </c>
      <c r="E1394" s="670" t="s">
        <v>4987</v>
      </c>
      <c r="F1394" s="670">
        <v>21000.0</v>
      </c>
      <c r="G1394" s="670" t="s">
        <v>4843</v>
      </c>
      <c r="H1394" s="670" t="s">
        <v>2261</v>
      </c>
      <c r="I1394" s="670" t="s">
        <v>2262</v>
      </c>
      <c r="J1394" s="671">
        <v>46234.0</v>
      </c>
    </row>
    <row r="1395">
      <c r="A1395" s="670">
        <v>1434.0</v>
      </c>
      <c r="B1395" s="670" t="s">
        <v>2257</v>
      </c>
      <c r="C1395" s="670" t="s">
        <v>2258</v>
      </c>
      <c r="D1395" s="670" t="s">
        <v>4988</v>
      </c>
      <c r="E1395" s="670" t="s">
        <v>4989</v>
      </c>
      <c r="F1395" s="670">
        <v>20500.0</v>
      </c>
      <c r="G1395" s="670" t="s">
        <v>4843</v>
      </c>
      <c r="H1395" s="670" t="s">
        <v>2261</v>
      </c>
      <c r="I1395" s="670" t="s">
        <v>2262</v>
      </c>
      <c r="J1395" s="671">
        <v>46234.0</v>
      </c>
    </row>
    <row r="1396">
      <c r="A1396" s="670">
        <v>1435.0</v>
      </c>
      <c r="B1396" s="670" t="s">
        <v>2257</v>
      </c>
      <c r="C1396" s="670" t="s">
        <v>2258</v>
      </c>
      <c r="D1396" s="670" t="s">
        <v>4990</v>
      </c>
      <c r="E1396" s="670" t="s">
        <v>4991</v>
      </c>
      <c r="F1396" s="670">
        <v>24500.0</v>
      </c>
      <c r="G1396" s="670" t="s">
        <v>4843</v>
      </c>
      <c r="H1396" s="670" t="s">
        <v>2261</v>
      </c>
      <c r="I1396" s="670" t="s">
        <v>2262</v>
      </c>
      <c r="J1396" s="671">
        <v>46234.0</v>
      </c>
    </row>
    <row r="1397">
      <c r="A1397" s="670">
        <v>1436.0</v>
      </c>
      <c r="B1397" s="670" t="s">
        <v>2257</v>
      </c>
      <c r="C1397" s="670" t="s">
        <v>2258</v>
      </c>
      <c r="D1397" s="670" t="s">
        <v>4992</v>
      </c>
      <c r="E1397" s="670" t="s">
        <v>4993</v>
      </c>
      <c r="F1397" s="670">
        <v>21387.0</v>
      </c>
      <c r="G1397" s="670" t="s">
        <v>4843</v>
      </c>
      <c r="H1397" s="670" t="s">
        <v>2261</v>
      </c>
      <c r="I1397" s="670" t="s">
        <v>2262</v>
      </c>
      <c r="J1397" s="671">
        <v>46234.0</v>
      </c>
    </row>
    <row r="1398">
      <c r="A1398" s="670">
        <v>1437.0</v>
      </c>
      <c r="B1398" s="670" t="s">
        <v>2257</v>
      </c>
      <c r="C1398" s="670" t="s">
        <v>2258</v>
      </c>
      <c r="D1398" s="670" t="s">
        <v>4994</v>
      </c>
      <c r="E1398" s="670" t="s">
        <v>4995</v>
      </c>
      <c r="F1398" s="670">
        <v>23950.0</v>
      </c>
      <c r="G1398" s="670" t="s">
        <v>4843</v>
      </c>
      <c r="H1398" s="670" t="s">
        <v>2261</v>
      </c>
      <c r="I1398" s="670" t="s">
        <v>2262</v>
      </c>
      <c r="J1398" s="671">
        <v>46234.0</v>
      </c>
    </row>
    <row r="1399">
      <c r="A1399" s="670">
        <v>1438.0</v>
      </c>
      <c r="B1399" s="670" t="s">
        <v>2257</v>
      </c>
      <c r="C1399" s="670" t="s">
        <v>2258</v>
      </c>
      <c r="D1399" s="670" t="s">
        <v>4996</v>
      </c>
      <c r="E1399" s="670" t="s">
        <v>4997</v>
      </c>
      <c r="F1399" s="670">
        <v>23100.0</v>
      </c>
      <c r="G1399" s="670" t="s">
        <v>4843</v>
      </c>
      <c r="H1399" s="670" t="s">
        <v>2261</v>
      </c>
      <c r="I1399" s="670" t="s">
        <v>2262</v>
      </c>
      <c r="J1399" s="671">
        <v>46234.0</v>
      </c>
    </row>
    <row r="1400">
      <c r="A1400" s="670">
        <v>1439.0</v>
      </c>
      <c r="B1400" s="670" t="s">
        <v>2257</v>
      </c>
      <c r="C1400" s="670" t="s">
        <v>2258</v>
      </c>
      <c r="D1400" s="670" t="s">
        <v>4998</v>
      </c>
      <c r="E1400" s="670" t="s">
        <v>4999</v>
      </c>
      <c r="F1400" s="670">
        <v>22500.0</v>
      </c>
      <c r="G1400" s="670" t="s">
        <v>4843</v>
      </c>
      <c r="H1400" s="670" t="s">
        <v>2261</v>
      </c>
      <c r="I1400" s="670" t="s">
        <v>2262</v>
      </c>
      <c r="J1400" s="671">
        <v>46234.0</v>
      </c>
    </row>
    <row r="1401">
      <c r="A1401" s="670">
        <v>1440.0</v>
      </c>
      <c r="B1401" s="670" t="s">
        <v>2257</v>
      </c>
      <c r="C1401" s="670" t="s">
        <v>2258</v>
      </c>
      <c r="D1401" s="670" t="s">
        <v>5000</v>
      </c>
      <c r="E1401" s="670" t="s">
        <v>5001</v>
      </c>
      <c r="F1401" s="670">
        <v>21750.0</v>
      </c>
      <c r="G1401" s="670" t="s">
        <v>4843</v>
      </c>
      <c r="H1401" s="670" t="s">
        <v>2261</v>
      </c>
      <c r="I1401" s="670" t="s">
        <v>2262</v>
      </c>
      <c r="J1401" s="671">
        <v>46234.0</v>
      </c>
    </row>
    <row r="1402">
      <c r="A1402" s="670">
        <v>1441.0</v>
      </c>
      <c r="B1402" s="670" t="s">
        <v>2257</v>
      </c>
      <c r="C1402" s="670" t="s">
        <v>2258</v>
      </c>
      <c r="D1402" s="670" t="s">
        <v>5002</v>
      </c>
      <c r="E1402" s="670" t="s">
        <v>5003</v>
      </c>
      <c r="F1402" s="670">
        <v>21223.0</v>
      </c>
      <c r="G1402" s="670" t="s">
        <v>4843</v>
      </c>
      <c r="H1402" s="670" t="s">
        <v>2261</v>
      </c>
      <c r="I1402" s="670" t="s">
        <v>2262</v>
      </c>
      <c r="J1402" s="671">
        <v>46234.0</v>
      </c>
    </row>
    <row r="1403">
      <c r="A1403" s="670">
        <v>1442.0</v>
      </c>
      <c r="B1403" s="670" t="s">
        <v>2257</v>
      </c>
      <c r="C1403" s="670" t="s">
        <v>2258</v>
      </c>
      <c r="D1403" s="670" t="s">
        <v>5004</v>
      </c>
      <c r="E1403" s="670" t="s">
        <v>5005</v>
      </c>
      <c r="F1403" s="670">
        <v>24850.0</v>
      </c>
      <c r="G1403" s="670" t="s">
        <v>4843</v>
      </c>
      <c r="H1403" s="670" t="s">
        <v>2261</v>
      </c>
      <c r="I1403" s="670" t="s">
        <v>2262</v>
      </c>
      <c r="J1403" s="671">
        <v>46234.0</v>
      </c>
    </row>
    <row r="1404">
      <c r="A1404" s="670">
        <v>1443.0</v>
      </c>
      <c r="B1404" s="670" t="s">
        <v>2257</v>
      </c>
      <c r="C1404" s="670" t="s">
        <v>2258</v>
      </c>
      <c r="D1404" s="670" t="s">
        <v>5006</v>
      </c>
      <c r="E1404" s="670" t="s">
        <v>5007</v>
      </c>
      <c r="F1404" s="670">
        <v>23500.0</v>
      </c>
      <c r="G1404" s="670" t="s">
        <v>4843</v>
      </c>
      <c r="H1404" s="670" t="s">
        <v>2261</v>
      </c>
      <c r="I1404" s="670" t="s">
        <v>2262</v>
      </c>
      <c r="J1404" s="671">
        <v>46234.0</v>
      </c>
    </row>
    <row r="1405">
      <c r="A1405" s="670">
        <v>1444.0</v>
      </c>
      <c r="B1405" s="670" t="s">
        <v>2257</v>
      </c>
      <c r="C1405" s="670" t="s">
        <v>2258</v>
      </c>
      <c r="D1405" s="670" t="s">
        <v>5008</v>
      </c>
      <c r="E1405" s="670" t="s">
        <v>5009</v>
      </c>
      <c r="F1405" s="670">
        <v>23200.0</v>
      </c>
      <c r="G1405" s="670" t="s">
        <v>4843</v>
      </c>
      <c r="H1405" s="670" t="s">
        <v>2261</v>
      </c>
      <c r="I1405" s="670" t="s">
        <v>2262</v>
      </c>
      <c r="J1405" s="671">
        <v>46234.0</v>
      </c>
    </row>
    <row r="1406">
      <c r="A1406" s="670">
        <v>1445.0</v>
      </c>
      <c r="B1406" s="670" t="s">
        <v>2257</v>
      </c>
      <c r="C1406" s="670" t="s">
        <v>2258</v>
      </c>
      <c r="D1406" s="670" t="s">
        <v>5010</v>
      </c>
      <c r="E1406" s="670" t="s">
        <v>5011</v>
      </c>
      <c r="F1406" s="670">
        <v>22850.0</v>
      </c>
      <c r="G1406" s="670" t="s">
        <v>4843</v>
      </c>
      <c r="H1406" s="670" t="s">
        <v>2261</v>
      </c>
      <c r="I1406" s="670" t="s">
        <v>2262</v>
      </c>
      <c r="J1406" s="671">
        <v>46234.0</v>
      </c>
    </row>
    <row r="1407">
      <c r="A1407" s="670">
        <v>1446.0</v>
      </c>
      <c r="B1407" s="670" t="s">
        <v>2257</v>
      </c>
      <c r="C1407" s="670" t="s">
        <v>2258</v>
      </c>
      <c r="D1407" s="670" t="s">
        <v>5012</v>
      </c>
      <c r="E1407" s="670" t="s">
        <v>5013</v>
      </c>
      <c r="F1407" s="670">
        <v>25500.0</v>
      </c>
      <c r="G1407" s="670" t="s">
        <v>4843</v>
      </c>
      <c r="H1407" s="670" t="s">
        <v>2261</v>
      </c>
      <c r="I1407" s="670" t="s">
        <v>2262</v>
      </c>
      <c r="J1407" s="671">
        <v>46234.0</v>
      </c>
    </row>
    <row r="1408">
      <c r="A1408" s="670">
        <v>1447.0</v>
      </c>
      <c r="B1408" s="670" t="s">
        <v>2257</v>
      </c>
      <c r="C1408" s="670" t="s">
        <v>2258</v>
      </c>
      <c r="D1408" s="670" t="s">
        <v>5014</v>
      </c>
      <c r="E1408" s="670" t="s">
        <v>5015</v>
      </c>
      <c r="F1408" s="670">
        <v>24700.0</v>
      </c>
      <c r="G1408" s="670" t="s">
        <v>4843</v>
      </c>
      <c r="H1408" s="670" t="s">
        <v>2261</v>
      </c>
      <c r="I1408" s="670" t="s">
        <v>2262</v>
      </c>
      <c r="J1408" s="671">
        <v>46234.0</v>
      </c>
    </row>
    <row r="1409">
      <c r="A1409" s="670">
        <v>1448.0</v>
      </c>
      <c r="B1409" s="670" t="s">
        <v>2257</v>
      </c>
      <c r="C1409" s="670" t="s">
        <v>2258</v>
      </c>
      <c r="D1409" s="670" t="s">
        <v>5016</v>
      </c>
      <c r="E1409" s="670" t="s">
        <v>5017</v>
      </c>
      <c r="F1409" s="670">
        <v>23200.0</v>
      </c>
      <c r="G1409" s="670" t="s">
        <v>4843</v>
      </c>
      <c r="H1409" s="670" t="s">
        <v>2261</v>
      </c>
      <c r="I1409" s="670" t="s">
        <v>2262</v>
      </c>
      <c r="J1409" s="671">
        <v>46234.0</v>
      </c>
    </row>
    <row r="1410">
      <c r="A1410" s="670">
        <v>1449.0</v>
      </c>
      <c r="B1410" s="670" t="s">
        <v>2257</v>
      </c>
      <c r="C1410" s="670" t="s">
        <v>2258</v>
      </c>
      <c r="D1410" s="670" t="s">
        <v>5018</v>
      </c>
      <c r="E1410" s="670" t="s">
        <v>5019</v>
      </c>
      <c r="F1410" s="670">
        <v>22500.0</v>
      </c>
      <c r="G1410" s="670" t="s">
        <v>4843</v>
      </c>
      <c r="H1410" s="670" t="s">
        <v>2261</v>
      </c>
      <c r="I1410" s="670" t="s">
        <v>2262</v>
      </c>
      <c r="J1410" s="671">
        <v>46234.0</v>
      </c>
    </row>
    <row r="1411">
      <c r="A1411" s="670">
        <v>1450.0</v>
      </c>
      <c r="B1411" s="670" t="s">
        <v>2257</v>
      </c>
      <c r="C1411" s="670" t="s">
        <v>2258</v>
      </c>
      <c r="D1411" s="670" t="s">
        <v>5020</v>
      </c>
      <c r="E1411" s="670" t="s">
        <v>5021</v>
      </c>
      <c r="F1411" s="670">
        <v>21900.0</v>
      </c>
      <c r="G1411" s="670" t="s">
        <v>4843</v>
      </c>
      <c r="H1411" s="670" t="s">
        <v>2261</v>
      </c>
      <c r="I1411" s="670" t="s">
        <v>2262</v>
      </c>
      <c r="J1411" s="671">
        <v>46234.0</v>
      </c>
    </row>
    <row r="1412">
      <c r="A1412" s="670">
        <v>1451.0</v>
      </c>
      <c r="B1412" s="670" t="s">
        <v>2257</v>
      </c>
      <c r="C1412" s="670" t="s">
        <v>2258</v>
      </c>
      <c r="D1412" s="670" t="s">
        <v>5022</v>
      </c>
      <c r="E1412" s="670" t="s">
        <v>5023</v>
      </c>
      <c r="F1412" s="670">
        <v>20110.0</v>
      </c>
      <c r="G1412" s="670" t="s">
        <v>4843</v>
      </c>
      <c r="H1412" s="670" t="s">
        <v>2261</v>
      </c>
      <c r="I1412" s="670" t="s">
        <v>2262</v>
      </c>
      <c r="J1412" s="671">
        <v>46234.0</v>
      </c>
    </row>
    <row r="1413">
      <c r="A1413" s="670">
        <v>1452.0</v>
      </c>
      <c r="B1413" s="670" t="s">
        <v>2257</v>
      </c>
      <c r="C1413" s="670" t="s">
        <v>2258</v>
      </c>
      <c r="D1413" s="670" t="s">
        <v>5024</v>
      </c>
      <c r="E1413" s="670" t="s">
        <v>5025</v>
      </c>
      <c r="F1413" s="670">
        <v>23500.0</v>
      </c>
      <c r="G1413" s="670" t="s">
        <v>4843</v>
      </c>
      <c r="H1413" s="670" t="s">
        <v>2261</v>
      </c>
      <c r="I1413" s="670" t="s">
        <v>2262</v>
      </c>
      <c r="J1413" s="671">
        <v>46234.0</v>
      </c>
    </row>
    <row r="1414">
      <c r="A1414" s="670">
        <v>1453.0</v>
      </c>
      <c r="B1414" s="670" t="s">
        <v>2257</v>
      </c>
      <c r="C1414" s="670" t="s">
        <v>2258</v>
      </c>
      <c r="D1414" s="670" t="s">
        <v>5026</v>
      </c>
      <c r="E1414" s="670" t="s">
        <v>5027</v>
      </c>
      <c r="F1414" s="670">
        <v>22600.0</v>
      </c>
      <c r="G1414" s="670" t="s">
        <v>4843</v>
      </c>
      <c r="H1414" s="670" t="s">
        <v>2261</v>
      </c>
      <c r="I1414" s="670" t="s">
        <v>2262</v>
      </c>
      <c r="J1414" s="671">
        <v>46234.0</v>
      </c>
    </row>
    <row r="1415">
      <c r="A1415" s="670">
        <v>1454.0</v>
      </c>
      <c r="B1415" s="670" t="s">
        <v>2257</v>
      </c>
      <c r="C1415" s="670" t="s">
        <v>2258</v>
      </c>
      <c r="D1415" s="670" t="s">
        <v>5028</v>
      </c>
      <c r="E1415" s="670" t="s">
        <v>5029</v>
      </c>
      <c r="F1415" s="670">
        <v>21400.0</v>
      </c>
      <c r="G1415" s="670" t="s">
        <v>4843</v>
      </c>
      <c r="H1415" s="670" t="s">
        <v>2261</v>
      </c>
      <c r="I1415" s="670" t="s">
        <v>2262</v>
      </c>
      <c r="J1415" s="671">
        <v>46234.0</v>
      </c>
    </row>
    <row r="1416">
      <c r="A1416" s="670">
        <v>1455.0</v>
      </c>
      <c r="B1416" s="670" t="s">
        <v>2257</v>
      </c>
      <c r="C1416" s="670" t="s">
        <v>2258</v>
      </c>
      <c r="D1416" s="670" t="s">
        <v>5030</v>
      </c>
      <c r="E1416" s="670" t="s">
        <v>5031</v>
      </c>
      <c r="F1416" s="670">
        <v>24800.0</v>
      </c>
      <c r="G1416" s="670" t="s">
        <v>4843</v>
      </c>
      <c r="H1416" s="670" t="s">
        <v>2261</v>
      </c>
      <c r="I1416" s="670" t="s">
        <v>2262</v>
      </c>
      <c r="J1416" s="671">
        <v>46234.0</v>
      </c>
    </row>
    <row r="1417">
      <c r="A1417" s="670">
        <v>1456.0</v>
      </c>
      <c r="B1417" s="670" t="s">
        <v>2257</v>
      </c>
      <c r="C1417" s="670" t="s">
        <v>2258</v>
      </c>
      <c r="D1417" s="670" t="s">
        <v>5032</v>
      </c>
      <c r="E1417" s="670" t="s">
        <v>5033</v>
      </c>
      <c r="F1417" s="670">
        <v>23950.0</v>
      </c>
      <c r="G1417" s="670" t="s">
        <v>4843</v>
      </c>
      <c r="H1417" s="670" t="s">
        <v>2261</v>
      </c>
      <c r="I1417" s="670" t="s">
        <v>2262</v>
      </c>
      <c r="J1417" s="671">
        <v>46234.0</v>
      </c>
    </row>
    <row r="1418">
      <c r="A1418" s="670">
        <v>1457.0</v>
      </c>
      <c r="B1418" s="670" t="s">
        <v>2257</v>
      </c>
      <c r="C1418" s="670" t="s">
        <v>2258</v>
      </c>
      <c r="D1418" s="670" t="s">
        <v>5034</v>
      </c>
      <c r="E1418" s="670" t="s">
        <v>5035</v>
      </c>
      <c r="F1418" s="670">
        <v>23100.0</v>
      </c>
      <c r="G1418" s="670" t="s">
        <v>4843</v>
      </c>
      <c r="H1418" s="670" t="s">
        <v>2261</v>
      </c>
      <c r="I1418" s="670" t="s">
        <v>2262</v>
      </c>
      <c r="J1418" s="671">
        <v>46234.0</v>
      </c>
    </row>
    <row r="1419">
      <c r="A1419" s="670">
        <v>1458.0</v>
      </c>
      <c r="B1419" s="670" t="s">
        <v>2257</v>
      </c>
      <c r="C1419" s="670" t="s">
        <v>2258</v>
      </c>
      <c r="D1419" s="670" t="s">
        <v>5036</v>
      </c>
      <c r="E1419" s="670" t="s">
        <v>5037</v>
      </c>
      <c r="F1419" s="670">
        <v>21915.0</v>
      </c>
      <c r="G1419" s="670" t="s">
        <v>4843</v>
      </c>
      <c r="H1419" s="670" t="s">
        <v>2261</v>
      </c>
      <c r="I1419" s="670" t="s">
        <v>2262</v>
      </c>
      <c r="J1419" s="671">
        <v>46234.0</v>
      </c>
    </row>
    <row r="1420">
      <c r="A1420" s="670">
        <v>1459.0</v>
      </c>
      <c r="B1420" s="670" t="s">
        <v>2257</v>
      </c>
      <c r="C1420" s="670" t="s">
        <v>2258</v>
      </c>
      <c r="D1420" s="670" t="s">
        <v>5038</v>
      </c>
      <c r="E1420" s="670" t="s">
        <v>5039</v>
      </c>
      <c r="F1420" s="670">
        <v>19775.0</v>
      </c>
      <c r="G1420" s="670" t="s">
        <v>4843</v>
      </c>
      <c r="H1420" s="670" t="s">
        <v>2261</v>
      </c>
      <c r="I1420" s="670" t="s">
        <v>2262</v>
      </c>
      <c r="J1420" s="671">
        <v>46234.0</v>
      </c>
    </row>
    <row r="1421">
      <c r="A1421" s="670">
        <v>1460.0</v>
      </c>
      <c r="B1421" s="670" t="s">
        <v>2257</v>
      </c>
      <c r="C1421" s="670" t="s">
        <v>2258</v>
      </c>
      <c r="D1421" s="670" t="s">
        <v>5040</v>
      </c>
      <c r="E1421" s="670" t="s">
        <v>5041</v>
      </c>
      <c r="F1421" s="670">
        <v>19010.0</v>
      </c>
      <c r="G1421" s="670" t="s">
        <v>4843</v>
      </c>
      <c r="H1421" s="670" t="s">
        <v>2261</v>
      </c>
      <c r="I1421" s="670" t="s">
        <v>2262</v>
      </c>
      <c r="J1421" s="671">
        <v>46234.0</v>
      </c>
    </row>
    <row r="1422">
      <c r="A1422" s="670">
        <v>1461.0</v>
      </c>
      <c r="B1422" s="670" t="s">
        <v>2257</v>
      </c>
      <c r="C1422" s="670" t="s">
        <v>2258</v>
      </c>
      <c r="D1422" s="670" t="s">
        <v>5042</v>
      </c>
      <c r="E1422" s="670" t="s">
        <v>5043</v>
      </c>
      <c r="F1422" s="670">
        <v>18100.0</v>
      </c>
      <c r="G1422" s="670" t="s">
        <v>4843</v>
      </c>
      <c r="H1422" s="670" t="s">
        <v>2261</v>
      </c>
      <c r="I1422" s="670" t="s">
        <v>2262</v>
      </c>
      <c r="J1422" s="671">
        <v>46234.0</v>
      </c>
    </row>
    <row r="1423">
      <c r="A1423" s="670">
        <v>1462.0</v>
      </c>
      <c r="B1423" s="670" t="s">
        <v>2257</v>
      </c>
      <c r="C1423" s="670" t="s">
        <v>2258</v>
      </c>
      <c r="D1423" s="670" t="s">
        <v>5044</v>
      </c>
      <c r="E1423" s="670" t="s">
        <v>5045</v>
      </c>
      <c r="F1423" s="670">
        <v>17950.0</v>
      </c>
      <c r="G1423" s="670" t="s">
        <v>4843</v>
      </c>
      <c r="H1423" s="670" t="s">
        <v>2261</v>
      </c>
      <c r="I1423" s="670" t="s">
        <v>2262</v>
      </c>
      <c r="J1423" s="671">
        <v>46234.0</v>
      </c>
    </row>
    <row r="1424">
      <c r="A1424" s="670">
        <v>1463.0</v>
      </c>
      <c r="B1424" s="670" t="s">
        <v>2257</v>
      </c>
      <c r="C1424" s="670" t="s">
        <v>2258</v>
      </c>
      <c r="D1424" s="670" t="s">
        <v>5046</v>
      </c>
      <c r="E1424" s="670" t="s">
        <v>5047</v>
      </c>
      <c r="F1424" s="670">
        <v>24850.0</v>
      </c>
      <c r="G1424" s="670" t="s">
        <v>4843</v>
      </c>
      <c r="H1424" s="670" t="s">
        <v>2261</v>
      </c>
      <c r="I1424" s="670" t="s">
        <v>2262</v>
      </c>
      <c r="J1424" s="671">
        <v>46234.0</v>
      </c>
    </row>
    <row r="1425">
      <c r="A1425" s="670">
        <v>1464.0</v>
      </c>
      <c r="B1425" s="670" t="s">
        <v>2257</v>
      </c>
      <c r="C1425" s="670" t="s">
        <v>2258</v>
      </c>
      <c r="D1425" s="670" t="s">
        <v>5048</v>
      </c>
      <c r="E1425" s="670" t="s">
        <v>5049</v>
      </c>
      <c r="F1425" s="670">
        <v>23500.0</v>
      </c>
      <c r="G1425" s="670" t="s">
        <v>4843</v>
      </c>
      <c r="H1425" s="670" t="s">
        <v>2261</v>
      </c>
      <c r="I1425" s="670" t="s">
        <v>2262</v>
      </c>
      <c r="J1425" s="671">
        <v>46234.0</v>
      </c>
    </row>
    <row r="1426">
      <c r="A1426" s="670">
        <v>1465.0</v>
      </c>
      <c r="B1426" s="670" t="s">
        <v>2257</v>
      </c>
      <c r="C1426" s="670" t="s">
        <v>2258</v>
      </c>
      <c r="D1426" s="670" t="s">
        <v>5050</v>
      </c>
      <c r="E1426" s="670" t="s">
        <v>5051</v>
      </c>
      <c r="F1426" s="670">
        <v>21915.0</v>
      </c>
      <c r="G1426" s="670" t="s">
        <v>4843</v>
      </c>
      <c r="H1426" s="670" t="s">
        <v>2261</v>
      </c>
      <c r="I1426" s="670" t="s">
        <v>2262</v>
      </c>
      <c r="J1426" s="671">
        <v>46234.0</v>
      </c>
    </row>
    <row r="1427">
      <c r="A1427" s="670">
        <v>1466.0</v>
      </c>
      <c r="B1427" s="670" t="s">
        <v>2257</v>
      </c>
      <c r="C1427" s="670" t="s">
        <v>2258</v>
      </c>
      <c r="D1427" s="670" t="s">
        <v>5052</v>
      </c>
      <c r="E1427" s="670" t="s">
        <v>5053</v>
      </c>
      <c r="F1427" s="670">
        <v>19775.0</v>
      </c>
      <c r="G1427" s="670" t="s">
        <v>4843</v>
      </c>
      <c r="H1427" s="670" t="s">
        <v>2261</v>
      </c>
      <c r="I1427" s="670" t="s">
        <v>2262</v>
      </c>
      <c r="J1427" s="671">
        <v>46234.0</v>
      </c>
    </row>
    <row r="1428">
      <c r="A1428" s="670">
        <v>1467.0</v>
      </c>
      <c r="B1428" s="670" t="s">
        <v>2257</v>
      </c>
      <c r="C1428" s="670" t="s">
        <v>2258</v>
      </c>
      <c r="D1428" s="670" t="s">
        <v>5054</v>
      </c>
      <c r="E1428" s="670" t="s">
        <v>5055</v>
      </c>
      <c r="F1428" s="670">
        <v>19010.0</v>
      </c>
      <c r="G1428" s="670" t="s">
        <v>4843</v>
      </c>
      <c r="H1428" s="670" t="s">
        <v>2261</v>
      </c>
      <c r="I1428" s="670" t="s">
        <v>2262</v>
      </c>
      <c r="J1428" s="671">
        <v>46234.0</v>
      </c>
    </row>
    <row r="1429">
      <c r="A1429" s="670">
        <v>1468.0</v>
      </c>
      <c r="B1429" s="670" t="s">
        <v>2257</v>
      </c>
      <c r="C1429" s="670" t="s">
        <v>2258</v>
      </c>
      <c r="D1429" s="670" t="s">
        <v>5056</v>
      </c>
      <c r="E1429" s="670" t="s">
        <v>5057</v>
      </c>
      <c r="F1429" s="670">
        <v>18100.0</v>
      </c>
      <c r="G1429" s="670" t="s">
        <v>4843</v>
      </c>
      <c r="H1429" s="670" t="s">
        <v>2261</v>
      </c>
      <c r="I1429" s="670" t="s">
        <v>2262</v>
      </c>
      <c r="J1429" s="671">
        <v>46234.0</v>
      </c>
    </row>
    <row r="1430">
      <c r="A1430" s="670">
        <v>1469.0</v>
      </c>
      <c r="B1430" s="670" t="s">
        <v>2257</v>
      </c>
      <c r="C1430" s="670" t="s">
        <v>2258</v>
      </c>
      <c r="D1430" s="670" t="s">
        <v>5058</v>
      </c>
      <c r="E1430" s="670" t="s">
        <v>5059</v>
      </c>
      <c r="F1430" s="670">
        <v>17950.0</v>
      </c>
      <c r="G1430" s="670" t="s">
        <v>4843</v>
      </c>
      <c r="H1430" s="670" t="s">
        <v>2261</v>
      </c>
      <c r="I1430" s="670" t="s">
        <v>2262</v>
      </c>
      <c r="J1430" s="671">
        <v>46234.0</v>
      </c>
    </row>
    <row r="1431">
      <c r="A1431" s="670">
        <v>1470.0</v>
      </c>
      <c r="B1431" s="670" t="s">
        <v>2257</v>
      </c>
      <c r="C1431" s="670" t="s">
        <v>2258</v>
      </c>
      <c r="D1431" s="670" t="s">
        <v>5060</v>
      </c>
      <c r="E1431" s="670" t="s">
        <v>5061</v>
      </c>
      <c r="F1431" s="670">
        <v>18100.0</v>
      </c>
      <c r="G1431" s="670" t="s">
        <v>4843</v>
      </c>
      <c r="H1431" s="670" t="s">
        <v>2261</v>
      </c>
      <c r="I1431" s="670" t="s">
        <v>2262</v>
      </c>
      <c r="J1431" s="671">
        <v>46234.0</v>
      </c>
    </row>
    <row r="1432">
      <c r="A1432" s="670">
        <v>1471.0</v>
      </c>
      <c r="B1432" s="670" t="s">
        <v>2257</v>
      </c>
      <c r="C1432" s="670" t="s">
        <v>2258</v>
      </c>
      <c r="D1432" s="670" t="s">
        <v>5062</v>
      </c>
      <c r="E1432" s="670" t="s">
        <v>5063</v>
      </c>
      <c r="F1432" s="670">
        <v>17950.0</v>
      </c>
      <c r="G1432" s="670" t="s">
        <v>4843</v>
      </c>
      <c r="H1432" s="670" t="s">
        <v>2261</v>
      </c>
      <c r="I1432" s="670" t="s">
        <v>2262</v>
      </c>
      <c r="J1432" s="671">
        <v>46234.0</v>
      </c>
    </row>
    <row r="1433">
      <c r="A1433" s="670">
        <v>1472.0</v>
      </c>
      <c r="B1433" s="670" t="s">
        <v>2257</v>
      </c>
      <c r="C1433" s="670" t="s">
        <v>2258</v>
      </c>
      <c r="D1433" s="670" t="s">
        <v>5064</v>
      </c>
      <c r="E1433" s="670" t="s">
        <v>5065</v>
      </c>
      <c r="F1433" s="670">
        <v>13511.0</v>
      </c>
      <c r="G1433" s="670" t="s">
        <v>43</v>
      </c>
      <c r="H1433" s="670" t="s">
        <v>2261</v>
      </c>
      <c r="I1433" s="670" t="s">
        <v>2262</v>
      </c>
      <c r="J1433" s="671">
        <v>46234.0</v>
      </c>
    </row>
    <row r="1434">
      <c r="A1434" s="670">
        <v>1473.0</v>
      </c>
      <c r="B1434" s="670" t="s">
        <v>2257</v>
      </c>
      <c r="C1434" s="670" t="s">
        <v>2258</v>
      </c>
      <c r="D1434" s="670" t="s">
        <v>5066</v>
      </c>
      <c r="E1434" s="670" t="s">
        <v>5067</v>
      </c>
      <c r="F1434" s="670">
        <v>27023.0</v>
      </c>
      <c r="G1434" s="670" t="s">
        <v>43</v>
      </c>
      <c r="H1434" s="670" t="s">
        <v>2261</v>
      </c>
      <c r="I1434" s="670" t="s">
        <v>2262</v>
      </c>
      <c r="J1434" s="671">
        <v>46234.0</v>
      </c>
    </row>
    <row r="1435">
      <c r="A1435" s="670">
        <v>1474.0</v>
      </c>
      <c r="B1435" s="670" t="s">
        <v>2257</v>
      </c>
      <c r="C1435" s="670" t="s">
        <v>2258</v>
      </c>
      <c r="D1435" s="670" t="s">
        <v>5068</v>
      </c>
      <c r="E1435" s="670" t="s">
        <v>5069</v>
      </c>
      <c r="F1435" s="670">
        <v>40534.0</v>
      </c>
      <c r="G1435" s="670" t="s">
        <v>43</v>
      </c>
      <c r="H1435" s="670" t="s">
        <v>2261</v>
      </c>
      <c r="I1435" s="670" t="s">
        <v>2262</v>
      </c>
      <c r="J1435" s="671">
        <v>46234.0</v>
      </c>
    </row>
    <row r="1436">
      <c r="A1436" s="670">
        <v>1475.0</v>
      </c>
      <c r="B1436" s="670" t="s">
        <v>2257</v>
      </c>
      <c r="C1436" s="670" t="s">
        <v>2258</v>
      </c>
      <c r="D1436" s="670" t="s">
        <v>5070</v>
      </c>
      <c r="E1436" s="670" t="s">
        <v>5071</v>
      </c>
      <c r="F1436" s="670">
        <v>54045.0</v>
      </c>
      <c r="G1436" s="670" t="s">
        <v>43</v>
      </c>
      <c r="H1436" s="670" t="s">
        <v>2261</v>
      </c>
      <c r="I1436" s="670" t="s">
        <v>2262</v>
      </c>
      <c r="J1436" s="671">
        <v>46234.0</v>
      </c>
    </row>
    <row r="1437">
      <c r="A1437" s="670">
        <v>1476.0</v>
      </c>
      <c r="B1437" s="670" t="s">
        <v>2257</v>
      </c>
      <c r="C1437" s="670" t="s">
        <v>2258</v>
      </c>
      <c r="D1437" s="670" t="s">
        <v>5072</v>
      </c>
      <c r="E1437" s="670" t="s">
        <v>5073</v>
      </c>
      <c r="F1437" s="670">
        <v>67556.0</v>
      </c>
      <c r="G1437" s="670" t="s">
        <v>43</v>
      </c>
      <c r="H1437" s="670" t="s">
        <v>2261</v>
      </c>
      <c r="I1437" s="670" t="s">
        <v>2262</v>
      </c>
      <c r="J1437" s="671">
        <v>46234.0</v>
      </c>
    </row>
    <row r="1438">
      <c r="A1438" s="670">
        <v>1477.0</v>
      </c>
      <c r="B1438" s="670" t="s">
        <v>2257</v>
      </c>
      <c r="C1438" s="670" t="s">
        <v>2258</v>
      </c>
      <c r="D1438" s="670" t="s">
        <v>5074</v>
      </c>
      <c r="E1438" s="670" t="s">
        <v>5075</v>
      </c>
      <c r="F1438" s="670">
        <v>81068.0</v>
      </c>
      <c r="G1438" s="670" t="s">
        <v>43</v>
      </c>
      <c r="H1438" s="670" t="s">
        <v>2261</v>
      </c>
      <c r="I1438" s="670" t="s">
        <v>2262</v>
      </c>
      <c r="J1438" s="671">
        <v>46234.0</v>
      </c>
    </row>
    <row r="1439">
      <c r="A1439" s="670">
        <v>1478.0</v>
      </c>
      <c r="B1439" s="670" t="s">
        <v>2257</v>
      </c>
      <c r="C1439" s="670" t="s">
        <v>2258</v>
      </c>
      <c r="D1439" s="670" t="s">
        <v>5076</v>
      </c>
      <c r="E1439" s="670" t="s">
        <v>5077</v>
      </c>
      <c r="F1439" s="670">
        <v>94578.0</v>
      </c>
      <c r="G1439" s="670" t="s">
        <v>43</v>
      </c>
      <c r="H1439" s="670" t="s">
        <v>2261</v>
      </c>
      <c r="I1439" s="670" t="s">
        <v>2262</v>
      </c>
      <c r="J1439" s="671">
        <v>46234.0</v>
      </c>
    </row>
    <row r="1440">
      <c r="A1440" s="670">
        <v>1479.0</v>
      </c>
      <c r="B1440" s="670" t="s">
        <v>2257</v>
      </c>
      <c r="C1440" s="670" t="s">
        <v>2258</v>
      </c>
      <c r="D1440" s="670" t="s">
        <v>5078</v>
      </c>
      <c r="E1440" s="670" t="s">
        <v>5079</v>
      </c>
      <c r="F1440" s="670">
        <v>108089.0</v>
      </c>
      <c r="G1440" s="670" t="s">
        <v>43</v>
      </c>
      <c r="H1440" s="670" t="s">
        <v>2261</v>
      </c>
      <c r="I1440" s="670" t="s">
        <v>2262</v>
      </c>
      <c r="J1440" s="671">
        <v>46234.0</v>
      </c>
    </row>
    <row r="1441">
      <c r="A1441" s="670">
        <v>1480.0</v>
      </c>
      <c r="B1441" s="670" t="s">
        <v>2257</v>
      </c>
      <c r="C1441" s="670" t="s">
        <v>2258</v>
      </c>
      <c r="D1441" s="670" t="s">
        <v>5080</v>
      </c>
      <c r="E1441" s="670" t="s">
        <v>5081</v>
      </c>
      <c r="F1441" s="670">
        <v>121600.0</v>
      </c>
      <c r="G1441" s="670" t="s">
        <v>43</v>
      </c>
      <c r="H1441" s="670" t="s">
        <v>2261</v>
      </c>
      <c r="I1441" s="670" t="s">
        <v>2262</v>
      </c>
      <c r="J1441" s="671">
        <v>46234.0</v>
      </c>
    </row>
    <row r="1442">
      <c r="A1442" s="670">
        <v>1481.0</v>
      </c>
      <c r="B1442" s="670" t="s">
        <v>2257</v>
      </c>
      <c r="C1442" s="670" t="s">
        <v>2258</v>
      </c>
      <c r="D1442" s="670" t="s">
        <v>5082</v>
      </c>
      <c r="E1442" s="670" t="s">
        <v>5083</v>
      </c>
      <c r="F1442" s="670">
        <v>135112.0</v>
      </c>
      <c r="G1442" s="670" t="s">
        <v>43</v>
      </c>
      <c r="H1442" s="670" t="s">
        <v>2261</v>
      </c>
      <c r="I1442" s="670" t="s">
        <v>2262</v>
      </c>
      <c r="J1442" s="671">
        <v>46234.0</v>
      </c>
    </row>
    <row r="1443">
      <c r="A1443" s="670">
        <v>1482.0</v>
      </c>
      <c r="B1443" s="670" t="s">
        <v>2257</v>
      </c>
      <c r="C1443" s="670" t="s">
        <v>2258</v>
      </c>
      <c r="D1443" s="670" t="s">
        <v>5084</v>
      </c>
      <c r="E1443" s="670" t="s">
        <v>5085</v>
      </c>
      <c r="F1443" s="670">
        <v>148623.0</v>
      </c>
      <c r="G1443" s="670" t="s">
        <v>43</v>
      </c>
      <c r="H1443" s="670" t="s">
        <v>2261</v>
      </c>
      <c r="I1443" s="670" t="s">
        <v>2262</v>
      </c>
      <c r="J1443" s="671">
        <v>46234.0</v>
      </c>
    </row>
    <row r="1444">
      <c r="A1444" s="670">
        <v>1483.0</v>
      </c>
      <c r="B1444" s="670" t="s">
        <v>2257</v>
      </c>
      <c r="C1444" s="670" t="s">
        <v>2258</v>
      </c>
      <c r="D1444" s="670" t="s">
        <v>5086</v>
      </c>
      <c r="E1444" s="670" t="s">
        <v>5087</v>
      </c>
      <c r="F1444" s="670">
        <v>162134.0</v>
      </c>
      <c r="G1444" s="670" t="s">
        <v>43</v>
      </c>
      <c r="H1444" s="670" t="s">
        <v>2261</v>
      </c>
      <c r="I1444" s="670" t="s">
        <v>2262</v>
      </c>
      <c r="J1444" s="671">
        <v>46234.0</v>
      </c>
    </row>
    <row r="1445">
      <c r="A1445" s="670">
        <v>1484.0</v>
      </c>
      <c r="B1445" s="670" t="s">
        <v>2257</v>
      </c>
      <c r="C1445" s="670" t="s">
        <v>2258</v>
      </c>
      <c r="D1445" s="670" t="s">
        <v>5088</v>
      </c>
      <c r="E1445" s="670" t="s">
        <v>5089</v>
      </c>
      <c r="F1445" s="670">
        <v>175645.0</v>
      </c>
      <c r="G1445" s="670" t="s">
        <v>43</v>
      </c>
      <c r="H1445" s="670" t="s">
        <v>2261</v>
      </c>
      <c r="I1445" s="670" t="s">
        <v>2262</v>
      </c>
      <c r="J1445" s="671">
        <v>46234.0</v>
      </c>
    </row>
    <row r="1446">
      <c r="A1446" s="670">
        <v>1485.0</v>
      </c>
      <c r="B1446" s="670" t="s">
        <v>2257</v>
      </c>
      <c r="C1446" s="670" t="s">
        <v>2258</v>
      </c>
      <c r="D1446" s="670" t="s">
        <v>5090</v>
      </c>
      <c r="E1446" s="670" t="s">
        <v>5091</v>
      </c>
      <c r="F1446" s="670">
        <v>175645.0</v>
      </c>
      <c r="G1446" s="670" t="s">
        <v>43</v>
      </c>
      <c r="H1446" s="670" t="s">
        <v>2261</v>
      </c>
      <c r="I1446" s="670" t="s">
        <v>2262</v>
      </c>
      <c r="J1446" s="671">
        <v>46234.0</v>
      </c>
    </row>
    <row r="1447">
      <c r="A1447" s="670">
        <v>1486.0</v>
      </c>
      <c r="B1447" s="670" t="s">
        <v>2257</v>
      </c>
      <c r="C1447" s="670" t="s">
        <v>2258</v>
      </c>
      <c r="D1447" s="670" t="s">
        <v>5092</v>
      </c>
      <c r="E1447" s="670" t="s">
        <v>5093</v>
      </c>
      <c r="F1447" s="670">
        <v>189157.0</v>
      </c>
      <c r="G1447" s="670" t="s">
        <v>43</v>
      </c>
      <c r="H1447" s="670" t="s">
        <v>2261</v>
      </c>
      <c r="I1447" s="670" t="s">
        <v>2262</v>
      </c>
      <c r="J1447" s="671">
        <v>46234.0</v>
      </c>
    </row>
    <row r="1448">
      <c r="A1448" s="670">
        <v>1487.0</v>
      </c>
      <c r="B1448" s="670" t="s">
        <v>2257</v>
      </c>
      <c r="C1448" s="670" t="s">
        <v>2258</v>
      </c>
      <c r="D1448" s="670" t="s">
        <v>5094</v>
      </c>
      <c r="E1448" s="670" t="s">
        <v>5095</v>
      </c>
      <c r="F1448" s="670">
        <v>202668.0</v>
      </c>
      <c r="G1448" s="670" t="s">
        <v>43</v>
      </c>
      <c r="H1448" s="670" t="s">
        <v>2261</v>
      </c>
      <c r="I1448" s="670" t="s">
        <v>2262</v>
      </c>
      <c r="J1448" s="671">
        <v>46234.0</v>
      </c>
    </row>
    <row r="1449">
      <c r="A1449" s="670">
        <v>1488.0</v>
      </c>
      <c r="B1449" s="670" t="s">
        <v>2257</v>
      </c>
      <c r="C1449" s="670" t="s">
        <v>2258</v>
      </c>
      <c r="D1449" s="670" t="s">
        <v>5096</v>
      </c>
      <c r="E1449" s="670" t="s">
        <v>5097</v>
      </c>
      <c r="F1449" s="670">
        <v>216179.0</v>
      </c>
      <c r="G1449" s="670" t="s">
        <v>43</v>
      </c>
      <c r="H1449" s="670" t="s">
        <v>2261</v>
      </c>
      <c r="I1449" s="670" t="s">
        <v>2262</v>
      </c>
      <c r="J1449" s="671">
        <v>46234.0</v>
      </c>
    </row>
    <row r="1450">
      <c r="A1450" s="670">
        <v>1489.0</v>
      </c>
      <c r="B1450" s="670" t="s">
        <v>2257</v>
      </c>
      <c r="C1450" s="670" t="s">
        <v>2258</v>
      </c>
      <c r="D1450" s="670" t="s">
        <v>5098</v>
      </c>
      <c r="E1450" s="670" t="s">
        <v>5099</v>
      </c>
      <c r="F1450" s="670">
        <v>229691.0</v>
      </c>
      <c r="G1450" s="670" t="s">
        <v>43</v>
      </c>
      <c r="H1450" s="670" t="s">
        <v>2261</v>
      </c>
      <c r="I1450" s="670" t="s">
        <v>2262</v>
      </c>
      <c r="J1450" s="671">
        <v>46234.0</v>
      </c>
    </row>
    <row r="1451">
      <c r="A1451" s="670">
        <v>1490.0</v>
      </c>
      <c r="B1451" s="670" t="s">
        <v>2257</v>
      </c>
      <c r="C1451" s="670" t="s">
        <v>2258</v>
      </c>
      <c r="D1451" s="670" t="s">
        <v>5100</v>
      </c>
      <c r="E1451" s="670" t="s">
        <v>5101</v>
      </c>
      <c r="F1451" s="670">
        <v>243202.0</v>
      </c>
      <c r="G1451" s="670" t="s">
        <v>43</v>
      </c>
      <c r="H1451" s="670" t="s">
        <v>2261</v>
      </c>
      <c r="I1451" s="670" t="s">
        <v>2262</v>
      </c>
      <c r="J1451" s="671">
        <v>46234.0</v>
      </c>
    </row>
    <row r="1452">
      <c r="A1452" s="670">
        <v>1491.0</v>
      </c>
      <c r="B1452" s="670" t="s">
        <v>2257</v>
      </c>
      <c r="C1452" s="670" t="s">
        <v>2258</v>
      </c>
      <c r="D1452" s="670" t="s">
        <v>5102</v>
      </c>
      <c r="E1452" s="670" t="s">
        <v>5103</v>
      </c>
      <c r="F1452" s="670">
        <v>243202.0</v>
      </c>
      <c r="G1452" s="670" t="s">
        <v>43</v>
      </c>
      <c r="H1452" s="670" t="s">
        <v>2261</v>
      </c>
      <c r="I1452" s="670" t="s">
        <v>2262</v>
      </c>
      <c r="J1452" s="671">
        <v>46234.0</v>
      </c>
    </row>
    <row r="1453">
      <c r="A1453" s="670">
        <v>1492.0</v>
      </c>
      <c r="B1453" s="670" t="s">
        <v>2257</v>
      </c>
      <c r="C1453" s="670" t="s">
        <v>2258</v>
      </c>
      <c r="D1453" s="670" t="s">
        <v>5104</v>
      </c>
      <c r="E1453" s="670" t="s">
        <v>5105</v>
      </c>
      <c r="F1453" s="670">
        <v>256713.0</v>
      </c>
      <c r="G1453" s="670" t="s">
        <v>43</v>
      </c>
      <c r="H1453" s="670" t="s">
        <v>2261</v>
      </c>
      <c r="I1453" s="670" t="s">
        <v>2262</v>
      </c>
      <c r="J1453" s="671">
        <v>46234.0</v>
      </c>
    </row>
    <row r="1454">
      <c r="A1454" s="670">
        <v>1493.0</v>
      </c>
      <c r="B1454" s="670" t="s">
        <v>2257</v>
      </c>
      <c r="C1454" s="670" t="s">
        <v>2258</v>
      </c>
      <c r="D1454" s="670" t="s">
        <v>5106</v>
      </c>
      <c r="E1454" s="670" t="s">
        <v>5107</v>
      </c>
      <c r="F1454" s="670">
        <v>270224.0</v>
      </c>
      <c r="G1454" s="670" t="s">
        <v>43</v>
      </c>
      <c r="H1454" s="670" t="s">
        <v>2261</v>
      </c>
      <c r="I1454" s="670" t="s">
        <v>2262</v>
      </c>
      <c r="J1454" s="671">
        <v>46234.0</v>
      </c>
    </row>
    <row r="1455">
      <c r="A1455" s="670">
        <v>1494.0</v>
      </c>
      <c r="B1455" s="670" t="s">
        <v>2257</v>
      </c>
      <c r="C1455" s="670" t="s">
        <v>2258</v>
      </c>
      <c r="D1455" s="670" t="s">
        <v>5108</v>
      </c>
      <c r="E1455" s="670" t="s">
        <v>5109</v>
      </c>
      <c r="F1455" s="670">
        <v>283735.0</v>
      </c>
      <c r="G1455" s="670" t="s">
        <v>43</v>
      </c>
      <c r="H1455" s="670" t="s">
        <v>2261</v>
      </c>
      <c r="I1455" s="670" t="s">
        <v>2262</v>
      </c>
      <c r="J1455" s="671">
        <v>46234.0</v>
      </c>
    </row>
    <row r="1456">
      <c r="A1456" s="670">
        <v>1495.0</v>
      </c>
      <c r="B1456" s="670" t="s">
        <v>2257</v>
      </c>
      <c r="C1456" s="670" t="s">
        <v>2258</v>
      </c>
      <c r="D1456" s="670" t="s">
        <v>5110</v>
      </c>
      <c r="E1456" s="670" t="s">
        <v>5111</v>
      </c>
      <c r="F1456" s="670">
        <v>297246.0</v>
      </c>
      <c r="G1456" s="670" t="s">
        <v>43</v>
      </c>
      <c r="H1456" s="670" t="s">
        <v>2261</v>
      </c>
      <c r="I1456" s="670" t="s">
        <v>2262</v>
      </c>
      <c r="J1456" s="671">
        <v>46234.0</v>
      </c>
    </row>
    <row r="1457">
      <c r="A1457" s="670">
        <v>1496.0</v>
      </c>
      <c r="B1457" s="670" t="s">
        <v>2257</v>
      </c>
      <c r="C1457" s="670" t="s">
        <v>2258</v>
      </c>
      <c r="D1457" s="670" t="s">
        <v>5112</v>
      </c>
      <c r="E1457" s="670" t="s">
        <v>5113</v>
      </c>
      <c r="F1457" s="670">
        <v>310757.0</v>
      </c>
      <c r="G1457" s="670" t="s">
        <v>43</v>
      </c>
      <c r="H1457" s="670" t="s">
        <v>2261</v>
      </c>
      <c r="I1457" s="670" t="s">
        <v>2262</v>
      </c>
      <c r="J1457" s="671">
        <v>46234.0</v>
      </c>
    </row>
    <row r="1458">
      <c r="A1458" s="670">
        <v>1497.0</v>
      </c>
      <c r="B1458" s="670" t="s">
        <v>2257</v>
      </c>
      <c r="C1458" s="670" t="s">
        <v>2258</v>
      </c>
      <c r="D1458" s="670" t="s">
        <v>5114</v>
      </c>
      <c r="E1458" s="670" t="s">
        <v>5115</v>
      </c>
      <c r="F1458" s="670">
        <v>324268.0</v>
      </c>
      <c r="G1458" s="670" t="s">
        <v>43</v>
      </c>
      <c r="H1458" s="670" t="s">
        <v>2261</v>
      </c>
      <c r="I1458" s="670" t="s">
        <v>2262</v>
      </c>
      <c r="J1458" s="671">
        <v>46234.0</v>
      </c>
    </row>
    <row r="1459">
      <c r="A1459" s="670">
        <v>1498.0</v>
      </c>
      <c r="B1459" s="670" t="s">
        <v>2257</v>
      </c>
      <c r="C1459" s="670" t="s">
        <v>2258</v>
      </c>
      <c r="D1459" s="670" t="s">
        <v>5116</v>
      </c>
      <c r="E1459" s="670" t="s">
        <v>5117</v>
      </c>
      <c r="F1459" s="670">
        <v>337780.0</v>
      </c>
      <c r="G1459" s="670" t="s">
        <v>43</v>
      </c>
      <c r="H1459" s="670" t="s">
        <v>2261</v>
      </c>
      <c r="I1459" s="670" t="s">
        <v>2262</v>
      </c>
      <c r="J1459" s="671">
        <v>46234.0</v>
      </c>
    </row>
    <row r="1460">
      <c r="A1460" s="670">
        <v>1499.0</v>
      </c>
      <c r="B1460" s="670" t="s">
        <v>2257</v>
      </c>
      <c r="C1460" s="670" t="s">
        <v>2258</v>
      </c>
      <c r="D1460" s="670" t="s">
        <v>5118</v>
      </c>
      <c r="E1460" s="670" t="s">
        <v>5119</v>
      </c>
      <c r="F1460" s="670">
        <v>351291.0</v>
      </c>
      <c r="G1460" s="670" t="s">
        <v>43</v>
      </c>
      <c r="H1460" s="670" t="s">
        <v>2261</v>
      </c>
      <c r="I1460" s="670" t="s">
        <v>2262</v>
      </c>
      <c r="J1460" s="671">
        <v>46234.0</v>
      </c>
    </row>
    <row r="1461">
      <c r="A1461" s="670">
        <v>1500.0</v>
      </c>
      <c r="B1461" s="670" t="s">
        <v>2257</v>
      </c>
      <c r="C1461" s="670" t="s">
        <v>2258</v>
      </c>
      <c r="D1461" s="670" t="s">
        <v>5120</v>
      </c>
      <c r="E1461" s="670" t="s">
        <v>5121</v>
      </c>
      <c r="F1461" s="670">
        <v>364802.0</v>
      </c>
      <c r="G1461" s="670" t="s">
        <v>43</v>
      </c>
      <c r="H1461" s="670" t="s">
        <v>2261</v>
      </c>
      <c r="I1461" s="670" t="s">
        <v>2262</v>
      </c>
      <c r="J1461" s="671">
        <v>46234.0</v>
      </c>
    </row>
    <row r="1462">
      <c r="A1462" s="670">
        <v>1501.0</v>
      </c>
      <c r="B1462" s="670" t="s">
        <v>2257</v>
      </c>
      <c r="C1462" s="670" t="s">
        <v>2258</v>
      </c>
      <c r="D1462" s="670" t="s">
        <v>5122</v>
      </c>
      <c r="E1462" s="670" t="s">
        <v>5123</v>
      </c>
      <c r="F1462" s="670">
        <v>378314.0</v>
      </c>
      <c r="G1462" s="670" t="s">
        <v>43</v>
      </c>
      <c r="H1462" s="670" t="s">
        <v>2261</v>
      </c>
      <c r="I1462" s="670" t="s">
        <v>2262</v>
      </c>
      <c r="J1462" s="671">
        <v>46234.0</v>
      </c>
    </row>
    <row r="1463">
      <c r="A1463" s="670">
        <v>1502.0</v>
      </c>
      <c r="B1463" s="670" t="s">
        <v>2257</v>
      </c>
      <c r="C1463" s="670" t="s">
        <v>2258</v>
      </c>
      <c r="D1463" s="670" t="s">
        <v>5124</v>
      </c>
      <c r="E1463" s="670" t="s">
        <v>5125</v>
      </c>
      <c r="F1463" s="670">
        <v>391825.0</v>
      </c>
      <c r="G1463" s="670" t="s">
        <v>43</v>
      </c>
      <c r="H1463" s="670" t="s">
        <v>2261</v>
      </c>
      <c r="I1463" s="670" t="s">
        <v>2262</v>
      </c>
      <c r="J1463" s="671">
        <v>46234.0</v>
      </c>
    </row>
    <row r="1464">
      <c r="A1464" s="670">
        <v>1503.0</v>
      </c>
      <c r="B1464" s="670" t="s">
        <v>2257</v>
      </c>
      <c r="C1464" s="670" t="s">
        <v>2258</v>
      </c>
      <c r="D1464" s="670" t="s">
        <v>5126</v>
      </c>
      <c r="E1464" s="670" t="s">
        <v>5127</v>
      </c>
      <c r="F1464" s="670">
        <v>405336.0</v>
      </c>
      <c r="G1464" s="670" t="s">
        <v>43</v>
      </c>
      <c r="H1464" s="670" t="s">
        <v>2261</v>
      </c>
      <c r="I1464" s="670" t="s">
        <v>2262</v>
      </c>
      <c r="J1464" s="671">
        <v>46234.0</v>
      </c>
    </row>
    <row r="1465">
      <c r="A1465" s="670">
        <v>1504.0</v>
      </c>
      <c r="B1465" s="670" t="s">
        <v>2257</v>
      </c>
      <c r="C1465" s="670" t="s">
        <v>2258</v>
      </c>
      <c r="D1465" s="670" t="s">
        <v>5128</v>
      </c>
      <c r="E1465" s="670" t="s">
        <v>5129</v>
      </c>
      <c r="F1465" s="670">
        <v>418847.0</v>
      </c>
      <c r="G1465" s="670" t="s">
        <v>43</v>
      </c>
      <c r="H1465" s="670" t="s">
        <v>2261</v>
      </c>
      <c r="I1465" s="670" t="s">
        <v>2262</v>
      </c>
      <c r="J1465" s="671">
        <v>46234.0</v>
      </c>
    </row>
    <row r="1466">
      <c r="A1466" s="670">
        <v>1505.0</v>
      </c>
      <c r="B1466" s="670" t="s">
        <v>2257</v>
      </c>
      <c r="C1466" s="670" t="s">
        <v>2258</v>
      </c>
      <c r="D1466" s="670" t="s">
        <v>5130</v>
      </c>
      <c r="E1466" s="670" t="s">
        <v>5131</v>
      </c>
      <c r="F1466" s="670">
        <v>432359.0</v>
      </c>
      <c r="G1466" s="670" t="s">
        <v>43</v>
      </c>
      <c r="H1466" s="670" t="s">
        <v>2261</v>
      </c>
      <c r="I1466" s="670" t="s">
        <v>2262</v>
      </c>
      <c r="J1466" s="671">
        <v>46234.0</v>
      </c>
    </row>
    <row r="1467">
      <c r="A1467" s="670">
        <v>1506.0</v>
      </c>
      <c r="B1467" s="670" t="s">
        <v>2257</v>
      </c>
      <c r="C1467" s="670" t="s">
        <v>2258</v>
      </c>
      <c r="D1467" s="670" t="s">
        <v>5132</v>
      </c>
      <c r="E1467" s="670" t="s">
        <v>5133</v>
      </c>
      <c r="F1467" s="670">
        <v>445870.0</v>
      </c>
      <c r="G1467" s="670" t="s">
        <v>43</v>
      </c>
      <c r="H1467" s="670" t="s">
        <v>2261</v>
      </c>
      <c r="I1467" s="670" t="s">
        <v>2262</v>
      </c>
      <c r="J1467" s="671">
        <v>46234.0</v>
      </c>
    </row>
    <row r="1468">
      <c r="A1468" s="670">
        <v>1507.0</v>
      </c>
      <c r="B1468" s="670" t="s">
        <v>2257</v>
      </c>
      <c r="C1468" s="670" t="s">
        <v>2258</v>
      </c>
      <c r="D1468" s="670" t="s">
        <v>5134</v>
      </c>
      <c r="E1468" s="670" t="s">
        <v>5135</v>
      </c>
      <c r="F1468" s="670">
        <v>459380.0</v>
      </c>
      <c r="G1468" s="670" t="s">
        <v>43</v>
      </c>
      <c r="H1468" s="670" t="s">
        <v>2261</v>
      </c>
      <c r="I1468" s="670" t="s">
        <v>2262</v>
      </c>
      <c r="J1468" s="671">
        <v>46234.0</v>
      </c>
    </row>
    <row r="1469">
      <c r="A1469" s="670">
        <v>1508.0</v>
      </c>
      <c r="B1469" s="670" t="s">
        <v>2257</v>
      </c>
      <c r="C1469" s="670" t="s">
        <v>2258</v>
      </c>
      <c r="D1469" s="670" t="s">
        <v>5136</v>
      </c>
      <c r="E1469" s="670" t="s">
        <v>5137</v>
      </c>
      <c r="F1469" s="670">
        <v>472891.0</v>
      </c>
      <c r="G1469" s="670" t="s">
        <v>43</v>
      </c>
      <c r="H1469" s="670" t="s">
        <v>2261</v>
      </c>
      <c r="I1469" s="670" t="s">
        <v>2262</v>
      </c>
      <c r="J1469" s="671">
        <v>46234.0</v>
      </c>
    </row>
    <row r="1470">
      <c r="A1470" s="670">
        <v>1509.0</v>
      </c>
      <c r="B1470" s="670" t="s">
        <v>2257</v>
      </c>
      <c r="C1470" s="670" t="s">
        <v>2258</v>
      </c>
      <c r="D1470" s="670" t="s">
        <v>5138</v>
      </c>
      <c r="E1470" s="670" t="s">
        <v>5139</v>
      </c>
      <c r="F1470" s="670">
        <v>486403.0</v>
      </c>
      <c r="G1470" s="670" t="s">
        <v>43</v>
      </c>
      <c r="H1470" s="670" t="s">
        <v>2261</v>
      </c>
      <c r="I1470" s="670" t="s">
        <v>2262</v>
      </c>
      <c r="J1470" s="671">
        <v>46234.0</v>
      </c>
    </row>
    <row r="1471">
      <c r="A1471" s="670">
        <v>1510.0</v>
      </c>
      <c r="B1471" s="670" t="s">
        <v>2257</v>
      </c>
      <c r="C1471" s="670" t="s">
        <v>2258</v>
      </c>
      <c r="D1471" s="670" t="s">
        <v>5140</v>
      </c>
      <c r="E1471" s="670" t="s">
        <v>5141</v>
      </c>
      <c r="F1471" s="670">
        <v>499914.0</v>
      </c>
      <c r="G1471" s="670" t="s">
        <v>43</v>
      </c>
      <c r="H1471" s="670" t="s">
        <v>2261</v>
      </c>
      <c r="I1471" s="670" t="s">
        <v>2262</v>
      </c>
      <c r="J1471" s="671">
        <v>46234.0</v>
      </c>
    </row>
    <row r="1472">
      <c r="A1472" s="670">
        <v>1511.0</v>
      </c>
      <c r="B1472" s="670" t="s">
        <v>2257</v>
      </c>
      <c r="C1472" s="670" t="s">
        <v>2258</v>
      </c>
      <c r="D1472" s="670" t="s">
        <v>5142</v>
      </c>
      <c r="E1472" s="670" t="s">
        <v>5143</v>
      </c>
      <c r="F1472" s="670">
        <v>513425.0</v>
      </c>
      <c r="G1472" s="670" t="s">
        <v>43</v>
      </c>
      <c r="H1472" s="670" t="s">
        <v>2261</v>
      </c>
      <c r="I1472" s="670" t="s">
        <v>2262</v>
      </c>
      <c r="J1472" s="671">
        <v>46234.0</v>
      </c>
    </row>
    <row r="1473">
      <c r="A1473" s="670">
        <v>1512.0</v>
      </c>
      <c r="B1473" s="670" t="s">
        <v>2257</v>
      </c>
      <c r="C1473" s="670" t="s">
        <v>2258</v>
      </c>
      <c r="D1473" s="670" t="s">
        <v>5144</v>
      </c>
      <c r="E1473" s="670" t="s">
        <v>5145</v>
      </c>
      <c r="F1473" s="670">
        <v>526936.0</v>
      </c>
      <c r="G1473" s="670" t="s">
        <v>43</v>
      </c>
      <c r="H1473" s="670" t="s">
        <v>2261</v>
      </c>
      <c r="I1473" s="670" t="s">
        <v>2262</v>
      </c>
      <c r="J1473" s="671">
        <v>46234.0</v>
      </c>
    </row>
    <row r="1474">
      <c r="A1474" s="670">
        <v>1513.0</v>
      </c>
      <c r="B1474" s="670" t="s">
        <v>2257</v>
      </c>
      <c r="C1474" s="670" t="s">
        <v>2258</v>
      </c>
      <c r="D1474" s="670" t="s">
        <v>5146</v>
      </c>
      <c r="E1474" s="670" t="s">
        <v>5147</v>
      </c>
      <c r="F1474" s="670">
        <v>540448.0</v>
      </c>
      <c r="G1474" s="670" t="s">
        <v>43</v>
      </c>
      <c r="H1474" s="670" t="s">
        <v>2261</v>
      </c>
      <c r="I1474" s="670" t="s">
        <v>2262</v>
      </c>
      <c r="J1474" s="671">
        <v>46234.0</v>
      </c>
    </row>
    <row r="1475">
      <c r="A1475" s="670">
        <v>1514.0</v>
      </c>
      <c r="B1475" s="670" t="s">
        <v>2257</v>
      </c>
      <c r="C1475" s="670" t="s">
        <v>2258</v>
      </c>
      <c r="D1475" s="670" t="s">
        <v>5148</v>
      </c>
      <c r="E1475" s="670" t="s">
        <v>5149</v>
      </c>
      <c r="F1475" s="670">
        <v>553959.0</v>
      </c>
      <c r="G1475" s="670" t="s">
        <v>43</v>
      </c>
      <c r="H1475" s="670" t="s">
        <v>2261</v>
      </c>
      <c r="I1475" s="670" t="s">
        <v>2262</v>
      </c>
      <c r="J1475" s="671">
        <v>46234.0</v>
      </c>
    </row>
    <row r="1476">
      <c r="A1476" s="670">
        <v>1515.0</v>
      </c>
      <c r="B1476" s="670" t="s">
        <v>2257</v>
      </c>
      <c r="C1476" s="670" t="s">
        <v>2258</v>
      </c>
      <c r="D1476" s="670" t="s">
        <v>5150</v>
      </c>
      <c r="E1476" s="670" t="s">
        <v>5151</v>
      </c>
      <c r="F1476" s="670">
        <v>567470.0</v>
      </c>
      <c r="G1476" s="670" t="s">
        <v>43</v>
      </c>
      <c r="H1476" s="670" t="s">
        <v>2261</v>
      </c>
      <c r="I1476" s="670" t="s">
        <v>2262</v>
      </c>
      <c r="J1476" s="671">
        <v>46234.0</v>
      </c>
    </row>
    <row r="1477">
      <c r="A1477" s="670">
        <v>1516.0</v>
      </c>
      <c r="B1477" s="670" t="s">
        <v>2257</v>
      </c>
      <c r="C1477" s="670" t="s">
        <v>2258</v>
      </c>
      <c r="D1477" s="670" t="s">
        <v>5152</v>
      </c>
      <c r="E1477" s="670" t="s">
        <v>5153</v>
      </c>
      <c r="F1477" s="670">
        <v>580982.0</v>
      </c>
      <c r="G1477" s="670" t="s">
        <v>43</v>
      </c>
      <c r="H1477" s="670" t="s">
        <v>2261</v>
      </c>
      <c r="I1477" s="670" t="s">
        <v>2262</v>
      </c>
      <c r="J1477" s="671">
        <v>46234.0</v>
      </c>
    </row>
    <row r="1478">
      <c r="A1478" s="670">
        <v>1517.0</v>
      </c>
      <c r="B1478" s="670" t="s">
        <v>2257</v>
      </c>
      <c r="C1478" s="670" t="s">
        <v>2258</v>
      </c>
      <c r="D1478" s="670" t="s">
        <v>5154</v>
      </c>
      <c r="E1478" s="670" t="s">
        <v>5155</v>
      </c>
      <c r="F1478" s="670">
        <v>594493.0</v>
      </c>
      <c r="G1478" s="670" t="s">
        <v>43</v>
      </c>
      <c r="H1478" s="670" t="s">
        <v>2261</v>
      </c>
      <c r="I1478" s="670" t="s">
        <v>2262</v>
      </c>
      <c r="J1478" s="671">
        <v>46234.0</v>
      </c>
    </row>
    <row r="1479">
      <c r="A1479" s="670">
        <v>1518.0</v>
      </c>
      <c r="B1479" s="670" t="s">
        <v>2257</v>
      </c>
      <c r="C1479" s="670" t="s">
        <v>2258</v>
      </c>
      <c r="D1479" s="670" t="s">
        <v>5156</v>
      </c>
      <c r="E1479" s="670" t="s">
        <v>5157</v>
      </c>
      <c r="F1479" s="670">
        <v>608004.0</v>
      </c>
      <c r="G1479" s="670" t="s">
        <v>43</v>
      </c>
      <c r="H1479" s="670" t="s">
        <v>2261</v>
      </c>
      <c r="I1479" s="670" t="s">
        <v>2262</v>
      </c>
      <c r="J1479" s="671">
        <v>46234.0</v>
      </c>
    </row>
    <row r="1480">
      <c r="A1480" s="670">
        <v>1519.0</v>
      </c>
      <c r="B1480" s="670" t="s">
        <v>2257</v>
      </c>
      <c r="C1480" s="670" t="s">
        <v>2258</v>
      </c>
      <c r="D1480" s="670" t="s">
        <v>5158</v>
      </c>
      <c r="E1480" s="670" t="s">
        <v>5159</v>
      </c>
      <c r="F1480" s="670">
        <v>860000.0</v>
      </c>
      <c r="G1480" s="670" t="s">
        <v>43</v>
      </c>
      <c r="H1480" s="670" t="s">
        <v>2261</v>
      </c>
      <c r="I1480" s="670" t="s">
        <v>2262</v>
      </c>
      <c r="J1480" s="671">
        <v>46234.0</v>
      </c>
    </row>
    <row r="1481">
      <c r="A1481" s="670">
        <v>1520.0</v>
      </c>
      <c r="B1481" s="670" t="s">
        <v>2257</v>
      </c>
      <c r="C1481" s="670" t="s">
        <v>2258</v>
      </c>
      <c r="D1481" s="670" t="s">
        <v>5160</v>
      </c>
      <c r="E1481" s="670" t="s">
        <v>5161</v>
      </c>
      <c r="F1481" s="670">
        <v>76728.0</v>
      </c>
      <c r="G1481" s="670" t="s">
        <v>43</v>
      </c>
      <c r="H1481" s="670" t="s">
        <v>2261</v>
      </c>
      <c r="I1481" s="670" t="s">
        <v>2262</v>
      </c>
      <c r="J1481" s="671">
        <v>46234.0</v>
      </c>
    </row>
    <row r="1482">
      <c r="A1482" s="670">
        <v>1521.0</v>
      </c>
      <c r="B1482" s="670" t="s">
        <v>2257</v>
      </c>
      <c r="C1482" s="670" t="s">
        <v>2258</v>
      </c>
      <c r="D1482" s="670" t="s">
        <v>5162</v>
      </c>
      <c r="E1482" s="670" t="s">
        <v>5163</v>
      </c>
      <c r="F1482" s="670">
        <v>153457.0</v>
      </c>
      <c r="G1482" s="670" t="s">
        <v>43</v>
      </c>
      <c r="H1482" s="670" t="s">
        <v>2261</v>
      </c>
      <c r="I1482" s="670" t="s">
        <v>2262</v>
      </c>
      <c r="J1482" s="671">
        <v>46234.0</v>
      </c>
    </row>
    <row r="1483">
      <c r="A1483" s="670">
        <v>1522.0</v>
      </c>
      <c r="B1483" s="670" t="s">
        <v>2257</v>
      </c>
      <c r="C1483" s="670" t="s">
        <v>2258</v>
      </c>
      <c r="D1483" s="670" t="s">
        <v>5164</v>
      </c>
      <c r="E1483" s="670" t="s">
        <v>5165</v>
      </c>
      <c r="F1483" s="670">
        <v>221250.0</v>
      </c>
      <c r="G1483" s="670" t="s">
        <v>43</v>
      </c>
      <c r="H1483" s="670" t="s">
        <v>2261</v>
      </c>
      <c r="I1483" s="670" t="s">
        <v>2262</v>
      </c>
      <c r="J1483" s="671">
        <v>46234.0</v>
      </c>
    </row>
    <row r="1484">
      <c r="A1484" s="670">
        <v>1523.0</v>
      </c>
      <c r="B1484" s="670" t="s">
        <v>2257</v>
      </c>
      <c r="C1484" s="670" t="s">
        <v>2258</v>
      </c>
      <c r="D1484" s="670" t="s">
        <v>5166</v>
      </c>
      <c r="E1484" s="670" t="s">
        <v>5167</v>
      </c>
      <c r="F1484" s="670">
        <v>222500.0</v>
      </c>
      <c r="G1484" s="670" t="s">
        <v>43</v>
      </c>
      <c r="H1484" s="670" t="s">
        <v>2261</v>
      </c>
      <c r="I1484" s="670" t="s">
        <v>2262</v>
      </c>
      <c r="J1484" s="671">
        <v>46234.0</v>
      </c>
    </row>
    <row r="1485">
      <c r="A1485" s="670">
        <v>1524.0</v>
      </c>
      <c r="B1485" s="670" t="s">
        <v>2257</v>
      </c>
      <c r="C1485" s="670" t="s">
        <v>2258</v>
      </c>
      <c r="D1485" s="670" t="s">
        <v>5168</v>
      </c>
      <c r="E1485" s="670" t="s">
        <v>5169</v>
      </c>
      <c r="F1485" s="670">
        <v>255810.0</v>
      </c>
      <c r="G1485" s="670" t="s">
        <v>43</v>
      </c>
      <c r="H1485" s="670" t="s">
        <v>2261</v>
      </c>
      <c r="I1485" s="670" t="s">
        <v>2262</v>
      </c>
      <c r="J1485" s="671">
        <v>46234.0</v>
      </c>
    </row>
    <row r="1486">
      <c r="A1486" s="670">
        <v>1525.0</v>
      </c>
      <c r="B1486" s="670" t="s">
        <v>2257</v>
      </c>
      <c r="C1486" s="670" t="s">
        <v>2258</v>
      </c>
      <c r="D1486" s="670" t="s">
        <v>5170</v>
      </c>
      <c r="E1486" s="670" t="s">
        <v>5171</v>
      </c>
      <c r="F1486" s="670">
        <v>299650.0</v>
      </c>
      <c r="G1486" s="670" t="s">
        <v>43</v>
      </c>
      <c r="H1486" s="670" t="s">
        <v>2261</v>
      </c>
      <c r="I1486" s="670" t="s">
        <v>2262</v>
      </c>
      <c r="J1486" s="671">
        <v>46234.0</v>
      </c>
    </row>
    <row r="1487">
      <c r="A1487" s="670">
        <v>1526.0</v>
      </c>
      <c r="B1487" s="670" t="s">
        <v>2257</v>
      </c>
      <c r="C1487" s="670" t="s">
        <v>2258</v>
      </c>
      <c r="D1487" s="670" t="s">
        <v>5172</v>
      </c>
      <c r="E1487" s="670" t="s">
        <v>5173</v>
      </c>
      <c r="F1487" s="670">
        <v>334722.0</v>
      </c>
      <c r="G1487" s="670" t="s">
        <v>43</v>
      </c>
      <c r="H1487" s="670" t="s">
        <v>2261</v>
      </c>
      <c r="I1487" s="670" t="s">
        <v>2262</v>
      </c>
      <c r="J1487" s="671">
        <v>46234.0</v>
      </c>
    </row>
    <row r="1488">
      <c r="A1488" s="670">
        <v>1527.0</v>
      </c>
      <c r="B1488" s="670" t="s">
        <v>2257</v>
      </c>
      <c r="C1488" s="670" t="s">
        <v>2258</v>
      </c>
      <c r="D1488" s="670" t="s">
        <v>5174</v>
      </c>
      <c r="E1488" s="670" t="s">
        <v>5175</v>
      </c>
      <c r="F1488" s="670">
        <v>337445.0</v>
      </c>
      <c r="G1488" s="670" t="s">
        <v>43</v>
      </c>
      <c r="H1488" s="670" t="s">
        <v>2261</v>
      </c>
      <c r="I1488" s="670" t="s">
        <v>2262</v>
      </c>
      <c r="J1488" s="671">
        <v>46234.0</v>
      </c>
    </row>
    <row r="1489">
      <c r="A1489" s="670">
        <v>1528.0</v>
      </c>
      <c r="B1489" s="670" t="s">
        <v>2257</v>
      </c>
      <c r="C1489" s="670" t="s">
        <v>2258</v>
      </c>
      <c r="D1489" s="670" t="s">
        <v>5176</v>
      </c>
      <c r="E1489" s="670" t="s">
        <v>5177</v>
      </c>
      <c r="F1489" s="670">
        <v>388231.0</v>
      </c>
      <c r="G1489" s="670" t="s">
        <v>43</v>
      </c>
      <c r="H1489" s="670" t="s">
        <v>2261</v>
      </c>
      <c r="I1489" s="670" t="s">
        <v>2262</v>
      </c>
      <c r="J1489" s="671">
        <v>46234.0</v>
      </c>
    </row>
    <row r="1490">
      <c r="A1490" s="670">
        <v>1529.0</v>
      </c>
      <c r="B1490" s="670" t="s">
        <v>2257</v>
      </c>
      <c r="C1490" s="670" t="s">
        <v>2258</v>
      </c>
      <c r="D1490" s="670" t="s">
        <v>5178</v>
      </c>
      <c r="E1490" s="670" t="s">
        <v>5179</v>
      </c>
      <c r="F1490" s="670">
        <v>399550.0</v>
      </c>
      <c r="G1490" s="670" t="s">
        <v>43</v>
      </c>
      <c r="H1490" s="670" t="s">
        <v>2261</v>
      </c>
      <c r="I1490" s="670" t="s">
        <v>2262</v>
      </c>
      <c r="J1490" s="671">
        <v>46234.0</v>
      </c>
    </row>
    <row r="1491">
      <c r="A1491" s="670">
        <v>1530.0</v>
      </c>
      <c r="B1491" s="670" t="s">
        <v>2257</v>
      </c>
      <c r="C1491" s="670" t="s">
        <v>2258</v>
      </c>
      <c r="D1491" s="670" t="s">
        <v>5180</v>
      </c>
      <c r="E1491" s="670" t="s">
        <v>5181</v>
      </c>
      <c r="F1491" s="670">
        <v>533445.0</v>
      </c>
      <c r="G1491" s="670" t="s">
        <v>43</v>
      </c>
      <c r="H1491" s="670" t="s">
        <v>2261</v>
      </c>
      <c r="I1491" s="670" t="s">
        <v>2262</v>
      </c>
      <c r="J1491" s="671">
        <v>46234.0</v>
      </c>
    </row>
    <row r="1492">
      <c r="A1492" s="670">
        <v>1531.0</v>
      </c>
      <c r="B1492" s="670" t="s">
        <v>2257</v>
      </c>
      <c r="C1492" s="670" t="s">
        <v>2258</v>
      </c>
      <c r="D1492" s="670" t="s">
        <v>5182</v>
      </c>
      <c r="E1492" s="670" t="s">
        <v>5183</v>
      </c>
      <c r="F1492" s="670">
        <v>533445.0</v>
      </c>
      <c r="G1492" s="670" t="s">
        <v>43</v>
      </c>
      <c r="H1492" s="670" t="s">
        <v>2261</v>
      </c>
      <c r="I1492" s="670" t="s">
        <v>2262</v>
      </c>
      <c r="J1492" s="671">
        <v>46234.0</v>
      </c>
    </row>
    <row r="1493">
      <c r="A1493" s="670">
        <v>1532.0</v>
      </c>
      <c r="B1493" s="670" t="s">
        <v>2257</v>
      </c>
      <c r="C1493" s="670" t="s">
        <v>2258</v>
      </c>
      <c r="D1493" s="670" t="s">
        <v>5184</v>
      </c>
      <c r="E1493" s="670" t="s">
        <v>5185</v>
      </c>
      <c r="F1493" s="670">
        <v>533445.0</v>
      </c>
      <c r="G1493" s="670" t="s">
        <v>43</v>
      </c>
      <c r="H1493" s="670" t="s">
        <v>2261</v>
      </c>
      <c r="I1493" s="670" t="s">
        <v>2262</v>
      </c>
      <c r="J1493" s="671">
        <v>46234.0</v>
      </c>
    </row>
    <row r="1494">
      <c r="A1494" s="670">
        <v>1533.0</v>
      </c>
      <c r="B1494" s="670" t="s">
        <v>2257</v>
      </c>
      <c r="C1494" s="670" t="s">
        <v>2258</v>
      </c>
      <c r="D1494" s="670" t="s">
        <v>5186</v>
      </c>
      <c r="E1494" s="670" t="s">
        <v>5187</v>
      </c>
      <c r="F1494" s="670">
        <v>533445.0</v>
      </c>
      <c r="G1494" s="670" t="s">
        <v>43</v>
      </c>
      <c r="H1494" s="670" t="s">
        <v>2261</v>
      </c>
      <c r="I1494" s="670" t="s">
        <v>2262</v>
      </c>
      <c r="J1494" s="671">
        <v>46234.0</v>
      </c>
    </row>
    <row r="1495">
      <c r="A1495" s="670">
        <v>1534.0</v>
      </c>
      <c r="B1495" s="670" t="s">
        <v>2257</v>
      </c>
      <c r="C1495" s="670" t="s">
        <v>2258</v>
      </c>
      <c r="D1495" s="670" t="s">
        <v>5188</v>
      </c>
      <c r="E1495" s="670" t="s">
        <v>5189</v>
      </c>
      <c r="F1495" s="670">
        <v>533445.0</v>
      </c>
      <c r="G1495" s="670" t="s">
        <v>43</v>
      </c>
      <c r="H1495" s="670" t="s">
        <v>2261</v>
      </c>
      <c r="I1495" s="670" t="s">
        <v>2262</v>
      </c>
      <c r="J1495" s="671">
        <v>46234.0</v>
      </c>
    </row>
    <row r="1496">
      <c r="A1496" s="670">
        <v>1535.0</v>
      </c>
      <c r="B1496" s="670" t="s">
        <v>2257</v>
      </c>
      <c r="C1496" s="670" t="s">
        <v>2258</v>
      </c>
      <c r="D1496" s="670" t="s">
        <v>5190</v>
      </c>
      <c r="E1496" s="670" t="s">
        <v>5191</v>
      </c>
      <c r="F1496" s="670">
        <v>533445.0</v>
      </c>
      <c r="G1496" s="670" t="s">
        <v>43</v>
      </c>
      <c r="H1496" s="670" t="s">
        <v>2261</v>
      </c>
      <c r="I1496" s="670" t="s">
        <v>2262</v>
      </c>
      <c r="J1496" s="671">
        <v>46234.0</v>
      </c>
    </row>
    <row r="1497">
      <c r="A1497" s="670">
        <v>1536.0</v>
      </c>
      <c r="B1497" s="670" t="s">
        <v>2257</v>
      </c>
      <c r="C1497" s="670" t="s">
        <v>2258</v>
      </c>
      <c r="D1497" s="670" t="s">
        <v>5192</v>
      </c>
      <c r="E1497" s="670" t="s">
        <v>5193</v>
      </c>
      <c r="F1497" s="670">
        <v>564350.0</v>
      </c>
      <c r="G1497" s="670" t="s">
        <v>43</v>
      </c>
      <c r="H1497" s="670" t="s">
        <v>2261</v>
      </c>
      <c r="I1497" s="670" t="s">
        <v>2262</v>
      </c>
      <c r="J1497" s="671">
        <v>46234.0</v>
      </c>
    </row>
    <row r="1498">
      <c r="A1498" s="670">
        <v>1537.0</v>
      </c>
      <c r="B1498" s="670" t="s">
        <v>2257</v>
      </c>
      <c r="C1498" s="670" t="s">
        <v>2258</v>
      </c>
      <c r="D1498" s="670" t="s">
        <v>5194</v>
      </c>
      <c r="E1498" s="670" t="s">
        <v>5195</v>
      </c>
      <c r="F1498" s="670">
        <v>564350.0</v>
      </c>
      <c r="G1498" s="670" t="s">
        <v>43</v>
      </c>
      <c r="H1498" s="670" t="s">
        <v>2261</v>
      </c>
      <c r="I1498" s="670" t="s">
        <v>2262</v>
      </c>
      <c r="J1498" s="671">
        <v>46234.0</v>
      </c>
    </row>
    <row r="1499">
      <c r="A1499" s="670">
        <v>1538.0</v>
      </c>
      <c r="B1499" s="670" t="s">
        <v>2257</v>
      </c>
      <c r="C1499" s="670" t="s">
        <v>2258</v>
      </c>
      <c r="D1499" s="670" t="s">
        <v>5196</v>
      </c>
      <c r="E1499" s="670" t="s">
        <v>5197</v>
      </c>
      <c r="F1499" s="670">
        <v>564350.0</v>
      </c>
      <c r="G1499" s="670" t="s">
        <v>43</v>
      </c>
      <c r="H1499" s="670" t="s">
        <v>2261</v>
      </c>
      <c r="I1499" s="670" t="s">
        <v>2262</v>
      </c>
      <c r="J1499" s="671">
        <v>46234.0</v>
      </c>
    </row>
    <row r="1500">
      <c r="A1500" s="670">
        <v>1539.0</v>
      </c>
      <c r="B1500" s="670" t="s">
        <v>2257</v>
      </c>
      <c r="C1500" s="670" t="s">
        <v>2258</v>
      </c>
      <c r="D1500" s="670" t="s">
        <v>5198</v>
      </c>
      <c r="E1500" s="670" t="s">
        <v>5199</v>
      </c>
      <c r="F1500" s="670">
        <v>564350.0</v>
      </c>
      <c r="G1500" s="670" t="s">
        <v>43</v>
      </c>
      <c r="H1500" s="670" t="s">
        <v>2261</v>
      </c>
      <c r="I1500" s="670" t="s">
        <v>2262</v>
      </c>
      <c r="J1500" s="671">
        <v>46234.0</v>
      </c>
    </row>
    <row r="1501">
      <c r="A1501" s="670">
        <v>1540.0</v>
      </c>
      <c r="B1501" s="670" t="s">
        <v>2257</v>
      </c>
      <c r="C1501" s="670" t="s">
        <v>2258</v>
      </c>
      <c r="D1501" s="670" t="s">
        <v>5200</v>
      </c>
      <c r="E1501" s="670" t="s">
        <v>5201</v>
      </c>
      <c r="F1501" s="670">
        <v>564350.0</v>
      </c>
      <c r="G1501" s="670" t="s">
        <v>43</v>
      </c>
      <c r="H1501" s="670" t="s">
        <v>2261</v>
      </c>
      <c r="I1501" s="670" t="s">
        <v>2262</v>
      </c>
      <c r="J1501" s="671">
        <v>46234.0</v>
      </c>
    </row>
    <row r="1502">
      <c r="A1502" s="670">
        <v>1541.0</v>
      </c>
      <c r="B1502" s="670" t="s">
        <v>2257</v>
      </c>
      <c r="C1502" s="670" t="s">
        <v>2258</v>
      </c>
      <c r="D1502" s="670" t="s">
        <v>5202</v>
      </c>
      <c r="E1502" s="670" t="s">
        <v>5203</v>
      </c>
      <c r="F1502" s="670">
        <v>705800.0</v>
      </c>
      <c r="G1502" s="670" t="s">
        <v>43</v>
      </c>
      <c r="H1502" s="670" t="s">
        <v>2261</v>
      </c>
      <c r="I1502" s="670" t="s">
        <v>2262</v>
      </c>
      <c r="J1502" s="671">
        <v>46234.0</v>
      </c>
    </row>
    <row r="1503">
      <c r="A1503" s="670">
        <v>1542.0</v>
      </c>
      <c r="B1503" s="670" t="s">
        <v>2257</v>
      </c>
      <c r="C1503" s="670" t="s">
        <v>2258</v>
      </c>
      <c r="D1503" s="670" t="s">
        <v>5204</v>
      </c>
      <c r="E1503" s="670" t="s">
        <v>5205</v>
      </c>
      <c r="F1503" s="670">
        <v>705800.0</v>
      </c>
      <c r="G1503" s="670" t="s">
        <v>43</v>
      </c>
      <c r="H1503" s="670" t="s">
        <v>2261</v>
      </c>
      <c r="I1503" s="670" t="s">
        <v>2262</v>
      </c>
      <c r="J1503" s="671">
        <v>46234.0</v>
      </c>
    </row>
    <row r="1504">
      <c r="A1504" s="670">
        <v>1543.0</v>
      </c>
      <c r="B1504" s="670" t="s">
        <v>2257</v>
      </c>
      <c r="C1504" s="670" t="s">
        <v>2258</v>
      </c>
      <c r="D1504" s="670" t="s">
        <v>5206</v>
      </c>
      <c r="E1504" s="670" t="s">
        <v>5207</v>
      </c>
      <c r="F1504" s="670">
        <v>705800.0</v>
      </c>
      <c r="G1504" s="670" t="s">
        <v>43</v>
      </c>
      <c r="H1504" s="670" t="s">
        <v>2261</v>
      </c>
      <c r="I1504" s="670" t="s">
        <v>2262</v>
      </c>
      <c r="J1504" s="671">
        <v>46234.0</v>
      </c>
    </row>
    <row r="1505">
      <c r="A1505" s="670">
        <v>1544.0</v>
      </c>
      <c r="B1505" s="670" t="s">
        <v>2257</v>
      </c>
      <c r="C1505" s="670" t="s">
        <v>2258</v>
      </c>
      <c r="D1505" s="670" t="s">
        <v>5208</v>
      </c>
      <c r="E1505" s="670" t="s">
        <v>5209</v>
      </c>
      <c r="F1505" s="670">
        <v>705800.0</v>
      </c>
      <c r="G1505" s="670" t="s">
        <v>43</v>
      </c>
      <c r="H1505" s="670" t="s">
        <v>2261</v>
      </c>
      <c r="I1505" s="670" t="s">
        <v>2262</v>
      </c>
      <c r="J1505" s="671">
        <v>46234.0</v>
      </c>
    </row>
    <row r="1506">
      <c r="A1506" s="670">
        <v>1545.0</v>
      </c>
      <c r="B1506" s="670" t="s">
        <v>2257</v>
      </c>
      <c r="C1506" s="670" t="s">
        <v>2258</v>
      </c>
      <c r="D1506" s="670" t="s">
        <v>5210</v>
      </c>
      <c r="E1506" s="670" t="s">
        <v>5211</v>
      </c>
      <c r="F1506" s="670">
        <v>705800.0</v>
      </c>
      <c r="G1506" s="670" t="s">
        <v>43</v>
      </c>
      <c r="H1506" s="670" t="s">
        <v>2261</v>
      </c>
      <c r="I1506" s="670" t="s">
        <v>2262</v>
      </c>
      <c r="J1506" s="671">
        <v>46234.0</v>
      </c>
    </row>
    <row r="1507">
      <c r="A1507" s="670">
        <v>1546.0</v>
      </c>
      <c r="B1507" s="670" t="s">
        <v>2257</v>
      </c>
      <c r="C1507" s="670" t="s">
        <v>2258</v>
      </c>
      <c r="D1507" s="670" t="s">
        <v>5212</v>
      </c>
      <c r="E1507" s="670" t="s">
        <v>5213</v>
      </c>
      <c r="F1507" s="670">
        <v>1994937.0</v>
      </c>
      <c r="G1507" s="670" t="s">
        <v>43</v>
      </c>
      <c r="H1507" s="670" t="s">
        <v>2261</v>
      </c>
      <c r="I1507" s="670" t="s">
        <v>2262</v>
      </c>
      <c r="J1507" s="671">
        <v>46234.0</v>
      </c>
    </row>
    <row r="1508">
      <c r="A1508" s="670">
        <v>1547.0</v>
      </c>
      <c r="B1508" s="670" t="s">
        <v>2257</v>
      </c>
      <c r="C1508" s="670" t="s">
        <v>2258</v>
      </c>
      <c r="D1508" s="670" t="s">
        <v>5214</v>
      </c>
      <c r="E1508" s="670" t="s">
        <v>5215</v>
      </c>
      <c r="F1508" s="670">
        <v>2071666.0</v>
      </c>
      <c r="G1508" s="670" t="s">
        <v>43</v>
      </c>
      <c r="H1508" s="670" t="s">
        <v>2261</v>
      </c>
      <c r="I1508" s="670" t="s">
        <v>2262</v>
      </c>
      <c r="J1508" s="671">
        <v>46234.0</v>
      </c>
    </row>
    <row r="1509">
      <c r="A1509" s="670">
        <v>1548.0</v>
      </c>
      <c r="B1509" s="670" t="s">
        <v>2257</v>
      </c>
      <c r="C1509" s="670" t="s">
        <v>2258</v>
      </c>
      <c r="D1509" s="670" t="s">
        <v>5216</v>
      </c>
      <c r="E1509" s="670" t="s">
        <v>5217</v>
      </c>
      <c r="F1509" s="670">
        <v>2148394.0</v>
      </c>
      <c r="G1509" s="670" t="s">
        <v>43</v>
      </c>
      <c r="H1509" s="670" t="s">
        <v>2261</v>
      </c>
      <c r="I1509" s="670" t="s">
        <v>2262</v>
      </c>
      <c r="J1509" s="671">
        <v>46234.0</v>
      </c>
    </row>
    <row r="1510">
      <c r="A1510" s="670">
        <v>1549.0</v>
      </c>
      <c r="B1510" s="670" t="s">
        <v>2257</v>
      </c>
      <c r="C1510" s="670" t="s">
        <v>2258</v>
      </c>
      <c r="D1510" s="670" t="s">
        <v>5218</v>
      </c>
      <c r="E1510" s="670" t="s">
        <v>5219</v>
      </c>
      <c r="F1510" s="670">
        <v>2225123.0</v>
      </c>
      <c r="G1510" s="670" t="s">
        <v>43</v>
      </c>
      <c r="H1510" s="670" t="s">
        <v>2261</v>
      </c>
      <c r="I1510" s="670" t="s">
        <v>2262</v>
      </c>
      <c r="J1510" s="671">
        <v>46234.0</v>
      </c>
    </row>
    <row r="1511">
      <c r="A1511" s="670">
        <v>1550.0</v>
      </c>
      <c r="B1511" s="670" t="s">
        <v>2257</v>
      </c>
      <c r="C1511" s="670" t="s">
        <v>2258</v>
      </c>
      <c r="D1511" s="670" t="s">
        <v>5220</v>
      </c>
      <c r="E1511" s="670" t="s">
        <v>5221</v>
      </c>
      <c r="F1511" s="670">
        <v>2301850.0</v>
      </c>
      <c r="G1511" s="670" t="s">
        <v>43</v>
      </c>
      <c r="H1511" s="670" t="s">
        <v>2261</v>
      </c>
      <c r="I1511" s="670" t="s">
        <v>2262</v>
      </c>
      <c r="J1511" s="671">
        <v>46234.0</v>
      </c>
    </row>
    <row r="1512">
      <c r="A1512" s="670">
        <v>1551.0</v>
      </c>
      <c r="B1512" s="670" t="s">
        <v>2257</v>
      </c>
      <c r="C1512" s="670" t="s">
        <v>2258</v>
      </c>
      <c r="D1512" s="670" t="s">
        <v>5222</v>
      </c>
      <c r="E1512" s="670" t="s">
        <v>5223</v>
      </c>
      <c r="F1512" s="670">
        <v>783590.0</v>
      </c>
      <c r="G1512" s="670" t="s">
        <v>43</v>
      </c>
      <c r="H1512" s="670" t="s">
        <v>2261</v>
      </c>
      <c r="I1512" s="670" t="s">
        <v>2262</v>
      </c>
      <c r="J1512" s="671">
        <v>46234.0</v>
      </c>
    </row>
    <row r="1513">
      <c r="A1513" s="670">
        <v>1552.0</v>
      </c>
      <c r="B1513" s="670" t="s">
        <v>2257</v>
      </c>
      <c r="C1513" s="670" t="s">
        <v>2258</v>
      </c>
      <c r="D1513" s="670" t="s">
        <v>5224</v>
      </c>
      <c r="E1513" s="670" t="s">
        <v>5225</v>
      </c>
      <c r="F1513" s="670">
        <v>783590.0</v>
      </c>
      <c r="G1513" s="670" t="s">
        <v>43</v>
      </c>
      <c r="H1513" s="670" t="s">
        <v>2261</v>
      </c>
      <c r="I1513" s="670" t="s">
        <v>2262</v>
      </c>
      <c r="J1513" s="671">
        <v>46234.0</v>
      </c>
    </row>
    <row r="1514">
      <c r="A1514" s="670">
        <v>1553.0</v>
      </c>
      <c r="B1514" s="670" t="s">
        <v>2257</v>
      </c>
      <c r="C1514" s="670" t="s">
        <v>2258</v>
      </c>
      <c r="D1514" s="670" t="s">
        <v>5226</v>
      </c>
      <c r="E1514" s="670" t="s">
        <v>5227</v>
      </c>
      <c r="F1514" s="670">
        <v>783590.0</v>
      </c>
      <c r="G1514" s="670" t="s">
        <v>43</v>
      </c>
      <c r="H1514" s="670" t="s">
        <v>2261</v>
      </c>
      <c r="I1514" s="670" t="s">
        <v>2262</v>
      </c>
      <c r="J1514" s="671">
        <v>46234.0</v>
      </c>
    </row>
    <row r="1515">
      <c r="A1515" s="670">
        <v>1554.0</v>
      </c>
      <c r="B1515" s="670" t="s">
        <v>2257</v>
      </c>
      <c r="C1515" s="670" t="s">
        <v>2258</v>
      </c>
      <c r="D1515" s="670" t="s">
        <v>5228</v>
      </c>
      <c r="E1515" s="670" t="s">
        <v>5229</v>
      </c>
      <c r="F1515" s="670">
        <v>783590.0</v>
      </c>
      <c r="G1515" s="670" t="s">
        <v>43</v>
      </c>
      <c r="H1515" s="670" t="s">
        <v>2261</v>
      </c>
      <c r="I1515" s="670" t="s">
        <v>2262</v>
      </c>
      <c r="J1515" s="671">
        <v>46234.0</v>
      </c>
    </row>
    <row r="1516">
      <c r="A1516" s="670">
        <v>1555.0</v>
      </c>
      <c r="B1516" s="670" t="s">
        <v>2257</v>
      </c>
      <c r="C1516" s="670" t="s">
        <v>2258</v>
      </c>
      <c r="D1516" s="670" t="s">
        <v>5230</v>
      </c>
      <c r="E1516" s="670" t="s">
        <v>5231</v>
      </c>
      <c r="F1516" s="670">
        <v>783590.0</v>
      </c>
      <c r="G1516" s="670" t="s">
        <v>43</v>
      </c>
      <c r="H1516" s="670" t="s">
        <v>2261</v>
      </c>
      <c r="I1516" s="670" t="s">
        <v>2262</v>
      </c>
      <c r="J1516" s="671">
        <v>46234.0</v>
      </c>
    </row>
    <row r="1517">
      <c r="A1517" s="670">
        <v>1556.0</v>
      </c>
      <c r="B1517" s="670" t="s">
        <v>2257</v>
      </c>
      <c r="C1517" s="670" t="s">
        <v>2258</v>
      </c>
      <c r="D1517" s="670" t="s">
        <v>5232</v>
      </c>
      <c r="E1517" s="670" t="s">
        <v>5233</v>
      </c>
      <c r="F1517" s="670">
        <v>974553.0</v>
      </c>
      <c r="G1517" s="670" t="s">
        <v>43</v>
      </c>
      <c r="H1517" s="670" t="s">
        <v>2261</v>
      </c>
      <c r="I1517" s="670" t="s">
        <v>2262</v>
      </c>
      <c r="J1517" s="671">
        <v>46234.0</v>
      </c>
    </row>
    <row r="1518">
      <c r="A1518" s="670">
        <v>1557.0</v>
      </c>
      <c r="B1518" s="670" t="s">
        <v>2257</v>
      </c>
      <c r="C1518" s="670" t="s">
        <v>2258</v>
      </c>
      <c r="D1518" s="670" t="s">
        <v>5234</v>
      </c>
      <c r="E1518" s="670" t="s">
        <v>5235</v>
      </c>
      <c r="F1518" s="670">
        <v>974553.0</v>
      </c>
      <c r="G1518" s="670" t="s">
        <v>43</v>
      </c>
      <c r="H1518" s="670" t="s">
        <v>2261</v>
      </c>
      <c r="I1518" s="670" t="s">
        <v>2262</v>
      </c>
      <c r="J1518" s="671">
        <v>46234.0</v>
      </c>
    </row>
    <row r="1519">
      <c r="A1519" s="670">
        <v>1558.0</v>
      </c>
      <c r="B1519" s="670" t="s">
        <v>2257</v>
      </c>
      <c r="C1519" s="670" t="s">
        <v>2258</v>
      </c>
      <c r="D1519" s="670" t="s">
        <v>5236</v>
      </c>
      <c r="E1519" s="670" t="s">
        <v>5237</v>
      </c>
      <c r="F1519" s="670">
        <v>974553.0</v>
      </c>
      <c r="G1519" s="670" t="s">
        <v>43</v>
      </c>
      <c r="H1519" s="670" t="s">
        <v>2261</v>
      </c>
      <c r="I1519" s="670" t="s">
        <v>2262</v>
      </c>
      <c r="J1519" s="671">
        <v>46234.0</v>
      </c>
    </row>
    <row r="1520">
      <c r="A1520" s="670">
        <v>1559.0</v>
      </c>
      <c r="B1520" s="670" t="s">
        <v>2257</v>
      </c>
      <c r="C1520" s="670" t="s">
        <v>2258</v>
      </c>
      <c r="D1520" s="670" t="s">
        <v>5238</v>
      </c>
      <c r="E1520" s="670" t="s">
        <v>5239</v>
      </c>
      <c r="F1520" s="670">
        <v>974553.0</v>
      </c>
      <c r="G1520" s="670" t="s">
        <v>43</v>
      </c>
      <c r="H1520" s="670" t="s">
        <v>2261</v>
      </c>
      <c r="I1520" s="670" t="s">
        <v>2262</v>
      </c>
      <c r="J1520" s="671">
        <v>46234.0</v>
      </c>
    </row>
    <row r="1521">
      <c r="A1521" s="670">
        <v>1560.0</v>
      </c>
      <c r="B1521" s="670" t="s">
        <v>2257</v>
      </c>
      <c r="C1521" s="670" t="s">
        <v>2258</v>
      </c>
      <c r="D1521" s="670" t="s">
        <v>5240</v>
      </c>
      <c r="E1521" s="670" t="s">
        <v>5241</v>
      </c>
      <c r="F1521" s="670">
        <v>974553.0</v>
      </c>
      <c r="G1521" s="670" t="s">
        <v>43</v>
      </c>
      <c r="H1521" s="670" t="s">
        <v>2261</v>
      </c>
      <c r="I1521" s="670" t="s">
        <v>2262</v>
      </c>
      <c r="J1521" s="671">
        <v>46234.0</v>
      </c>
    </row>
    <row r="1522">
      <c r="A1522" s="670">
        <v>1561.0</v>
      </c>
      <c r="B1522" s="670" t="s">
        <v>2257</v>
      </c>
      <c r="C1522" s="670" t="s">
        <v>2258</v>
      </c>
      <c r="D1522" s="670" t="s">
        <v>5242</v>
      </c>
      <c r="E1522" s="670" t="s">
        <v>5243</v>
      </c>
      <c r="F1522" s="670">
        <v>998775.0</v>
      </c>
      <c r="G1522" s="670" t="s">
        <v>43</v>
      </c>
      <c r="H1522" s="670" t="s">
        <v>2261</v>
      </c>
      <c r="I1522" s="670" t="s">
        <v>2262</v>
      </c>
      <c r="J1522" s="671">
        <v>46234.0</v>
      </c>
    </row>
    <row r="1523">
      <c r="A1523" s="670">
        <v>1562.0</v>
      </c>
      <c r="B1523" s="670" t="s">
        <v>2257</v>
      </c>
      <c r="C1523" s="670" t="s">
        <v>2258</v>
      </c>
      <c r="D1523" s="670" t="s">
        <v>5244</v>
      </c>
      <c r="E1523" s="670" t="s">
        <v>5245</v>
      </c>
      <c r="F1523" s="670">
        <v>998775.0</v>
      </c>
      <c r="G1523" s="670" t="s">
        <v>43</v>
      </c>
      <c r="H1523" s="670" t="s">
        <v>2261</v>
      </c>
      <c r="I1523" s="670" t="s">
        <v>2262</v>
      </c>
      <c r="J1523" s="671">
        <v>46234.0</v>
      </c>
    </row>
    <row r="1524">
      <c r="A1524" s="670">
        <v>1563.0</v>
      </c>
      <c r="B1524" s="670" t="s">
        <v>2257</v>
      </c>
      <c r="C1524" s="670" t="s">
        <v>2258</v>
      </c>
      <c r="D1524" s="670" t="s">
        <v>5246</v>
      </c>
      <c r="E1524" s="670" t="s">
        <v>5247</v>
      </c>
      <c r="F1524" s="670">
        <v>998775.0</v>
      </c>
      <c r="G1524" s="670" t="s">
        <v>43</v>
      </c>
      <c r="H1524" s="670" t="s">
        <v>2261</v>
      </c>
      <c r="I1524" s="670" t="s">
        <v>2262</v>
      </c>
      <c r="J1524" s="671">
        <v>46234.0</v>
      </c>
    </row>
    <row r="1525">
      <c r="A1525" s="670">
        <v>1564.0</v>
      </c>
      <c r="B1525" s="670" t="s">
        <v>2257</v>
      </c>
      <c r="C1525" s="670" t="s">
        <v>2258</v>
      </c>
      <c r="D1525" s="670" t="s">
        <v>5248</v>
      </c>
      <c r="E1525" s="670" t="s">
        <v>5249</v>
      </c>
      <c r="F1525" s="670">
        <v>998775.0</v>
      </c>
      <c r="G1525" s="670" t="s">
        <v>43</v>
      </c>
      <c r="H1525" s="670" t="s">
        <v>2261</v>
      </c>
      <c r="I1525" s="670" t="s">
        <v>2262</v>
      </c>
      <c r="J1525" s="671">
        <v>46234.0</v>
      </c>
    </row>
    <row r="1526">
      <c r="A1526" s="670">
        <v>1565.0</v>
      </c>
      <c r="B1526" s="670" t="s">
        <v>2257</v>
      </c>
      <c r="C1526" s="670" t="s">
        <v>2258</v>
      </c>
      <c r="D1526" s="670" t="s">
        <v>5250</v>
      </c>
      <c r="E1526" s="670" t="s">
        <v>5251</v>
      </c>
      <c r="F1526" s="670">
        <v>998775.0</v>
      </c>
      <c r="G1526" s="670" t="s">
        <v>43</v>
      </c>
      <c r="H1526" s="670" t="s">
        <v>2261</v>
      </c>
      <c r="I1526" s="670" t="s">
        <v>2262</v>
      </c>
      <c r="J1526" s="671">
        <v>46234.0</v>
      </c>
    </row>
    <row r="1527">
      <c r="A1527" s="670">
        <v>1566.0</v>
      </c>
      <c r="B1527" s="670" t="s">
        <v>2257</v>
      </c>
      <c r="C1527" s="670" t="s">
        <v>2258</v>
      </c>
      <c r="D1527" s="670" t="s">
        <v>5252</v>
      </c>
      <c r="E1527" s="670" t="s">
        <v>5253</v>
      </c>
      <c r="F1527" s="670">
        <v>13232.0</v>
      </c>
      <c r="G1527" s="670" t="s">
        <v>43</v>
      </c>
      <c r="H1527" s="670" t="s">
        <v>2261</v>
      </c>
      <c r="I1527" s="670" t="s">
        <v>2262</v>
      </c>
      <c r="J1527" s="671">
        <v>46234.0</v>
      </c>
    </row>
    <row r="1528">
      <c r="A1528" s="670">
        <v>1567.0</v>
      </c>
      <c r="B1528" s="670" t="s">
        <v>2257</v>
      </c>
      <c r="C1528" s="670" t="s">
        <v>2258</v>
      </c>
      <c r="D1528" s="670" t="s">
        <v>5254</v>
      </c>
      <c r="E1528" s="670" t="s">
        <v>5255</v>
      </c>
      <c r="F1528" s="670">
        <v>13232.0</v>
      </c>
      <c r="G1528" s="670" t="s">
        <v>43</v>
      </c>
      <c r="H1528" s="670" t="s">
        <v>2261</v>
      </c>
      <c r="I1528" s="670" t="s">
        <v>2262</v>
      </c>
      <c r="J1528" s="671">
        <v>46234.0</v>
      </c>
    </row>
    <row r="1529">
      <c r="A1529" s="670">
        <v>1568.0</v>
      </c>
      <c r="B1529" s="670" t="s">
        <v>2257</v>
      </c>
      <c r="C1529" s="670" t="s">
        <v>2258</v>
      </c>
      <c r="D1529" s="670" t="s">
        <v>5256</v>
      </c>
      <c r="E1529" s="670" t="s">
        <v>5257</v>
      </c>
      <c r="F1529" s="670">
        <v>15277.0</v>
      </c>
      <c r="G1529" s="670" t="s">
        <v>43</v>
      </c>
      <c r="H1529" s="670" t="s">
        <v>2261</v>
      </c>
      <c r="I1529" s="670" t="s">
        <v>2262</v>
      </c>
      <c r="J1529" s="671">
        <v>46234.0</v>
      </c>
    </row>
    <row r="1530">
      <c r="A1530" s="670">
        <v>1569.0</v>
      </c>
      <c r="B1530" s="670" t="s">
        <v>2257</v>
      </c>
      <c r="C1530" s="670" t="s">
        <v>2258</v>
      </c>
      <c r="D1530" s="670" t="s">
        <v>5258</v>
      </c>
      <c r="E1530" s="670" t="s">
        <v>5259</v>
      </c>
      <c r="F1530" s="670">
        <v>16419.0</v>
      </c>
      <c r="G1530" s="670" t="s">
        <v>43</v>
      </c>
      <c r="H1530" s="670" t="s">
        <v>2261</v>
      </c>
      <c r="I1530" s="670" t="s">
        <v>2262</v>
      </c>
      <c r="J1530" s="671">
        <v>46234.0</v>
      </c>
    </row>
    <row r="1531">
      <c r="A1531" s="670">
        <v>1570.0</v>
      </c>
      <c r="B1531" s="670" t="s">
        <v>2257</v>
      </c>
      <c r="C1531" s="670" t="s">
        <v>2258</v>
      </c>
      <c r="D1531" s="670" t="s">
        <v>5260</v>
      </c>
      <c r="E1531" s="670" t="s">
        <v>5261</v>
      </c>
      <c r="F1531" s="670">
        <v>20350.0</v>
      </c>
      <c r="G1531" s="670" t="s">
        <v>43</v>
      </c>
      <c r="H1531" s="670" t="s">
        <v>2261</v>
      </c>
      <c r="I1531" s="670" t="s">
        <v>2262</v>
      </c>
      <c r="J1531" s="671">
        <v>46234.0</v>
      </c>
    </row>
    <row r="1532">
      <c r="A1532" s="670">
        <v>1571.0</v>
      </c>
      <c r="B1532" s="670" t="s">
        <v>2257</v>
      </c>
      <c r="C1532" s="670" t="s">
        <v>2258</v>
      </c>
      <c r="D1532" s="670" t="s">
        <v>5262</v>
      </c>
      <c r="E1532" s="670" t="s">
        <v>5263</v>
      </c>
      <c r="F1532" s="670">
        <v>22515.0</v>
      </c>
      <c r="G1532" s="670" t="s">
        <v>43</v>
      </c>
      <c r="H1532" s="670" t="s">
        <v>2261</v>
      </c>
      <c r="I1532" s="670" t="s">
        <v>2262</v>
      </c>
      <c r="J1532" s="671">
        <v>46234.0</v>
      </c>
    </row>
    <row r="1533">
      <c r="A1533" s="670">
        <v>1572.0</v>
      </c>
      <c r="B1533" s="670" t="s">
        <v>2257</v>
      </c>
      <c r="C1533" s="670" t="s">
        <v>2258</v>
      </c>
      <c r="D1533" s="670" t="s">
        <v>5264</v>
      </c>
      <c r="E1533" s="670" t="s">
        <v>5265</v>
      </c>
      <c r="F1533" s="670">
        <v>28530.0</v>
      </c>
      <c r="G1533" s="670" t="s">
        <v>43</v>
      </c>
      <c r="H1533" s="670" t="s">
        <v>2261</v>
      </c>
      <c r="I1533" s="670" t="s">
        <v>2262</v>
      </c>
      <c r="J1533" s="671">
        <v>46234.0</v>
      </c>
    </row>
    <row r="1534">
      <c r="A1534" s="670">
        <v>1573.0</v>
      </c>
      <c r="B1534" s="670" t="s">
        <v>2257</v>
      </c>
      <c r="C1534" s="670" t="s">
        <v>2258</v>
      </c>
      <c r="D1534" s="670" t="s">
        <v>5266</v>
      </c>
      <c r="E1534" s="670" t="s">
        <v>5267</v>
      </c>
      <c r="F1534" s="670">
        <v>31537.0</v>
      </c>
      <c r="G1534" s="670" t="s">
        <v>43</v>
      </c>
      <c r="H1534" s="670" t="s">
        <v>2261</v>
      </c>
      <c r="I1534" s="670" t="s">
        <v>2262</v>
      </c>
      <c r="J1534" s="671">
        <v>46234.0</v>
      </c>
    </row>
    <row r="1535">
      <c r="A1535" s="670">
        <v>1574.0</v>
      </c>
      <c r="B1535" s="670" t="s">
        <v>2257</v>
      </c>
      <c r="C1535" s="670" t="s">
        <v>2258</v>
      </c>
      <c r="D1535" s="670" t="s">
        <v>5268</v>
      </c>
      <c r="E1535" s="670" t="s">
        <v>5269</v>
      </c>
      <c r="F1535" s="670">
        <v>31537.0</v>
      </c>
      <c r="G1535" s="670" t="s">
        <v>43</v>
      </c>
      <c r="H1535" s="670" t="s">
        <v>2261</v>
      </c>
      <c r="I1535" s="670" t="s">
        <v>2262</v>
      </c>
      <c r="J1535" s="671">
        <v>46234.0</v>
      </c>
    </row>
    <row r="1536">
      <c r="A1536" s="670">
        <v>1575.0</v>
      </c>
      <c r="B1536" s="670" t="s">
        <v>2257</v>
      </c>
      <c r="C1536" s="670" t="s">
        <v>2258</v>
      </c>
      <c r="D1536" s="670" t="s">
        <v>5270</v>
      </c>
      <c r="E1536" s="670" t="s">
        <v>5271</v>
      </c>
      <c r="F1536" s="670">
        <v>31537.0</v>
      </c>
      <c r="G1536" s="670" t="s">
        <v>43</v>
      </c>
      <c r="H1536" s="670" t="s">
        <v>2261</v>
      </c>
      <c r="I1536" s="670" t="s">
        <v>2262</v>
      </c>
      <c r="J1536" s="671">
        <v>46234.0</v>
      </c>
    </row>
    <row r="1537">
      <c r="A1537" s="670">
        <v>1576.0</v>
      </c>
      <c r="B1537" s="670" t="s">
        <v>2257</v>
      </c>
      <c r="C1537" s="670" t="s">
        <v>2258</v>
      </c>
      <c r="D1537" s="670" t="s">
        <v>5272</v>
      </c>
      <c r="E1537" s="670" t="s">
        <v>5273</v>
      </c>
      <c r="F1537" s="670">
        <v>37352.0</v>
      </c>
      <c r="G1537" s="670" t="s">
        <v>43</v>
      </c>
      <c r="H1537" s="670" t="s">
        <v>2261</v>
      </c>
      <c r="I1537" s="670" t="s">
        <v>2262</v>
      </c>
      <c r="J1537" s="671">
        <v>46234.0</v>
      </c>
    </row>
    <row r="1538">
      <c r="A1538" s="670">
        <v>1577.0</v>
      </c>
      <c r="B1538" s="670" t="s">
        <v>2257</v>
      </c>
      <c r="C1538" s="670" t="s">
        <v>2258</v>
      </c>
      <c r="D1538" s="670" t="s">
        <v>5274</v>
      </c>
      <c r="E1538" s="670" t="s">
        <v>5275</v>
      </c>
      <c r="F1538" s="670">
        <v>37352.0</v>
      </c>
      <c r="G1538" s="670" t="s">
        <v>43</v>
      </c>
      <c r="H1538" s="670" t="s">
        <v>2261</v>
      </c>
      <c r="I1538" s="670" t="s">
        <v>2262</v>
      </c>
      <c r="J1538" s="671">
        <v>46234.0</v>
      </c>
    </row>
    <row r="1539">
      <c r="A1539" s="670">
        <v>1578.0</v>
      </c>
      <c r="B1539" s="670" t="s">
        <v>2257</v>
      </c>
      <c r="C1539" s="670" t="s">
        <v>2258</v>
      </c>
      <c r="D1539" s="670" t="s">
        <v>5276</v>
      </c>
      <c r="E1539" s="670" t="s">
        <v>5277</v>
      </c>
      <c r="F1539" s="670">
        <v>44810.0</v>
      </c>
      <c r="G1539" s="670" t="s">
        <v>43</v>
      </c>
      <c r="H1539" s="670" t="s">
        <v>2261</v>
      </c>
      <c r="I1539" s="670" t="s">
        <v>2262</v>
      </c>
      <c r="J1539" s="671">
        <v>46234.0</v>
      </c>
    </row>
    <row r="1540">
      <c r="A1540" s="670">
        <v>1579.0</v>
      </c>
      <c r="B1540" s="670" t="s">
        <v>2257</v>
      </c>
      <c r="C1540" s="670" t="s">
        <v>2258</v>
      </c>
      <c r="D1540" s="670" t="s">
        <v>5278</v>
      </c>
      <c r="E1540" s="670" t="s">
        <v>5279</v>
      </c>
      <c r="F1540" s="670">
        <v>44810.0</v>
      </c>
      <c r="G1540" s="670" t="s">
        <v>43</v>
      </c>
      <c r="H1540" s="670" t="s">
        <v>2261</v>
      </c>
      <c r="I1540" s="670" t="s">
        <v>2262</v>
      </c>
      <c r="J1540" s="671">
        <v>46234.0</v>
      </c>
    </row>
    <row r="1541">
      <c r="A1541" s="670">
        <v>1580.0</v>
      </c>
      <c r="B1541" s="670" t="s">
        <v>2257</v>
      </c>
      <c r="C1541" s="670" t="s">
        <v>2258</v>
      </c>
      <c r="D1541" s="670" t="s">
        <v>5280</v>
      </c>
      <c r="E1541" s="670" t="s">
        <v>5281</v>
      </c>
      <c r="F1541" s="670">
        <v>44810.0</v>
      </c>
      <c r="G1541" s="670" t="s">
        <v>43</v>
      </c>
      <c r="H1541" s="670" t="s">
        <v>2261</v>
      </c>
      <c r="I1541" s="670" t="s">
        <v>2262</v>
      </c>
      <c r="J1541" s="671">
        <v>46234.0</v>
      </c>
    </row>
    <row r="1542">
      <c r="A1542" s="670">
        <v>1581.0</v>
      </c>
      <c r="B1542" s="670" t="s">
        <v>2257</v>
      </c>
      <c r="C1542" s="670" t="s">
        <v>2258</v>
      </c>
      <c r="D1542" s="670" t="s">
        <v>5282</v>
      </c>
      <c r="E1542" s="670" t="s">
        <v>5283</v>
      </c>
      <c r="F1542" s="670">
        <v>44810.0</v>
      </c>
      <c r="G1542" s="670" t="s">
        <v>43</v>
      </c>
      <c r="H1542" s="670" t="s">
        <v>2261</v>
      </c>
      <c r="I1542" s="670" t="s">
        <v>2262</v>
      </c>
      <c r="J1542" s="671">
        <v>46234.0</v>
      </c>
    </row>
    <row r="1543">
      <c r="A1543" s="670">
        <v>1582.0</v>
      </c>
      <c r="B1543" s="670" t="s">
        <v>2257</v>
      </c>
      <c r="C1543" s="670" t="s">
        <v>2258</v>
      </c>
      <c r="D1543" s="670" t="s">
        <v>5284</v>
      </c>
      <c r="E1543" s="670" t="s">
        <v>5285</v>
      </c>
      <c r="F1543" s="670">
        <v>897842.0</v>
      </c>
      <c r="G1543" s="670" t="s">
        <v>43</v>
      </c>
      <c r="H1543" s="670" t="s">
        <v>2261</v>
      </c>
      <c r="I1543" s="670" t="s">
        <v>2262</v>
      </c>
      <c r="J1543" s="671">
        <v>46234.0</v>
      </c>
    </row>
    <row r="1544">
      <c r="A1544" s="670">
        <v>1583.0</v>
      </c>
      <c r="B1544" s="670" t="s">
        <v>2257</v>
      </c>
      <c r="C1544" s="670" t="s">
        <v>2258</v>
      </c>
      <c r="D1544" s="670" t="s">
        <v>5286</v>
      </c>
      <c r="E1544" s="670" t="s">
        <v>5287</v>
      </c>
      <c r="F1544" s="670">
        <v>940000.0</v>
      </c>
      <c r="G1544" s="670" t="s">
        <v>43</v>
      </c>
      <c r="H1544" s="670" t="s">
        <v>2261</v>
      </c>
      <c r="I1544" s="670" t="s">
        <v>2262</v>
      </c>
      <c r="J1544" s="671">
        <v>46234.0</v>
      </c>
    </row>
    <row r="1545">
      <c r="A1545" s="670">
        <v>1584.0</v>
      </c>
      <c r="B1545" s="670" t="s">
        <v>2257</v>
      </c>
      <c r="C1545" s="670" t="s">
        <v>2258</v>
      </c>
      <c r="D1545" s="670" t="s">
        <v>5288</v>
      </c>
      <c r="E1545" s="670" t="s">
        <v>5289</v>
      </c>
      <c r="F1545" s="670">
        <v>967310.0</v>
      </c>
      <c r="G1545" s="670" t="s">
        <v>43</v>
      </c>
      <c r="H1545" s="670" t="s">
        <v>2261</v>
      </c>
      <c r="I1545" s="670" t="s">
        <v>2262</v>
      </c>
      <c r="J1545" s="671">
        <v>46234.0</v>
      </c>
    </row>
    <row r="1546">
      <c r="A1546" s="670">
        <v>1585.0</v>
      </c>
      <c r="B1546" s="670" t="s">
        <v>2257</v>
      </c>
      <c r="C1546" s="670" t="s">
        <v>2258</v>
      </c>
      <c r="D1546" s="670" t="s">
        <v>5290</v>
      </c>
      <c r="E1546" s="670" t="s">
        <v>5291</v>
      </c>
      <c r="F1546" s="670">
        <v>1080000.0</v>
      </c>
      <c r="G1546" s="670" t="s">
        <v>43</v>
      </c>
      <c r="H1546" s="670" t="s">
        <v>2261</v>
      </c>
      <c r="I1546" s="670" t="s">
        <v>2262</v>
      </c>
      <c r="J1546" s="671">
        <v>46234.0</v>
      </c>
    </row>
    <row r="1547">
      <c r="A1547" s="670">
        <v>1586.0</v>
      </c>
      <c r="B1547" s="670" t="s">
        <v>2257</v>
      </c>
      <c r="C1547" s="670" t="s">
        <v>2258</v>
      </c>
      <c r="D1547" s="670" t="s">
        <v>5292</v>
      </c>
      <c r="E1547" s="670" t="s">
        <v>5293</v>
      </c>
      <c r="F1547" s="670">
        <v>1120000.0</v>
      </c>
      <c r="G1547" s="670" t="s">
        <v>43</v>
      </c>
      <c r="H1547" s="670" t="s">
        <v>2261</v>
      </c>
      <c r="I1547" s="670" t="s">
        <v>2262</v>
      </c>
      <c r="J1547" s="671">
        <v>46234.0</v>
      </c>
    </row>
    <row r="1548">
      <c r="A1548" s="670">
        <v>1587.0</v>
      </c>
      <c r="B1548" s="670" t="s">
        <v>2257</v>
      </c>
      <c r="C1548" s="670" t="s">
        <v>2258</v>
      </c>
      <c r="D1548" s="670" t="s">
        <v>5294</v>
      </c>
      <c r="E1548" s="670" t="s">
        <v>5295</v>
      </c>
      <c r="F1548" s="670">
        <v>1188628.0</v>
      </c>
      <c r="G1548" s="670" t="s">
        <v>43</v>
      </c>
      <c r="H1548" s="670" t="s">
        <v>2261</v>
      </c>
      <c r="I1548" s="670" t="s">
        <v>2262</v>
      </c>
      <c r="J1548" s="671">
        <v>46234.0</v>
      </c>
    </row>
    <row r="1549">
      <c r="A1549" s="670">
        <v>1588.0</v>
      </c>
      <c r="B1549" s="670" t="s">
        <v>2257</v>
      </c>
      <c r="C1549" s="670" t="s">
        <v>2258</v>
      </c>
      <c r="D1549" s="670" t="s">
        <v>5296</v>
      </c>
      <c r="E1549" s="670" t="s">
        <v>5297</v>
      </c>
      <c r="F1549" s="670">
        <v>1225000.0</v>
      </c>
      <c r="G1549" s="670" t="s">
        <v>43</v>
      </c>
      <c r="H1549" s="670" t="s">
        <v>2261</v>
      </c>
      <c r="I1549" s="670" t="s">
        <v>2262</v>
      </c>
      <c r="J1549" s="671">
        <v>46234.0</v>
      </c>
    </row>
    <row r="1550">
      <c r="A1550" s="670">
        <v>1589.0</v>
      </c>
      <c r="B1550" s="670" t="s">
        <v>2257</v>
      </c>
      <c r="C1550" s="670" t="s">
        <v>2258</v>
      </c>
      <c r="D1550" s="670" t="s">
        <v>5298</v>
      </c>
      <c r="E1550" s="670" t="s">
        <v>5299</v>
      </c>
      <c r="F1550" s="670">
        <v>1235610.0</v>
      </c>
      <c r="G1550" s="670" t="s">
        <v>43</v>
      </c>
      <c r="H1550" s="670" t="s">
        <v>2261</v>
      </c>
      <c r="I1550" s="670" t="s">
        <v>2262</v>
      </c>
      <c r="J1550" s="671">
        <v>46234.0</v>
      </c>
    </row>
    <row r="1551">
      <c r="A1551" s="670">
        <v>1590.0</v>
      </c>
      <c r="B1551" s="670" t="s">
        <v>2257</v>
      </c>
      <c r="C1551" s="670" t="s">
        <v>2258</v>
      </c>
      <c r="D1551" s="670" t="s">
        <v>5300</v>
      </c>
      <c r="E1551" s="670" t="s">
        <v>5301</v>
      </c>
      <c r="F1551" s="670">
        <v>1255010.0</v>
      </c>
      <c r="G1551" s="670" t="s">
        <v>43</v>
      </c>
      <c r="H1551" s="670" t="s">
        <v>2261</v>
      </c>
      <c r="I1551" s="670" t="s">
        <v>2262</v>
      </c>
      <c r="J1551" s="671">
        <v>46234.0</v>
      </c>
    </row>
    <row r="1552">
      <c r="A1552" s="670">
        <v>1591.0</v>
      </c>
      <c r="B1552" s="670" t="s">
        <v>2257</v>
      </c>
      <c r="C1552" s="670" t="s">
        <v>2258</v>
      </c>
      <c r="D1552" s="670" t="s">
        <v>5302</v>
      </c>
      <c r="E1552" s="670" t="s">
        <v>5303</v>
      </c>
      <c r="F1552" s="670">
        <v>1266600.0</v>
      </c>
      <c r="G1552" s="670" t="s">
        <v>43</v>
      </c>
      <c r="H1552" s="670" t="s">
        <v>2261</v>
      </c>
      <c r="I1552" s="670" t="s">
        <v>2262</v>
      </c>
      <c r="J1552" s="671">
        <v>46234.0</v>
      </c>
    </row>
    <row r="1553">
      <c r="A1553" s="670">
        <v>1592.0</v>
      </c>
      <c r="B1553" s="670" t="s">
        <v>2257</v>
      </c>
      <c r="C1553" s="670" t="s">
        <v>2258</v>
      </c>
      <c r="D1553" s="670" t="s">
        <v>5304</v>
      </c>
      <c r="E1553" s="670" t="s">
        <v>5305</v>
      </c>
      <c r="F1553" s="670">
        <v>1295000.0</v>
      </c>
      <c r="G1553" s="670" t="s">
        <v>43</v>
      </c>
      <c r="H1553" s="670" t="s">
        <v>2261</v>
      </c>
      <c r="I1553" s="670" t="s">
        <v>2262</v>
      </c>
      <c r="J1553" s="671">
        <v>46234.0</v>
      </c>
    </row>
    <row r="1554">
      <c r="A1554" s="670">
        <v>1593.0</v>
      </c>
      <c r="B1554" s="670" t="s">
        <v>2257</v>
      </c>
      <c r="C1554" s="670" t="s">
        <v>2258</v>
      </c>
      <c r="D1554" s="670" t="s">
        <v>5306</v>
      </c>
      <c r="E1554" s="670" t="s">
        <v>5307</v>
      </c>
      <c r="F1554" s="670">
        <v>7636.0</v>
      </c>
      <c r="G1554" s="670" t="s">
        <v>43</v>
      </c>
      <c r="H1554" s="670" t="s">
        <v>2261</v>
      </c>
      <c r="I1554" s="670" t="s">
        <v>2262</v>
      </c>
      <c r="J1554" s="671">
        <v>46234.0</v>
      </c>
    </row>
    <row r="1555">
      <c r="A1555" s="670">
        <v>1594.0</v>
      </c>
      <c r="B1555" s="670" t="s">
        <v>2257</v>
      </c>
      <c r="C1555" s="670" t="s">
        <v>2258</v>
      </c>
      <c r="D1555" s="670" t="s">
        <v>5308</v>
      </c>
      <c r="E1555" s="670" t="s">
        <v>5309</v>
      </c>
      <c r="F1555" s="670">
        <v>8832.0</v>
      </c>
      <c r="G1555" s="670" t="s">
        <v>43</v>
      </c>
      <c r="H1555" s="670" t="s">
        <v>2261</v>
      </c>
      <c r="I1555" s="670" t="s">
        <v>2262</v>
      </c>
      <c r="J1555" s="671">
        <v>46234.0</v>
      </c>
    </row>
    <row r="1556">
      <c r="A1556" s="670">
        <v>1595.0</v>
      </c>
      <c r="B1556" s="670" t="s">
        <v>2257</v>
      </c>
      <c r="C1556" s="670" t="s">
        <v>2258</v>
      </c>
      <c r="D1556" s="670" t="s">
        <v>5310</v>
      </c>
      <c r="E1556" s="670" t="s">
        <v>5311</v>
      </c>
      <c r="F1556" s="670">
        <v>5480.0</v>
      </c>
      <c r="G1556" s="670" t="s">
        <v>43</v>
      </c>
      <c r="H1556" s="670" t="s">
        <v>2261</v>
      </c>
      <c r="I1556" s="670" t="s">
        <v>2262</v>
      </c>
      <c r="J1556" s="671">
        <v>46234.0</v>
      </c>
    </row>
    <row r="1557">
      <c r="A1557" s="670">
        <v>1596.0</v>
      </c>
      <c r="B1557" s="670" t="s">
        <v>2257</v>
      </c>
      <c r="C1557" s="670" t="s">
        <v>2258</v>
      </c>
      <c r="D1557" s="670" t="s">
        <v>5312</v>
      </c>
      <c r="E1557" s="670" t="s">
        <v>5313</v>
      </c>
      <c r="F1557" s="670">
        <v>5650.0</v>
      </c>
      <c r="G1557" s="670" t="s">
        <v>43</v>
      </c>
      <c r="H1557" s="670" t="s">
        <v>2261</v>
      </c>
      <c r="I1557" s="670" t="s">
        <v>2262</v>
      </c>
      <c r="J1557" s="671">
        <v>46234.0</v>
      </c>
    </row>
    <row r="1558">
      <c r="A1558" s="670">
        <v>1597.0</v>
      </c>
      <c r="B1558" s="670" t="s">
        <v>2257</v>
      </c>
      <c r="C1558" s="670" t="s">
        <v>2258</v>
      </c>
      <c r="D1558" s="670" t="s">
        <v>5314</v>
      </c>
      <c r="E1558" s="670" t="s">
        <v>5315</v>
      </c>
      <c r="F1558" s="670">
        <v>6670.0</v>
      </c>
      <c r="G1558" s="670" t="s">
        <v>43</v>
      </c>
      <c r="H1558" s="670" t="s">
        <v>2261</v>
      </c>
      <c r="I1558" s="670" t="s">
        <v>2262</v>
      </c>
      <c r="J1558" s="671">
        <v>46234.0</v>
      </c>
    </row>
    <row r="1559">
      <c r="A1559" s="670">
        <v>1598.0</v>
      </c>
      <c r="B1559" s="670" t="s">
        <v>2257</v>
      </c>
      <c r="C1559" s="670" t="s">
        <v>2258</v>
      </c>
      <c r="D1559" s="670" t="s">
        <v>5316</v>
      </c>
      <c r="E1559" s="670" t="s">
        <v>5317</v>
      </c>
      <c r="F1559" s="670">
        <v>8570.0</v>
      </c>
      <c r="G1559" s="670" t="s">
        <v>43</v>
      </c>
      <c r="H1559" s="670" t="s">
        <v>2261</v>
      </c>
      <c r="I1559" s="670" t="s">
        <v>2262</v>
      </c>
      <c r="J1559" s="671">
        <v>46234.0</v>
      </c>
    </row>
    <row r="1560">
      <c r="A1560" s="670">
        <v>1599.0</v>
      </c>
      <c r="B1560" s="670" t="s">
        <v>2257</v>
      </c>
      <c r="C1560" s="670" t="s">
        <v>2258</v>
      </c>
      <c r="D1560" s="670" t="s">
        <v>5318</v>
      </c>
      <c r="E1560" s="670" t="s">
        <v>5319</v>
      </c>
      <c r="F1560" s="670">
        <v>17538.0</v>
      </c>
      <c r="G1560" s="670" t="s">
        <v>43</v>
      </c>
      <c r="H1560" s="670" t="s">
        <v>2261</v>
      </c>
      <c r="I1560" s="670" t="s">
        <v>2262</v>
      </c>
      <c r="J1560" s="671">
        <v>46234.0</v>
      </c>
    </row>
    <row r="1561">
      <c r="A1561" s="670">
        <v>1600.0</v>
      </c>
      <c r="B1561" s="670" t="s">
        <v>2257</v>
      </c>
      <c r="C1561" s="670" t="s">
        <v>2258</v>
      </c>
      <c r="D1561" s="670" t="s">
        <v>5320</v>
      </c>
      <c r="E1561" s="670" t="s">
        <v>5321</v>
      </c>
      <c r="F1561" s="670">
        <v>10330.0</v>
      </c>
      <c r="G1561" s="670" t="s">
        <v>43</v>
      </c>
      <c r="H1561" s="670" t="s">
        <v>2261</v>
      </c>
      <c r="I1561" s="670" t="s">
        <v>2262</v>
      </c>
      <c r="J1561" s="671">
        <v>46234.0</v>
      </c>
    </row>
    <row r="1562">
      <c r="A1562" s="670">
        <v>1601.0</v>
      </c>
      <c r="B1562" s="670" t="s">
        <v>2257</v>
      </c>
      <c r="C1562" s="670" t="s">
        <v>2258</v>
      </c>
      <c r="D1562" s="670" t="s">
        <v>5322</v>
      </c>
      <c r="E1562" s="670" t="s">
        <v>5323</v>
      </c>
      <c r="F1562" s="670">
        <v>18620.0</v>
      </c>
      <c r="G1562" s="670" t="s">
        <v>43</v>
      </c>
      <c r="H1562" s="670" t="s">
        <v>2261</v>
      </c>
      <c r="I1562" s="670" t="s">
        <v>2262</v>
      </c>
      <c r="J1562" s="671">
        <v>46234.0</v>
      </c>
    </row>
    <row r="1563">
      <c r="A1563" s="670">
        <v>1602.0</v>
      </c>
      <c r="B1563" s="670" t="s">
        <v>2257</v>
      </c>
      <c r="C1563" s="670" t="s">
        <v>2258</v>
      </c>
      <c r="D1563" s="670" t="s">
        <v>5324</v>
      </c>
      <c r="E1563" s="670" t="s">
        <v>5325</v>
      </c>
      <c r="F1563" s="670">
        <v>19640.0</v>
      </c>
      <c r="G1563" s="670" t="s">
        <v>43</v>
      </c>
      <c r="H1563" s="670" t="s">
        <v>2261</v>
      </c>
      <c r="I1563" s="670" t="s">
        <v>2262</v>
      </c>
      <c r="J1563" s="671">
        <v>46234.0</v>
      </c>
    </row>
    <row r="1564">
      <c r="A1564" s="670">
        <v>1603.0</v>
      </c>
      <c r="B1564" s="670" t="s">
        <v>2257</v>
      </c>
      <c r="C1564" s="670" t="s">
        <v>2258</v>
      </c>
      <c r="D1564" s="670" t="s">
        <v>5326</v>
      </c>
      <c r="E1564" s="670" t="s">
        <v>5327</v>
      </c>
      <c r="F1564" s="670">
        <v>32640.0</v>
      </c>
      <c r="G1564" s="670" t="s">
        <v>43</v>
      </c>
      <c r="H1564" s="670" t="s">
        <v>2261</v>
      </c>
      <c r="I1564" s="670" t="s">
        <v>2262</v>
      </c>
      <c r="J1564" s="671">
        <v>46234.0</v>
      </c>
    </row>
    <row r="1565">
      <c r="A1565" s="670">
        <v>1604.0</v>
      </c>
      <c r="B1565" s="670" t="s">
        <v>2257</v>
      </c>
      <c r="C1565" s="670" t="s">
        <v>2258</v>
      </c>
      <c r="D1565" s="670" t="s">
        <v>5328</v>
      </c>
      <c r="E1565" s="670" t="s">
        <v>5329</v>
      </c>
      <c r="F1565" s="670">
        <v>33600.0</v>
      </c>
      <c r="G1565" s="670" t="s">
        <v>43</v>
      </c>
      <c r="H1565" s="670" t="s">
        <v>2261</v>
      </c>
      <c r="I1565" s="670" t="s">
        <v>2262</v>
      </c>
      <c r="J1565" s="671">
        <v>46234.0</v>
      </c>
    </row>
    <row r="1566">
      <c r="A1566" s="670">
        <v>1605.0</v>
      </c>
      <c r="B1566" s="670" t="s">
        <v>2257</v>
      </c>
      <c r="C1566" s="670" t="s">
        <v>2258</v>
      </c>
      <c r="D1566" s="670" t="s">
        <v>5330</v>
      </c>
      <c r="E1566" s="670" t="s">
        <v>5331</v>
      </c>
      <c r="F1566" s="670">
        <v>37290.0</v>
      </c>
      <c r="G1566" s="670" t="s">
        <v>43</v>
      </c>
      <c r="H1566" s="670" t="s">
        <v>2261</v>
      </c>
      <c r="I1566" s="670" t="s">
        <v>2262</v>
      </c>
      <c r="J1566" s="671">
        <v>46234.0</v>
      </c>
    </row>
    <row r="1567">
      <c r="A1567" s="670">
        <v>1606.0</v>
      </c>
      <c r="B1567" s="670" t="s">
        <v>2257</v>
      </c>
      <c r="C1567" s="670" t="s">
        <v>2258</v>
      </c>
      <c r="D1567" s="670" t="s">
        <v>5332</v>
      </c>
      <c r="E1567" s="670" t="s">
        <v>5333</v>
      </c>
      <c r="F1567" s="670">
        <v>47800.0</v>
      </c>
      <c r="G1567" s="670" t="s">
        <v>43</v>
      </c>
      <c r="H1567" s="670" t="s">
        <v>2261</v>
      </c>
      <c r="I1567" s="670" t="s">
        <v>2262</v>
      </c>
      <c r="J1567" s="671">
        <v>46234.0</v>
      </c>
    </row>
    <row r="1568">
      <c r="A1568" s="670">
        <v>1607.0</v>
      </c>
      <c r="B1568" s="670" t="s">
        <v>2257</v>
      </c>
      <c r="C1568" s="670" t="s">
        <v>2258</v>
      </c>
      <c r="D1568" s="670" t="s">
        <v>5334</v>
      </c>
      <c r="E1568" s="670" t="s">
        <v>5335</v>
      </c>
      <c r="F1568" s="670">
        <v>50000.0</v>
      </c>
      <c r="G1568" s="670" t="s">
        <v>43</v>
      </c>
      <c r="H1568" s="670" t="s">
        <v>2261</v>
      </c>
      <c r="I1568" s="670" t="s">
        <v>2262</v>
      </c>
      <c r="J1568" s="671">
        <v>46234.0</v>
      </c>
    </row>
    <row r="1569">
      <c r="A1569" s="670">
        <v>1608.0</v>
      </c>
      <c r="B1569" s="670" t="s">
        <v>2257</v>
      </c>
      <c r="C1569" s="670" t="s">
        <v>2258</v>
      </c>
      <c r="D1569" s="670" t="s">
        <v>5336</v>
      </c>
      <c r="E1569" s="670" t="s">
        <v>5337</v>
      </c>
      <c r="F1569" s="670">
        <v>75600.0</v>
      </c>
      <c r="G1569" s="670" t="s">
        <v>43</v>
      </c>
      <c r="H1569" s="670" t="s">
        <v>2261</v>
      </c>
      <c r="I1569" s="670" t="s">
        <v>2262</v>
      </c>
      <c r="J1569" s="671">
        <v>46234.0</v>
      </c>
    </row>
    <row r="1570">
      <c r="A1570" s="670">
        <v>1609.0</v>
      </c>
      <c r="B1570" s="670" t="s">
        <v>2257</v>
      </c>
      <c r="C1570" s="670" t="s">
        <v>2258</v>
      </c>
      <c r="D1570" s="670" t="s">
        <v>5338</v>
      </c>
      <c r="E1570" s="670" t="s">
        <v>5339</v>
      </c>
      <c r="F1570" s="670">
        <v>89900.0</v>
      </c>
      <c r="G1570" s="670" t="s">
        <v>43</v>
      </c>
      <c r="H1570" s="670" t="s">
        <v>2261</v>
      </c>
      <c r="I1570" s="670" t="s">
        <v>2262</v>
      </c>
      <c r="J1570" s="671">
        <v>46234.0</v>
      </c>
    </row>
    <row r="1571">
      <c r="A1571" s="670">
        <v>1610.0</v>
      </c>
      <c r="B1571" s="670" t="s">
        <v>2257</v>
      </c>
      <c r="C1571" s="670" t="s">
        <v>2258</v>
      </c>
      <c r="D1571" s="670" t="s">
        <v>5340</v>
      </c>
      <c r="E1571" s="670" t="s">
        <v>5341</v>
      </c>
      <c r="F1571" s="670">
        <v>111800.0</v>
      </c>
      <c r="G1571" s="670" t="s">
        <v>43</v>
      </c>
      <c r="H1571" s="670" t="s">
        <v>2261</v>
      </c>
      <c r="I1571" s="670" t="s">
        <v>2262</v>
      </c>
      <c r="J1571" s="671">
        <v>46234.0</v>
      </c>
    </row>
    <row r="1572">
      <c r="A1572" s="670">
        <v>1611.0</v>
      </c>
      <c r="B1572" s="670" t="s">
        <v>2257</v>
      </c>
      <c r="C1572" s="670" t="s">
        <v>2258</v>
      </c>
      <c r="D1572" s="670" t="s">
        <v>5342</v>
      </c>
      <c r="E1572" s="670" t="s">
        <v>5343</v>
      </c>
      <c r="F1572" s="670">
        <v>144900.0</v>
      </c>
      <c r="G1572" s="670" t="s">
        <v>43</v>
      </c>
      <c r="H1572" s="670" t="s">
        <v>2261</v>
      </c>
      <c r="I1572" s="670" t="s">
        <v>2262</v>
      </c>
      <c r="J1572" s="671">
        <v>46234.0</v>
      </c>
    </row>
    <row r="1573">
      <c r="A1573" s="670">
        <v>1612.0</v>
      </c>
      <c r="B1573" s="670" t="s">
        <v>2257</v>
      </c>
      <c r="C1573" s="670" t="s">
        <v>2258</v>
      </c>
      <c r="D1573" s="670" t="s">
        <v>5344</v>
      </c>
      <c r="E1573" s="670" t="s">
        <v>5345</v>
      </c>
      <c r="F1573" s="670">
        <v>184100.0</v>
      </c>
      <c r="G1573" s="670" t="s">
        <v>43</v>
      </c>
      <c r="H1573" s="670" t="s">
        <v>2261</v>
      </c>
      <c r="I1573" s="670" t="s">
        <v>2262</v>
      </c>
      <c r="J1573" s="671">
        <v>46234.0</v>
      </c>
    </row>
    <row r="1574">
      <c r="A1574" s="670">
        <v>1613.0</v>
      </c>
      <c r="B1574" s="670" t="s">
        <v>2257</v>
      </c>
      <c r="C1574" s="670" t="s">
        <v>2258</v>
      </c>
      <c r="D1574" s="670" t="s">
        <v>5346</v>
      </c>
      <c r="E1574" s="670" t="s">
        <v>5347</v>
      </c>
      <c r="F1574" s="670">
        <v>201100.0</v>
      </c>
      <c r="G1574" s="670" t="s">
        <v>43</v>
      </c>
      <c r="H1574" s="670" t="s">
        <v>2261</v>
      </c>
      <c r="I1574" s="670" t="s">
        <v>2262</v>
      </c>
      <c r="J1574" s="671">
        <v>46234.0</v>
      </c>
    </row>
    <row r="1575">
      <c r="A1575" s="670">
        <v>1614.0</v>
      </c>
      <c r="B1575" s="670" t="s">
        <v>2257</v>
      </c>
      <c r="C1575" s="670" t="s">
        <v>2258</v>
      </c>
      <c r="D1575" s="670" t="s">
        <v>5348</v>
      </c>
      <c r="E1575" s="670" t="s">
        <v>5349</v>
      </c>
      <c r="F1575" s="670">
        <v>286300.0</v>
      </c>
      <c r="G1575" s="670" t="s">
        <v>43</v>
      </c>
      <c r="H1575" s="670" t="s">
        <v>2261</v>
      </c>
      <c r="I1575" s="670" t="s">
        <v>2262</v>
      </c>
      <c r="J1575" s="671">
        <v>46234.0</v>
      </c>
    </row>
    <row r="1576">
      <c r="A1576" s="670">
        <v>1615.0</v>
      </c>
      <c r="B1576" s="670" t="s">
        <v>2257</v>
      </c>
      <c r="C1576" s="670" t="s">
        <v>2258</v>
      </c>
      <c r="D1576" s="670" t="s">
        <v>5350</v>
      </c>
      <c r="E1576" s="670" t="s">
        <v>5351</v>
      </c>
      <c r="F1576" s="670">
        <v>340700.0</v>
      </c>
      <c r="G1576" s="670" t="s">
        <v>43</v>
      </c>
      <c r="H1576" s="670" t="s">
        <v>2261</v>
      </c>
      <c r="I1576" s="670" t="s">
        <v>2262</v>
      </c>
      <c r="J1576" s="671">
        <v>46234.0</v>
      </c>
    </row>
    <row r="1577">
      <c r="A1577" s="670">
        <v>1616.0</v>
      </c>
      <c r="B1577" s="670" t="s">
        <v>2257</v>
      </c>
      <c r="C1577" s="670" t="s">
        <v>2258</v>
      </c>
      <c r="D1577" s="670" t="s">
        <v>5352</v>
      </c>
      <c r="E1577" s="670" t="s">
        <v>5353</v>
      </c>
      <c r="F1577" s="670">
        <v>369800.0</v>
      </c>
      <c r="G1577" s="670" t="s">
        <v>43</v>
      </c>
      <c r="H1577" s="670" t="s">
        <v>2261</v>
      </c>
      <c r="I1577" s="670" t="s">
        <v>2262</v>
      </c>
      <c r="J1577" s="671">
        <v>46234.0</v>
      </c>
    </row>
    <row r="1578">
      <c r="A1578" s="670">
        <v>1617.0</v>
      </c>
      <c r="B1578" s="670" t="s">
        <v>2257</v>
      </c>
      <c r="C1578" s="670" t="s">
        <v>2258</v>
      </c>
      <c r="D1578" s="670" t="s">
        <v>5354</v>
      </c>
      <c r="E1578" s="670" t="s">
        <v>5355</v>
      </c>
      <c r="F1578" s="670">
        <v>389400.0</v>
      </c>
      <c r="G1578" s="670" t="s">
        <v>43</v>
      </c>
      <c r="H1578" s="670" t="s">
        <v>2261</v>
      </c>
      <c r="I1578" s="670" t="s">
        <v>2262</v>
      </c>
      <c r="J1578" s="671">
        <v>46234.0</v>
      </c>
    </row>
    <row r="1579">
      <c r="A1579" s="670">
        <v>1618.0</v>
      </c>
      <c r="B1579" s="670" t="s">
        <v>2257</v>
      </c>
      <c r="C1579" s="670" t="s">
        <v>2258</v>
      </c>
      <c r="D1579" s="670" t="s">
        <v>5356</v>
      </c>
      <c r="E1579" s="670" t="s">
        <v>5357</v>
      </c>
      <c r="F1579" s="670">
        <v>413000.0</v>
      </c>
      <c r="G1579" s="670" t="s">
        <v>43</v>
      </c>
      <c r="H1579" s="670" t="s">
        <v>2261</v>
      </c>
      <c r="I1579" s="670" t="s">
        <v>2262</v>
      </c>
      <c r="J1579" s="671">
        <v>46234.0</v>
      </c>
    </row>
    <row r="1580">
      <c r="A1580" s="670">
        <v>1619.0</v>
      </c>
      <c r="B1580" s="670" t="s">
        <v>2257</v>
      </c>
      <c r="C1580" s="670" t="s">
        <v>2258</v>
      </c>
      <c r="D1580" s="670" t="s">
        <v>5358</v>
      </c>
      <c r="E1580" s="670" t="s">
        <v>5359</v>
      </c>
      <c r="F1580" s="670">
        <v>481400.0</v>
      </c>
      <c r="G1580" s="670" t="s">
        <v>43</v>
      </c>
      <c r="H1580" s="670" t="s">
        <v>2261</v>
      </c>
      <c r="I1580" s="670" t="s">
        <v>2262</v>
      </c>
      <c r="J1580" s="671">
        <v>46234.0</v>
      </c>
    </row>
    <row r="1581">
      <c r="A1581" s="670">
        <v>1620.0</v>
      </c>
      <c r="B1581" s="670" t="s">
        <v>2257</v>
      </c>
      <c r="C1581" s="670" t="s">
        <v>2258</v>
      </c>
      <c r="D1581" s="670" t="s">
        <v>5360</v>
      </c>
      <c r="E1581" s="670" t="s">
        <v>5361</v>
      </c>
      <c r="F1581" s="670">
        <v>498100.0</v>
      </c>
      <c r="G1581" s="670" t="s">
        <v>43</v>
      </c>
      <c r="H1581" s="670" t="s">
        <v>2261</v>
      </c>
      <c r="I1581" s="670" t="s">
        <v>2262</v>
      </c>
      <c r="J1581" s="671">
        <v>46234.0</v>
      </c>
    </row>
    <row r="1582">
      <c r="A1582" s="670">
        <v>1621.0</v>
      </c>
      <c r="B1582" s="670" t="s">
        <v>2257</v>
      </c>
      <c r="C1582" s="670" t="s">
        <v>2258</v>
      </c>
      <c r="D1582" s="670" t="s">
        <v>5362</v>
      </c>
      <c r="E1582" s="670" t="s">
        <v>5363</v>
      </c>
      <c r="F1582" s="670">
        <v>528500.0</v>
      </c>
      <c r="G1582" s="670" t="s">
        <v>43</v>
      </c>
      <c r="H1582" s="670" t="s">
        <v>2261</v>
      </c>
      <c r="I1582" s="670" t="s">
        <v>2262</v>
      </c>
      <c r="J1582" s="671">
        <v>46234.0</v>
      </c>
    </row>
    <row r="1583">
      <c r="A1583" s="670">
        <v>1622.0</v>
      </c>
      <c r="B1583" s="670" t="s">
        <v>2257</v>
      </c>
      <c r="C1583" s="670" t="s">
        <v>2258</v>
      </c>
      <c r="D1583" s="670" t="s">
        <v>5364</v>
      </c>
      <c r="E1583" s="670" t="s">
        <v>5365</v>
      </c>
      <c r="F1583" s="670">
        <v>565800.0</v>
      </c>
      <c r="G1583" s="670" t="s">
        <v>43</v>
      </c>
      <c r="H1583" s="670" t="s">
        <v>2261</v>
      </c>
      <c r="I1583" s="670" t="s">
        <v>2262</v>
      </c>
      <c r="J1583" s="671">
        <v>46234.0</v>
      </c>
    </row>
    <row r="1584">
      <c r="A1584" s="670">
        <v>1623.0</v>
      </c>
      <c r="B1584" s="670" t="s">
        <v>2257</v>
      </c>
      <c r="C1584" s="670" t="s">
        <v>2258</v>
      </c>
      <c r="D1584" s="670" t="s">
        <v>5366</v>
      </c>
      <c r="E1584" s="670" t="s">
        <v>5367</v>
      </c>
      <c r="F1584" s="670">
        <v>6988.0</v>
      </c>
      <c r="G1584" s="670" t="s">
        <v>43</v>
      </c>
      <c r="H1584" s="670" t="s">
        <v>2261</v>
      </c>
      <c r="I1584" s="670" t="s">
        <v>2262</v>
      </c>
      <c r="J1584" s="671">
        <v>46234.0</v>
      </c>
    </row>
    <row r="1585">
      <c r="A1585" s="670">
        <v>1624.0</v>
      </c>
      <c r="B1585" s="670" t="s">
        <v>2257</v>
      </c>
      <c r="C1585" s="670" t="s">
        <v>2258</v>
      </c>
      <c r="D1585" s="670" t="s">
        <v>5368</v>
      </c>
      <c r="E1585" s="670" t="s">
        <v>5369</v>
      </c>
      <c r="F1585" s="670">
        <v>5100.0</v>
      </c>
      <c r="G1585" s="670" t="s">
        <v>43</v>
      </c>
      <c r="H1585" s="670" t="s">
        <v>2261</v>
      </c>
      <c r="I1585" s="670" t="s">
        <v>2262</v>
      </c>
      <c r="J1585" s="671">
        <v>46234.0</v>
      </c>
    </row>
    <row r="1586">
      <c r="A1586" s="670">
        <v>1625.0</v>
      </c>
      <c r="B1586" s="670" t="s">
        <v>2257</v>
      </c>
      <c r="C1586" s="670" t="s">
        <v>2258</v>
      </c>
      <c r="D1586" s="670" t="s">
        <v>5370</v>
      </c>
      <c r="E1586" s="670" t="s">
        <v>5371</v>
      </c>
      <c r="F1586" s="670">
        <v>5400.0</v>
      </c>
      <c r="G1586" s="670" t="s">
        <v>43</v>
      </c>
      <c r="H1586" s="670" t="s">
        <v>2261</v>
      </c>
      <c r="I1586" s="670" t="s">
        <v>2262</v>
      </c>
      <c r="J1586" s="671">
        <v>46234.0</v>
      </c>
    </row>
    <row r="1587">
      <c r="A1587" s="670">
        <v>1626.0</v>
      </c>
      <c r="B1587" s="670" t="s">
        <v>2257</v>
      </c>
      <c r="C1587" s="670" t="s">
        <v>2258</v>
      </c>
      <c r="D1587" s="670" t="s">
        <v>5372</v>
      </c>
      <c r="E1587" s="670" t="s">
        <v>5373</v>
      </c>
      <c r="F1587" s="670">
        <v>6750.0</v>
      </c>
      <c r="G1587" s="670" t="s">
        <v>43</v>
      </c>
      <c r="H1587" s="670" t="s">
        <v>2261</v>
      </c>
      <c r="I1587" s="670" t="s">
        <v>2262</v>
      </c>
      <c r="J1587" s="671">
        <v>46234.0</v>
      </c>
    </row>
    <row r="1588">
      <c r="A1588" s="670">
        <v>1627.0</v>
      </c>
      <c r="B1588" s="670" t="s">
        <v>2257</v>
      </c>
      <c r="C1588" s="670" t="s">
        <v>2258</v>
      </c>
      <c r="D1588" s="670" t="s">
        <v>5374</v>
      </c>
      <c r="E1588" s="670" t="s">
        <v>5375</v>
      </c>
      <c r="F1588" s="670">
        <v>8000.0</v>
      </c>
      <c r="G1588" s="670" t="s">
        <v>43</v>
      </c>
      <c r="H1588" s="670" t="s">
        <v>2261</v>
      </c>
      <c r="I1588" s="670" t="s">
        <v>2262</v>
      </c>
      <c r="J1588" s="671">
        <v>46234.0</v>
      </c>
    </row>
    <row r="1589">
      <c r="A1589" s="670">
        <v>1628.0</v>
      </c>
      <c r="B1589" s="670" t="s">
        <v>2257</v>
      </c>
      <c r="C1589" s="670" t="s">
        <v>2258</v>
      </c>
      <c r="D1589" s="670" t="s">
        <v>5376</v>
      </c>
      <c r="E1589" s="670" t="s">
        <v>5377</v>
      </c>
      <c r="F1589" s="670">
        <v>9400.0</v>
      </c>
      <c r="G1589" s="670" t="s">
        <v>43</v>
      </c>
      <c r="H1589" s="670" t="s">
        <v>2261</v>
      </c>
      <c r="I1589" s="670" t="s">
        <v>2262</v>
      </c>
      <c r="J1589" s="671">
        <v>46234.0</v>
      </c>
    </row>
    <row r="1590">
      <c r="A1590" s="670">
        <v>1629.0</v>
      </c>
      <c r="B1590" s="670" t="s">
        <v>2257</v>
      </c>
      <c r="C1590" s="670" t="s">
        <v>2258</v>
      </c>
      <c r="D1590" s="670" t="s">
        <v>5378</v>
      </c>
      <c r="E1590" s="670" t="s">
        <v>5379</v>
      </c>
      <c r="F1590" s="670">
        <v>17492.0</v>
      </c>
      <c r="G1590" s="670" t="s">
        <v>43</v>
      </c>
      <c r="H1590" s="670" t="s">
        <v>2261</v>
      </c>
      <c r="I1590" s="670" t="s">
        <v>2262</v>
      </c>
      <c r="J1590" s="671">
        <v>46234.0</v>
      </c>
    </row>
    <row r="1591">
      <c r="A1591" s="670">
        <v>1630.0</v>
      </c>
      <c r="B1591" s="670" t="s">
        <v>2257</v>
      </c>
      <c r="C1591" s="670" t="s">
        <v>2258</v>
      </c>
      <c r="D1591" s="670" t="s">
        <v>5380</v>
      </c>
      <c r="E1591" s="670" t="s">
        <v>5381</v>
      </c>
      <c r="F1591" s="670">
        <v>12600.0</v>
      </c>
      <c r="G1591" s="670" t="s">
        <v>43</v>
      </c>
      <c r="H1591" s="670" t="s">
        <v>2261</v>
      </c>
      <c r="I1591" s="670" t="s">
        <v>2262</v>
      </c>
      <c r="J1591" s="671">
        <v>46234.0</v>
      </c>
    </row>
    <row r="1592">
      <c r="A1592" s="670">
        <v>1631.0</v>
      </c>
      <c r="B1592" s="670" t="s">
        <v>2257</v>
      </c>
      <c r="C1592" s="670" t="s">
        <v>2258</v>
      </c>
      <c r="D1592" s="670" t="s">
        <v>5382</v>
      </c>
      <c r="E1592" s="670" t="s">
        <v>5383</v>
      </c>
      <c r="F1592" s="670">
        <v>17900.0</v>
      </c>
      <c r="G1592" s="670" t="s">
        <v>43</v>
      </c>
      <c r="H1592" s="670" t="s">
        <v>2261</v>
      </c>
      <c r="I1592" s="670" t="s">
        <v>2262</v>
      </c>
      <c r="J1592" s="671">
        <v>46234.0</v>
      </c>
    </row>
    <row r="1593">
      <c r="A1593" s="670">
        <v>1632.0</v>
      </c>
      <c r="B1593" s="670" t="s">
        <v>2257</v>
      </c>
      <c r="C1593" s="670" t="s">
        <v>2258</v>
      </c>
      <c r="D1593" s="670" t="s">
        <v>5384</v>
      </c>
      <c r="E1593" s="670" t="s">
        <v>5385</v>
      </c>
      <c r="F1593" s="670">
        <v>20150.0</v>
      </c>
      <c r="G1593" s="670" t="s">
        <v>43</v>
      </c>
      <c r="H1593" s="670" t="s">
        <v>2261</v>
      </c>
      <c r="I1593" s="670" t="s">
        <v>2262</v>
      </c>
      <c r="J1593" s="671">
        <v>46234.0</v>
      </c>
    </row>
    <row r="1594">
      <c r="A1594" s="670">
        <v>1633.0</v>
      </c>
      <c r="B1594" s="670" t="s">
        <v>2257</v>
      </c>
      <c r="C1594" s="670" t="s">
        <v>2258</v>
      </c>
      <c r="D1594" s="670" t="s">
        <v>5386</v>
      </c>
      <c r="E1594" s="670" t="s">
        <v>5387</v>
      </c>
      <c r="F1594" s="670">
        <v>32150.0</v>
      </c>
      <c r="G1594" s="670" t="s">
        <v>43</v>
      </c>
      <c r="H1594" s="670" t="s">
        <v>2261</v>
      </c>
      <c r="I1594" s="670" t="s">
        <v>2262</v>
      </c>
      <c r="J1594" s="671">
        <v>46234.0</v>
      </c>
    </row>
    <row r="1595">
      <c r="A1595" s="670">
        <v>1634.0</v>
      </c>
      <c r="B1595" s="670" t="s">
        <v>2257</v>
      </c>
      <c r="C1595" s="670" t="s">
        <v>2258</v>
      </c>
      <c r="D1595" s="670" t="s">
        <v>5388</v>
      </c>
      <c r="E1595" s="670" t="s">
        <v>5389</v>
      </c>
      <c r="F1595" s="670">
        <v>33450.0</v>
      </c>
      <c r="G1595" s="670" t="s">
        <v>43</v>
      </c>
      <c r="H1595" s="670" t="s">
        <v>2261</v>
      </c>
      <c r="I1595" s="670" t="s">
        <v>2262</v>
      </c>
      <c r="J1595" s="671">
        <v>46234.0</v>
      </c>
    </row>
    <row r="1596">
      <c r="A1596" s="670">
        <v>1635.0</v>
      </c>
      <c r="B1596" s="670" t="s">
        <v>2257</v>
      </c>
      <c r="C1596" s="670" t="s">
        <v>2258</v>
      </c>
      <c r="D1596" s="670" t="s">
        <v>5390</v>
      </c>
      <c r="E1596" s="670" t="s">
        <v>5391</v>
      </c>
      <c r="F1596" s="670">
        <v>41950.0</v>
      </c>
      <c r="G1596" s="670" t="s">
        <v>43</v>
      </c>
      <c r="H1596" s="670" t="s">
        <v>2261</v>
      </c>
      <c r="I1596" s="670" t="s">
        <v>2262</v>
      </c>
      <c r="J1596" s="671">
        <v>46234.0</v>
      </c>
    </row>
    <row r="1597">
      <c r="A1597" s="670">
        <v>1636.0</v>
      </c>
      <c r="B1597" s="670" t="s">
        <v>2257</v>
      </c>
      <c r="C1597" s="670" t="s">
        <v>2258</v>
      </c>
      <c r="D1597" s="670" t="s">
        <v>5392</v>
      </c>
      <c r="E1597" s="670" t="s">
        <v>5393</v>
      </c>
      <c r="F1597" s="670">
        <v>52280.0</v>
      </c>
      <c r="G1597" s="670" t="s">
        <v>43</v>
      </c>
      <c r="H1597" s="670" t="s">
        <v>2261</v>
      </c>
      <c r="I1597" s="670" t="s">
        <v>2262</v>
      </c>
      <c r="J1597" s="671">
        <v>46234.0</v>
      </c>
    </row>
    <row r="1598">
      <c r="A1598" s="670">
        <v>1637.0</v>
      </c>
      <c r="B1598" s="670" t="s">
        <v>2257</v>
      </c>
      <c r="C1598" s="670" t="s">
        <v>2258</v>
      </c>
      <c r="D1598" s="670" t="s">
        <v>5394</v>
      </c>
      <c r="E1598" s="670" t="s">
        <v>5395</v>
      </c>
      <c r="F1598" s="670">
        <v>56800.0</v>
      </c>
      <c r="G1598" s="670" t="s">
        <v>43</v>
      </c>
      <c r="H1598" s="670" t="s">
        <v>2261</v>
      </c>
      <c r="I1598" s="670" t="s">
        <v>2262</v>
      </c>
      <c r="J1598" s="671">
        <v>46234.0</v>
      </c>
    </row>
    <row r="1599">
      <c r="A1599" s="670">
        <v>1638.0</v>
      </c>
      <c r="B1599" s="670" t="s">
        <v>2257</v>
      </c>
      <c r="C1599" s="670" t="s">
        <v>2258</v>
      </c>
      <c r="D1599" s="670" t="s">
        <v>5396</v>
      </c>
      <c r="E1599" s="670" t="s">
        <v>5397</v>
      </c>
      <c r="F1599" s="670">
        <v>79200.0</v>
      </c>
      <c r="G1599" s="670" t="s">
        <v>43</v>
      </c>
      <c r="H1599" s="670" t="s">
        <v>2261</v>
      </c>
      <c r="I1599" s="670" t="s">
        <v>2262</v>
      </c>
      <c r="J1599" s="671">
        <v>46234.0</v>
      </c>
    </row>
    <row r="1600">
      <c r="A1600" s="670">
        <v>1639.0</v>
      </c>
      <c r="B1600" s="670" t="s">
        <v>2257</v>
      </c>
      <c r="C1600" s="670" t="s">
        <v>2258</v>
      </c>
      <c r="D1600" s="670" t="s">
        <v>5398</v>
      </c>
      <c r="E1600" s="670" t="s">
        <v>5399</v>
      </c>
      <c r="F1600" s="670">
        <v>88800.0</v>
      </c>
      <c r="G1600" s="670" t="s">
        <v>43</v>
      </c>
      <c r="H1600" s="670" t="s">
        <v>2261</v>
      </c>
      <c r="I1600" s="670" t="s">
        <v>2262</v>
      </c>
      <c r="J1600" s="671">
        <v>46234.0</v>
      </c>
    </row>
    <row r="1601">
      <c r="A1601" s="670">
        <v>1640.0</v>
      </c>
      <c r="B1601" s="670" t="s">
        <v>2257</v>
      </c>
      <c r="C1601" s="670" t="s">
        <v>2258</v>
      </c>
      <c r="D1601" s="670" t="s">
        <v>5400</v>
      </c>
      <c r="E1601" s="670" t="s">
        <v>5401</v>
      </c>
      <c r="F1601" s="670">
        <v>104360.0</v>
      </c>
      <c r="G1601" s="670" t="s">
        <v>43</v>
      </c>
      <c r="H1601" s="670" t="s">
        <v>2261</v>
      </c>
      <c r="I1601" s="670" t="s">
        <v>2262</v>
      </c>
      <c r="J1601" s="671">
        <v>46234.0</v>
      </c>
    </row>
    <row r="1602">
      <c r="A1602" s="670">
        <v>1641.0</v>
      </c>
      <c r="B1602" s="670" t="s">
        <v>2257</v>
      </c>
      <c r="C1602" s="670" t="s">
        <v>2258</v>
      </c>
      <c r="D1602" s="670" t="s">
        <v>5402</v>
      </c>
      <c r="E1602" s="670" t="s">
        <v>5403</v>
      </c>
      <c r="F1602" s="670">
        <v>137240.0</v>
      </c>
      <c r="G1602" s="670" t="s">
        <v>43</v>
      </c>
      <c r="H1602" s="670" t="s">
        <v>2261</v>
      </c>
      <c r="I1602" s="670" t="s">
        <v>2262</v>
      </c>
      <c r="J1602" s="671">
        <v>46234.0</v>
      </c>
    </row>
    <row r="1603">
      <c r="A1603" s="670">
        <v>1642.0</v>
      </c>
      <c r="B1603" s="670" t="s">
        <v>2257</v>
      </c>
      <c r="C1603" s="670" t="s">
        <v>2258</v>
      </c>
      <c r="D1603" s="670" t="s">
        <v>5404</v>
      </c>
      <c r="E1603" s="670" t="s">
        <v>5405</v>
      </c>
      <c r="F1603" s="670">
        <v>170890.0</v>
      </c>
      <c r="G1603" s="670" t="s">
        <v>43</v>
      </c>
      <c r="H1603" s="670" t="s">
        <v>2261</v>
      </c>
      <c r="I1603" s="670" t="s">
        <v>2262</v>
      </c>
      <c r="J1603" s="671">
        <v>46234.0</v>
      </c>
    </row>
    <row r="1604">
      <c r="A1604" s="670">
        <v>1643.0</v>
      </c>
      <c r="B1604" s="670" t="s">
        <v>2257</v>
      </c>
      <c r="C1604" s="670" t="s">
        <v>2258</v>
      </c>
      <c r="D1604" s="670" t="s">
        <v>5406</v>
      </c>
      <c r="E1604" s="670" t="s">
        <v>5407</v>
      </c>
      <c r="F1604" s="670">
        <v>197800.0</v>
      </c>
      <c r="G1604" s="670" t="s">
        <v>43</v>
      </c>
      <c r="H1604" s="670" t="s">
        <v>2261</v>
      </c>
      <c r="I1604" s="670" t="s">
        <v>2262</v>
      </c>
      <c r="J1604" s="671">
        <v>46234.0</v>
      </c>
    </row>
    <row r="1605">
      <c r="A1605" s="670">
        <v>1644.0</v>
      </c>
      <c r="B1605" s="670" t="s">
        <v>2257</v>
      </c>
      <c r="C1605" s="670" t="s">
        <v>2258</v>
      </c>
      <c r="D1605" s="670" t="s">
        <v>5408</v>
      </c>
      <c r="E1605" s="670" t="s">
        <v>5409</v>
      </c>
      <c r="F1605" s="670">
        <v>244800.0</v>
      </c>
      <c r="G1605" s="670" t="s">
        <v>43</v>
      </c>
      <c r="H1605" s="670" t="s">
        <v>2261</v>
      </c>
      <c r="I1605" s="670" t="s">
        <v>2262</v>
      </c>
      <c r="J1605" s="671">
        <v>46234.0</v>
      </c>
    </row>
    <row r="1606">
      <c r="A1606" s="670">
        <v>1645.0</v>
      </c>
      <c r="B1606" s="670" t="s">
        <v>2257</v>
      </c>
      <c r="C1606" s="670" t="s">
        <v>2258</v>
      </c>
      <c r="D1606" s="670" t="s">
        <v>5410</v>
      </c>
      <c r="E1606" s="670" t="s">
        <v>5411</v>
      </c>
      <c r="F1606" s="670">
        <v>287000.0</v>
      </c>
      <c r="G1606" s="670" t="s">
        <v>43</v>
      </c>
      <c r="H1606" s="670" t="s">
        <v>2261</v>
      </c>
      <c r="I1606" s="670" t="s">
        <v>2262</v>
      </c>
      <c r="J1606" s="671">
        <v>46234.0</v>
      </c>
    </row>
    <row r="1607">
      <c r="A1607" s="670">
        <v>1646.0</v>
      </c>
      <c r="B1607" s="670" t="s">
        <v>2257</v>
      </c>
      <c r="C1607" s="670" t="s">
        <v>2258</v>
      </c>
      <c r="D1607" s="670" t="s">
        <v>5412</v>
      </c>
      <c r="E1607" s="670" t="s">
        <v>5413</v>
      </c>
      <c r="F1607" s="670">
        <v>345600.0</v>
      </c>
      <c r="G1607" s="670" t="s">
        <v>43</v>
      </c>
      <c r="H1607" s="670" t="s">
        <v>2261</v>
      </c>
      <c r="I1607" s="670" t="s">
        <v>2262</v>
      </c>
      <c r="J1607" s="671">
        <v>46234.0</v>
      </c>
    </row>
    <row r="1608">
      <c r="A1608" s="670">
        <v>1647.0</v>
      </c>
      <c r="B1608" s="670" t="s">
        <v>2257</v>
      </c>
      <c r="C1608" s="670" t="s">
        <v>2258</v>
      </c>
      <c r="D1608" s="670" t="s">
        <v>5414</v>
      </c>
      <c r="E1608" s="670" t="s">
        <v>5415</v>
      </c>
      <c r="F1608" s="670">
        <v>360000.0</v>
      </c>
      <c r="G1608" s="670" t="s">
        <v>43</v>
      </c>
      <c r="H1608" s="670" t="s">
        <v>2261</v>
      </c>
      <c r="I1608" s="670" t="s">
        <v>2262</v>
      </c>
      <c r="J1608" s="671">
        <v>46234.0</v>
      </c>
    </row>
    <row r="1609">
      <c r="A1609" s="670">
        <v>1648.0</v>
      </c>
      <c r="B1609" s="670" t="s">
        <v>2257</v>
      </c>
      <c r="C1609" s="670" t="s">
        <v>2258</v>
      </c>
      <c r="D1609" s="670" t="s">
        <v>5416</v>
      </c>
      <c r="E1609" s="670" t="s">
        <v>5417</v>
      </c>
      <c r="F1609" s="670">
        <v>378800.0</v>
      </c>
      <c r="G1609" s="670" t="s">
        <v>43</v>
      </c>
      <c r="H1609" s="670" t="s">
        <v>2261</v>
      </c>
      <c r="I1609" s="670" t="s">
        <v>2262</v>
      </c>
      <c r="J1609" s="671">
        <v>46234.0</v>
      </c>
    </row>
    <row r="1610">
      <c r="A1610" s="670">
        <v>1649.0</v>
      </c>
      <c r="B1610" s="670" t="s">
        <v>2257</v>
      </c>
      <c r="C1610" s="670" t="s">
        <v>2258</v>
      </c>
      <c r="D1610" s="670" t="s">
        <v>5418</v>
      </c>
      <c r="E1610" s="670" t="s">
        <v>5419</v>
      </c>
      <c r="F1610" s="670">
        <v>474100.0</v>
      </c>
      <c r="G1610" s="670" t="s">
        <v>43</v>
      </c>
      <c r="H1610" s="670" t="s">
        <v>2261</v>
      </c>
      <c r="I1610" s="670" t="s">
        <v>2262</v>
      </c>
      <c r="J1610" s="671">
        <v>46234.0</v>
      </c>
    </row>
    <row r="1611">
      <c r="A1611" s="670">
        <v>1650.0</v>
      </c>
      <c r="B1611" s="670" t="s">
        <v>2257</v>
      </c>
      <c r="C1611" s="670" t="s">
        <v>2258</v>
      </c>
      <c r="D1611" s="670" t="s">
        <v>5420</v>
      </c>
      <c r="E1611" s="670" t="s">
        <v>5421</v>
      </c>
      <c r="F1611" s="670">
        <v>514900.0</v>
      </c>
      <c r="G1611" s="670" t="s">
        <v>43</v>
      </c>
      <c r="H1611" s="670" t="s">
        <v>2261</v>
      </c>
      <c r="I1611" s="670" t="s">
        <v>2262</v>
      </c>
      <c r="J1611" s="671">
        <v>46234.0</v>
      </c>
    </row>
    <row r="1612">
      <c r="A1612" s="670">
        <v>1651.0</v>
      </c>
      <c r="B1612" s="670" t="s">
        <v>2257</v>
      </c>
      <c r="C1612" s="670" t="s">
        <v>2258</v>
      </c>
      <c r="D1612" s="670" t="s">
        <v>5422</v>
      </c>
      <c r="E1612" s="670" t="s">
        <v>5423</v>
      </c>
      <c r="F1612" s="670">
        <v>515200.0</v>
      </c>
      <c r="G1612" s="670" t="s">
        <v>43</v>
      </c>
      <c r="H1612" s="670" t="s">
        <v>2261</v>
      </c>
      <c r="I1612" s="670" t="s">
        <v>2262</v>
      </c>
      <c r="J1612" s="671">
        <v>46234.0</v>
      </c>
    </row>
    <row r="1613">
      <c r="A1613" s="670">
        <v>1652.0</v>
      </c>
      <c r="B1613" s="670" t="s">
        <v>2257</v>
      </c>
      <c r="C1613" s="670" t="s">
        <v>2258</v>
      </c>
      <c r="D1613" s="670" t="s">
        <v>5424</v>
      </c>
      <c r="E1613" s="670" t="s">
        <v>5425</v>
      </c>
      <c r="F1613" s="670">
        <v>596400.0</v>
      </c>
      <c r="G1613" s="670" t="s">
        <v>43</v>
      </c>
      <c r="H1613" s="670" t="s">
        <v>2261</v>
      </c>
      <c r="I1613" s="670" t="s">
        <v>2262</v>
      </c>
      <c r="J1613" s="671">
        <v>46234.0</v>
      </c>
    </row>
    <row r="1614">
      <c r="A1614" s="670">
        <v>1653.0</v>
      </c>
      <c r="B1614" s="670" t="s">
        <v>2257</v>
      </c>
      <c r="C1614" s="670" t="s">
        <v>2258</v>
      </c>
      <c r="D1614" s="670" t="s">
        <v>5426</v>
      </c>
      <c r="E1614" s="670" t="s">
        <v>5427</v>
      </c>
      <c r="F1614" s="670">
        <v>10336.0</v>
      </c>
      <c r="G1614" s="670" t="s">
        <v>43</v>
      </c>
      <c r="H1614" s="670" t="s">
        <v>2261</v>
      </c>
      <c r="I1614" s="670" t="s">
        <v>2262</v>
      </c>
      <c r="J1614" s="671">
        <v>46234.0</v>
      </c>
    </row>
    <row r="1615">
      <c r="A1615" s="670">
        <v>1654.0</v>
      </c>
      <c r="B1615" s="670" t="s">
        <v>2257</v>
      </c>
      <c r="C1615" s="670" t="s">
        <v>2258</v>
      </c>
      <c r="D1615" s="670" t="s">
        <v>5428</v>
      </c>
      <c r="E1615" s="670" t="s">
        <v>5429</v>
      </c>
      <c r="F1615" s="670">
        <v>5790.0</v>
      </c>
      <c r="G1615" s="670" t="s">
        <v>43</v>
      </c>
      <c r="H1615" s="670" t="s">
        <v>2261</v>
      </c>
      <c r="I1615" s="670" t="s">
        <v>2262</v>
      </c>
      <c r="J1615" s="671">
        <v>46234.0</v>
      </c>
    </row>
    <row r="1616">
      <c r="A1616" s="670">
        <v>1655.0</v>
      </c>
      <c r="B1616" s="670" t="s">
        <v>2257</v>
      </c>
      <c r="C1616" s="670" t="s">
        <v>2258</v>
      </c>
      <c r="D1616" s="670" t="s">
        <v>5430</v>
      </c>
      <c r="E1616" s="670" t="s">
        <v>5431</v>
      </c>
      <c r="F1616" s="670">
        <v>6520.0</v>
      </c>
      <c r="G1616" s="670" t="s">
        <v>43</v>
      </c>
      <c r="H1616" s="670" t="s">
        <v>2261</v>
      </c>
      <c r="I1616" s="670" t="s">
        <v>2262</v>
      </c>
      <c r="J1616" s="671">
        <v>46234.0</v>
      </c>
    </row>
    <row r="1617">
      <c r="A1617" s="670">
        <v>1656.0</v>
      </c>
      <c r="B1617" s="670" t="s">
        <v>2257</v>
      </c>
      <c r="C1617" s="670" t="s">
        <v>2258</v>
      </c>
      <c r="D1617" s="670" t="s">
        <v>5432</v>
      </c>
      <c r="E1617" s="670" t="s">
        <v>5433</v>
      </c>
      <c r="F1617" s="670">
        <v>7750.0</v>
      </c>
      <c r="G1617" s="670" t="s">
        <v>43</v>
      </c>
      <c r="H1617" s="670" t="s">
        <v>2261</v>
      </c>
      <c r="I1617" s="670" t="s">
        <v>2262</v>
      </c>
      <c r="J1617" s="671">
        <v>46234.0</v>
      </c>
    </row>
    <row r="1618">
      <c r="A1618" s="670">
        <v>1657.0</v>
      </c>
      <c r="B1618" s="670" t="s">
        <v>2257</v>
      </c>
      <c r="C1618" s="670" t="s">
        <v>2258</v>
      </c>
      <c r="D1618" s="670" t="s">
        <v>5434</v>
      </c>
      <c r="E1618" s="670" t="s">
        <v>5435</v>
      </c>
      <c r="F1618" s="670">
        <v>10100.0</v>
      </c>
      <c r="G1618" s="670" t="s">
        <v>43</v>
      </c>
      <c r="H1618" s="670" t="s">
        <v>2261</v>
      </c>
      <c r="I1618" s="670" t="s">
        <v>2262</v>
      </c>
      <c r="J1618" s="671">
        <v>46234.0</v>
      </c>
    </row>
    <row r="1619">
      <c r="A1619" s="670">
        <v>1658.0</v>
      </c>
      <c r="B1619" s="670" t="s">
        <v>2257</v>
      </c>
      <c r="C1619" s="670" t="s">
        <v>2258</v>
      </c>
      <c r="D1619" s="670" t="s">
        <v>5436</v>
      </c>
      <c r="E1619" s="670" t="s">
        <v>5437</v>
      </c>
      <c r="F1619" s="670">
        <v>11570.0</v>
      </c>
      <c r="G1619" s="670" t="s">
        <v>43</v>
      </c>
      <c r="H1619" s="670" t="s">
        <v>2261</v>
      </c>
      <c r="I1619" s="670" t="s">
        <v>2262</v>
      </c>
      <c r="J1619" s="671">
        <v>46234.0</v>
      </c>
    </row>
    <row r="1620">
      <c r="A1620" s="670">
        <v>1659.0</v>
      </c>
      <c r="B1620" s="670" t="s">
        <v>2257</v>
      </c>
      <c r="C1620" s="670" t="s">
        <v>2258</v>
      </c>
      <c r="D1620" s="670" t="s">
        <v>5438</v>
      </c>
      <c r="E1620" s="670" t="s">
        <v>5439</v>
      </c>
      <c r="F1620" s="670">
        <v>29131.0</v>
      </c>
      <c r="G1620" s="670" t="s">
        <v>43</v>
      </c>
      <c r="H1620" s="670" t="s">
        <v>2572</v>
      </c>
      <c r="I1620" s="670" t="s">
        <v>2573</v>
      </c>
      <c r="J1620" s="671">
        <v>46234.0</v>
      </c>
    </row>
    <row r="1621">
      <c r="A1621" s="670">
        <v>1660.0</v>
      </c>
      <c r="B1621" s="670" t="s">
        <v>2257</v>
      </c>
      <c r="C1621" s="670" t="s">
        <v>2258</v>
      </c>
      <c r="D1621" s="670" t="s">
        <v>5440</v>
      </c>
      <c r="E1621" s="670" t="s">
        <v>5441</v>
      </c>
      <c r="F1621" s="670">
        <v>17840.0</v>
      </c>
      <c r="G1621" s="670" t="s">
        <v>43</v>
      </c>
      <c r="H1621" s="670" t="s">
        <v>2261</v>
      </c>
      <c r="I1621" s="670" t="s">
        <v>2262</v>
      </c>
      <c r="J1621" s="671">
        <v>46234.0</v>
      </c>
    </row>
    <row r="1622">
      <c r="A1622" s="670">
        <v>1661.0</v>
      </c>
      <c r="B1622" s="670" t="s">
        <v>2257</v>
      </c>
      <c r="C1622" s="670" t="s">
        <v>2258</v>
      </c>
      <c r="D1622" s="670" t="s">
        <v>5442</v>
      </c>
      <c r="E1622" s="670" t="s">
        <v>5443</v>
      </c>
      <c r="F1622" s="670">
        <v>21540.0</v>
      </c>
      <c r="G1622" s="670" t="s">
        <v>43</v>
      </c>
      <c r="H1622" s="670" t="s">
        <v>2261</v>
      </c>
      <c r="I1622" s="670" t="s">
        <v>2262</v>
      </c>
      <c r="J1622" s="671">
        <v>46234.0</v>
      </c>
    </row>
    <row r="1623">
      <c r="A1623" s="670">
        <v>1662.0</v>
      </c>
      <c r="B1623" s="670" t="s">
        <v>2257</v>
      </c>
      <c r="C1623" s="670" t="s">
        <v>2258</v>
      </c>
      <c r="D1623" s="670" t="s">
        <v>5444</v>
      </c>
      <c r="E1623" s="670" t="s">
        <v>5445</v>
      </c>
      <c r="F1623" s="670">
        <v>31780.0</v>
      </c>
      <c r="G1623" s="670" t="s">
        <v>43</v>
      </c>
      <c r="H1623" s="670" t="s">
        <v>2261</v>
      </c>
      <c r="I1623" s="670" t="s">
        <v>2262</v>
      </c>
      <c r="J1623" s="671">
        <v>46234.0</v>
      </c>
    </row>
    <row r="1624">
      <c r="A1624" s="670">
        <v>1663.0</v>
      </c>
      <c r="B1624" s="670" t="s">
        <v>2257</v>
      </c>
      <c r="C1624" s="670" t="s">
        <v>2258</v>
      </c>
      <c r="D1624" s="670" t="s">
        <v>5446</v>
      </c>
      <c r="E1624" s="670" t="s">
        <v>5447</v>
      </c>
      <c r="F1624" s="670">
        <v>36100.0</v>
      </c>
      <c r="G1624" s="670" t="s">
        <v>43</v>
      </c>
      <c r="H1624" s="670" t="s">
        <v>2261</v>
      </c>
      <c r="I1624" s="670" t="s">
        <v>2262</v>
      </c>
      <c r="J1624" s="671">
        <v>46234.0</v>
      </c>
    </row>
    <row r="1625">
      <c r="A1625" s="670">
        <v>1664.0</v>
      </c>
      <c r="B1625" s="670" t="s">
        <v>2257</v>
      </c>
      <c r="C1625" s="670" t="s">
        <v>2258</v>
      </c>
      <c r="D1625" s="670" t="s">
        <v>5448</v>
      </c>
      <c r="E1625" s="670" t="s">
        <v>5449</v>
      </c>
      <c r="F1625" s="670">
        <v>39100.0</v>
      </c>
      <c r="G1625" s="670" t="s">
        <v>43</v>
      </c>
      <c r="H1625" s="670" t="s">
        <v>2261</v>
      </c>
      <c r="I1625" s="670" t="s">
        <v>2262</v>
      </c>
      <c r="J1625" s="671">
        <v>46234.0</v>
      </c>
    </row>
    <row r="1626">
      <c r="A1626" s="670">
        <v>1665.0</v>
      </c>
      <c r="B1626" s="670" t="s">
        <v>2257</v>
      </c>
      <c r="C1626" s="670" t="s">
        <v>2258</v>
      </c>
      <c r="D1626" s="670" t="s">
        <v>5450</v>
      </c>
      <c r="E1626" s="670" t="s">
        <v>5451</v>
      </c>
      <c r="F1626" s="670">
        <v>51000.0</v>
      </c>
      <c r="G1626" s="670" t="s">
        <v>43</v>
      </c>
      <c r="H1626" s="670" t="s">
        <v>2261</v>
      </c>
      <c r="I1626" s="670" t="s">
        <v>2262</v>
      </c>
      <c r="J1626" s="671">
        <v>46234.0</v>
      </c>
    </row>
    <row r="1627">
      <c r="A1627" s="670">
        <v>1666.0</v>
      </c>
      <c r="B1627" s="670" t="s">
        <v>2257</v>
      </c>
      <c r="C1627" s="670" t="s">
        <v>2258</v>
      </c>
      <c r="D1627" s="670" t="s">
        <v>5452</v>
      </c>
      <c r="E1627" s="670" t="s">
        <v>5453</v>
      </c>
      <c r="F1627" s="670">
        <v>68180.0</v>
      </c>
      <c r="G1627" s="670" t="s">
        <v>43</v>
      </c>
      <c r="H1627" s="670" t="s">
        <v>2261</v>
      </c>
      <c r="I1627" s="670" t="s">
        <v>2262</v>
      </c>
      <c r="J1627" s="671">
        <v>46234.0</v>
      </c>
    </row>
    <row r="1628">
      <c r="A1628" s="670">
        <v>1667.0</v>
      </c>
      <c r="B1628" s="670" t="s">
        <v>2257</v>
      </c>
      <c r="C1628" s="670" t="s">
        <v>2258</v>
      </c>
      <c r="D1628" s="670" t="s">
        <v>5454</v>
      </c>
      <c r="E1628" s="670" t="s">
        <v>5455</v>
      </c>
      <c r="F1628" s="670">
        <v>74570.0</v>
      </c>
      <c r="G1628" s="670" t="s">
        <v>43</v>
      </c>
      <c r="H1628" s="670" t="s">
        <v>2261</v>
      </c>
      <c r="I1628" s="670" t="s">
        <v>2262</v>
      </c>
      <c r="J1628" s="671">
        <v>46234.0</v>
      </c>
    </row>
    <row r="1629">
      <c r="A1629" s="670">
        <v>1668.0</v>
      </c>
      <c r="B1629" s="670" t="s">
        <v>2257</v>
      </c>
      <c r="C1629" s="670" t="s">
        <v>2258</v>
      </c>
      <c r="D1629" s="670" t="s">
        <v>5456</v>
      </c>
      <c r="E1629" s="670" t="s">
        <v>5457</v>
      </c>
      <c r="F1629" s="670">
        <v>103800.0</v>
      </c>
      <c r="G1629" s="670" t="s">
        <v>43</v>
      </c>
      <c r="H1629" s="670" t="s">
        <v>2261</v>
      </c>
      <c r="I1629" s="670" t="s">
        <v>2262</v>
      </c>
      <c r="J1629" s="671">
        <v>46234.0</v>
      </c>
    </row>
    <row r="1630">
      <c r="A1630" s="670">
        <v>1669.0</v>
      </c>
      <c r="B1630" s="670" t="s">
        <v>2257</v>
      </c>
      <c r="C1630" s="670" t="s">
        <v>2258</v>
      </c>
      <c r="D1630" s="670" t="s">
        <v>5458</v>
      </c>
      <c r="E1630" s="670" t="s">
        <v>5459</v>
      </c>
      <c r="F1630" s="670">
        <v>130400.0</v>
      </c>
      <c r="G1630" s="670" t="s">
        <v>43</v>
      </c>
      <c r="H1630" s="670" t="s">
        <v>2261</v>
      </c>
      <c r="I1630" s="670" t="s">
        <v>2262</v>
      </c>
      <c r="J1630" s="671">
        <v>46234.0</v>
      </c>
    </row>
    <row r="1631">
      <c r="A1631" s="670">
        <v>1670.0</v>
      </c>
      <c r="B1631" s="670" t="s">
        <v>2257</v>
      </c>
      <c r="C1631" s="670" t="s">
        <v>2258</v>
      </c>
      <c r="D1631" s="670" t="s">
        <v>5460</v>
      </c>
      <c r="E1631" s="670" t="s">
        <v>5461</v>
      </c>
      <c r="F1631" s="670">
        <v>163300.0</v>
      </c>
      <c r="G1631" s="670" t="s">
        <v>43</v>
      </c>
      <c r="H1631" s="670" t="s">
        <v>2261</v>
      </c>
      <c r="I1631" s="670" t="s">
        <v>2262</v>
      </c>
      <c r="J1631" s="671">
        <v>46234.0</v>
      </c>
    </row>
    <row r="1632">
      <c r="A1632" s="670">
        <v>1671.0</v>
      </c>
      <c r="B1632" s="670" t="s">
        <v>2257</v>
      </c>
      <c r="C1632" s="670" t="s">
        <v>2258</v>
      </c>
      <c r="D1632" s="670" t="s">
        <v>5462</v>
      </c>
      <c r="E1632" s="670" t="s">
        <v>5463</v>
      </c>
      <c r="F1632" s="670">
        <v>187500.0</v>
      </c>
      <c r="G1632" s="670" t="s">
        <v>43</v>
      </c>
      <c r="H1632" s="670" t="s">
        <v>2261</v>
      </c>
      <c r="I1632" s="670" t="s">
        <v>2262</v>
      </c>
      <c r="J1632" s="671">
        <v>46234.0</v>
      </c>
    </row>
    <row r="1633">
      <c r="A1633" s="670">
        <v>1672.0</v>
      </c>
      <c r="B1633" s="670" t="s">
        <v>2257</v>
      </c>
      <c r="C1633" s="670" t="s">
        <v>2258</v>
      </c>
      <c r="D1633" s="670" t="s">
        <v>5464</v>
      </c>
      <c r="E1633" s="670" t="s">
        <v>5465</v>
      </c>
      <c r="F1633" s="670">
        <v>219100.0</v>
      </c>
      <c r="G1633" s="670" t="s">
        <v>43</v>
      </c>
      <c r="H1633" s="670" t="s">
        <v>2261</v>
      </c>
      <c r="I1633" s="670" t="s">
        <v>2262</v>
      </c>
      <c r="J1633" s="671">
        <v>46234.0</v>
      </c>
    </row>
    <row r="1634">
      <c r="A1634" s="670">
        <v>1673.0</v>
      </c>
      <c r="B1634" s="670" t="s">
        <v>2257</v>
      </c>
      <c r="C1634" s="670" t="s">
        <v>2258</v>
      </c>
      <c r="D1634" s="670" t="s">
        <v>5466</v>
      </c>
      <c r="E1634" s="670" t="s">
        <v>5467</v>
      </c>
      <c r="F1634" s="670">
        <v>274200.0</v>
      </c>
      <c r="G1634" s="670" t="s">
        <v>43</v>
      </c>
      <c r="H1634" s="670" t="s">
        <v>2261</v>
      </c>
      <c r="I1634" s="670" t="s">
        <v>2262</v>
      </c>
      <c r="J1634" s="671">
        <v>46234.0</v>
      </c>
    </row>
    <row r="1635">
      <c r="A1635" s="670">
        <v>1674.0</v>
      </c>
      <c r="B1635" s="670" t="s">
        <v>2257</v>
      </c>
      <c r="C1635" s="670" t="s">
        <v>2258</v>
      </c>
      <c r="D1635" s="670" t="s">
        <v>5468</v>
      </c>
      <c r="E1635" s="670" t="s">
        <v>5469</v>
      </c>
      <c r="F1635" s="670">
        <v>305700.0</v>
      </c>
      <c r="G1635" s="670" t="s">
        <v>43</v>
      </c>
      <c r="H1635" s="670" t="s">
        <v>2261</v>
      </c>
      <c r="I1635" s="670" t="s">
        <v>2262</v>
      </c>
      <c r="J1635" s="671">
        <v>46234.0</v>
      </c>
    </row>
    <row r="1636">
      <c r="A1636" s="670">
        <v>1675.0</v>
      </c>
      <c r="B1636" s="670" t="s">
        <v>2257</v>
      </c>
      <c r="C1636" s="670" t="s">
        <v>2258</v>
      </c>
      <c r="D1636" s="670" t="s">
        <v>5470</v>
      </c>
      <c r="E1636" s="670" t="s">
        <v>5471</v>
      </c>
      <c r="F1636" s="670">
        <v>356900.0</v>
      </c>
      <c r="G1636" s="670" t="s">
        <v>43</v>
      </c>
      <c r="H1636" s="670" t="s">
        <v>2261</v>
      </c>
      <c r="I1636" s="670" t="s">
        <v>2262</v>
      </c>
      <c r="J1636" s="671">
        <v>46234.0</v>
      </c>
    </row>
    <row r="1637">
      <c r="A1637" s="670">
        <v>1676.0</v>
      </c>
      <c r="B1637" s="670" t="s">
        <v>2257</v>
      </c>
      <c r="C1637" s="670" t="s">
        <v>2258</v>
      </c>
      <c r="D1637" s="670" t="s">
        <v>5472</v>
      </c>
      <c r="E1637" s="670" t="s">
        <v>5473</v>
      </c>
      <c r="F1637" s="670">
        <v>405100.0</v>
      </c>
      <c r="G1637" s="670" t="s">
        <v>43</v>
      </c>
      <c r="H1637" s="670" t="s">
        <v>2261</v>
      </c>
      <c r="I1637" s="670" t="s">
        <v>2262</v>
      </c>
      <c r="J1637" s="671">
        <v>46234.0</v>
      </c>
    </row>
    <row r="1638">
      <c r="A1638" s="670">
        <v>1677.0</v>
      </c>
      <c r="B1638" s="670" t="s">
        <v>2257</v>
      </c>
      <c r="C1638" s="670" t="s">
        <v>2258</v>
      </c>
      <c r="D1638" s="670" t="s">
        <v>5474</v>
      </c>
      <c r="E1638" s="670" t="s">
        <v>5475</v>
      </c>
      <c r="F1638" s="670">
        <v>459100.0</v>
      </c>
      <c r="G1638" s="670" t="s">
        <v>43</v>
      </c>
      <c r="H1638" s="670" t="s">
        <v>2261</v>
      </c>
      <c r="I1638" s="670" t="s">
        <v>2262</v>
      </c>
      <c r="J1638" s="671">
        <v>46234.0</v>
      </c>
    </row>
    <row r="1639">
      <c r="A1639" s="670">
        <v>1678.0</v>
      </c>
      <c r="B1639" s="670" t="s">
        <v>2257</v>
      </c>
      <c r="C1639" s="670" t="s">
        <v>2258</v>
      </c>
      <c r="D1639" s="670" t="s">
        <v>5476</v>
      </c>
      <c r="E1639" s="670" t="s">
        <v>5477</v>
      </c>
      <c r="F1639" s="670">
        <v>491500.0</v>
      </c>
      <c r="G1639" s="670" t="s">
        <v>43</v>
      </c>
      <c r="H1639" s="670" t="s">
        <v>2261</v>
      </c>
      <c r="I1639" s="670" t="s">
        <v>2262</v>
      </c>
      <c r="J1639" s="671">
        <v>46234.0</v>
      </c>
    </row>
    <row r="1640">
      <c r="A1640" s="670">
        <v>1679.0</v>
      </c>
      <c r="B1640" s="670" t="s">
        <v>2257</v>
      </c>
      <c r="C1640" s="670" t="s">
        <v>2258</v>
      </c>
      <c r="D1640" s="670" t="s">
        <v>5478</v>
      </c>
      <c r="E1640" s="670" t="s">
        <v>5479</v>
      </c>
      <c r="F1640" s="670">
        <v>506200.0</v>
      </c>
      <c r="G1640" s="670" t="s">
        <v>43</v>
      </c>
      <c r="H1640" s="670" t="s">
        <v>2261</v>
      </c>
      <c r="I1640" s="670" t="s">
        <v>2262</v>
      </c>
      <c r="J1640" s="671">
        <v>46234.0</v>
      </c>
    </row>
    <row r="1641">
      <c r="A1641" s="670">
        <v>1680.0</v>
      </c>
      <c r="B1641" s="670" t="s">
        <v>2257</v>
      </c>
      <c r="C1641" s="670" t="s">
        <v>2258</v>
      </c>
      <c r="D1641" s="670" t="s">
        <v>5480</v>
      </c>
      <c r="E1641" s="670" t="s">
        <v>5481</v>
      </c>
      <c r="F1641" s="670">
        <v>541300.0</v>
      </c>
      <c r="G1641" s="670" t="s">
        <v>43</v>
      </c>
      <c r="H1641" s="670" t="s">
        <v>2261</v>
      </c>
      <c r="I1641" s="670" t="s">
        <v>2262</v>
      </c>
      <c r="J1641" s="671">
        <v>46234.0</v>
      </c>
    </row>
    <row r="1642">
      <c r="A1642" s="670">
        <v>1681.0</v>
      </c>
      <c r="B1642" s="670" t="s">
        <v>2257</v>
      </c>
      <c r="C1642" s="670" t="s">
        <v>2258</v>
      </c>
      <c r="D1642" s="670" t="s">
        <v>5482</v>
      </c>
      <c r="E1642" s="670" t="s">
        <v>5483</v>
      </c>
      <c r="F1642" s="670">
        <v>629300.0</v>
      </c>
      <c r="G1642" s="670" t="s">
        <v>43</v>
      </c>
      <c r="H1642" s="670" t="s">
        <v>2261</v>
      </c>
      <c r="I1642" s="670" t="s">
        <v>2262</v>
      </c>
      <c r="J1642" s="671">
        <v>46234.0</v>
      </c>
    </row>
    <row r="1643">
      <c r="A1643" s="670">
        <v>1682.0</v>
      </c>
      <c r="B1643" s="670" t="s">
        <v>2257</v>
      </c>
      <c r="C1643" s="670" t="s">
        <v>2258</v>
      </c>
      <c r="D1643" s="670" t="s">
        <v>5484</v>
      </c>
      <c r="E1643" s="670" t="s">
        <v>5485</v>
      </c>
      <c r="F1643" s="670">
        <v>779000.0</v>
      </c>
      <c r="G1643" s="670" t="s">
        <v>43</v>
      </c>
      <c r="H1643" s="670" t="s">
        <v>2261</v>
      </c>
      <c r="I1643" s="670" t="s">
        <v>2262</v>
      </c>
      <c r="J1643" s="671">
        <v>46234.0</v>
      </c>
    </row>
    <row r="1644">
      <c r="A1644" s="670">
        <v>1683.0</v>
      </c>
      <c r="B1644" s="670" t="s">
        <v>2257</v>
      </c>
      <c r="C1644" s="670" t="s">
        <v>2258</v>
      </c>
      <c r="D1644" s="670" t="s">
        <v>5486</v>
      </c>
      <c r="E1644" s="670" t="s">
        <v>5487</v>
      </c>
      <c r="F1644" s="670">
        <v>12500.0</v>
      </c>
      <c r="G1644" s="670" t="s">
        <v>43</v>
      </c>
      <c r="H1644" s="670" t="s">
        <v>2261</v>
      </c>
      <c r="I1644" s="670" t="s">
        <v>2262</v>
      </c>
      <c r="J1644" s="671">
        <v>46234.0</v>
      </c>
    </row>
    <row r="1645">
      <c r="A1645" s="670">
        <v>1684.0</v>
      </c>
      <c r="B1645" s="670" t="s">
        <v>2257</v>
      </c>
      <c r="C1645" s="670" t="s">
        <v>2258</v>
      </c>
      <c r="D1645" s="670" t="s">
        <v>5488</v>
      </c>
      <c r="E1645" s="670" t="s">
        <v>5489</v>
      </c>
      <c r="F1645" s="670">
        <v>13615.0</v>
      </c>
      <c r="G1645" s="670" t="s">
        <v>43</v>
      </c>
      <c r="H1645" s="670" t="s">
        <v>2261</v>
      </c>
      <c r="I1645" s="670" t="s">
        <v>2262</v>
      </c>
      <c r="J1645" s="671">
        <v>46234.0</v>
      </c>
    </row>
    <row r="1646">
      <c r="A1646" s="670">
        <v>1685.0</v>
      </c>
      <c r="B1646" s="670" t="s">
        <v>2257</v>
      </c>
      <c r="C1646" s="670" t="s">
        <v>2258</v>
      </c>
      <c r="D1646" s="670" t="s">
        <v>5490</v>
      </c>
      <c r="E1646" s="670" t="s">
        <v>5491</v>
      </c>
      <c r="F1646" s="670">
        <v>16751.0</v>
      </c>
      <c r="G1646" s="670" t="s">
        <v>43</v>
      </c>
      <c r="H1646" s="670" t="s">
        <v>2261</v>
      </c>
      <c r="I1646" s="670" t="s">
        <v>2262</v>
      </c>
      <c r="J1646" s="671">
        <v>46234.0</v>
      </c>
    </row>
    <row r="1647">
      <c r="A1647" s="670">
        <v>1686.0</v>
      </c>
      <c r="B1647" s="670" t="s">
        <v>2257</v>
      </c>
      <c r="C1647" s="670" t="s">
        <v>2258</v>
      </c>
      <c r="D1647" s="670" t="s">
        <v>5492</v>
      </c>
      <c r="E1647" s="670" t="s">
        <v>5493</v>
      </c>
      <c r="F1647" s="670">
        <v>20385.0</v>
      </c>
      <c r="G1647" s="670" t="s">
        <v>43</v>
      </c>
      <c r="H1647" s="670" t="s">
        <v>2261</v>
      </c>
      <c r="I1647" s="670" t="s">
        <v>2262</v>
      </c>
      <c r="J1647" s="671">
        <v>46234.0</v>
      </c>
    </row>
    <row r="1648">
      <c r="A1648" s="670">
        <v>1687.0</v>
      </c>
      <c r="B1648" s="670" t="s">
        <v>2257</v>
      </c>
      <c r="C1648" s="670" t="s">
        <v>2258</v>
      </c>
      <c r="D1648" s="670" t="s">
        <v>5494</v>
      </c>
      <c r="E1648" s="670" t="s">
        <v>5495</v>
      </c>
      <c r="F1648" s="670">
        <v>23621.0</v>
      </c>
      <c r="G1648" s="670" t="s">
        <v>43</v>
      </c>
      <c r="H1648" s="670" t="s">
        <v>2261</v>
      </c>
      <c r="I1648" s="670" t="s">
        <v>2262</v>
      </c>
      <c r="J1648" s="671">
        <v>46234.0</v>
      </c>
    </row>
    <row r="1649">
      <c r="A1649" s="670">
        <v>1688.0</v>
      </c>
      <c r="B1649" s="670" t="s">
        <v>2257</v>
      </c>
      <c r="C1649" s="670" t="s">
        <v>2258</v>
      </c>
      <c r="D1649" s="670" t="s">
        <v>5496</v>
      </c>
      <c r="E1649" s="670" t="s">
        <v>5497</v>
      </c>
      <c r="F1649" s="670">
        <v>31262.0</v>
      </c>
      <c r="G1649" s="670" t="s">
        <v>43</v>
      </c>
      <c r="H1649" s="670" t="s">
        <v>2261</v>
      </c>
      <c r="I1649" s="670" t="s">
        <v>2262</v>
      </c>
      <c r="J1649" s="671">
        <v>46234.0</v>
      </c>
    </row>
    <row r="1650">
      <c r="A1650" s="670">
        <v>1689.0</v>
      </c>
      <c r="B1650" s="670" t="s">
        <v>2257</v>
      </c>
      <c r="C1650" s="670" t="s">
        <v>2258</v>
      </c>
      <c r="D1650" s="670" t="s">
        <v>5498</v>
      </c>
      <c r="E1650" s="670" t="s">
        <v>5499</v>
      </c>
      <c r="F1650" s="670">
        <v>48084.0</v>
      </c>
      <c r="G1650" s="670" t="s">
        <v>43</v>
      </c>
      <c r="H1650" s="670" t="s">
        <v>2261</v>
      </c>
      <c r="I1650" s="670" t="s">
        <v>2262</v>
      </c>
      <c r="J1650" s="671">
        <v>46234.0</v>
      </c>
    </row>
    <row r="1651">
      <c r="A1651" s="670">
        <v>1690.0</v>
      </c>
      <c r="B1651" s="670" t="s">
        <v>2257</v>
      </c>
      <c r="C1651" s="670" t="s">
        <v>2258</v>
      </c>
      <c r="D1651" s="670" t="s">
        <v>5500</v>
      </c>
      <c r="E1651" s="670" t="s">
        <v>5501</v>
      </c>
      <c r="F1651" s="670">
        <v>51901.0</v>
      </c>
      <c r="G1651" s="670" t="s">
        <v>43</v>
      </c>
      <c r="H1651" s="670" t="s">
        <v>2261</v>
      </c>
      <c r="I1651" s="670" t="s">
        <v>2262</v>
      </c>
      <c r="J1651" s="671">
        <v>46234.0</v>
      </c>
    </row>
    <row r="1652">
      <c r="A1652" s="670">
        <v>1691.0</v>
      </c>
      <c r="B1652" s="670" t="s">
        <v>2257</v>
      </c>
      <c r="C1652" s="670" t="s">
        <v>2258</v>
      </c>
      <c r="D1652" s="670" t="s">
        <v>5502</v>
      </c>
      <c r="E1652" s="670" t="s">
        <v>5503</v>
      </c>
      <c r="F1652" s="670">
        <v>63198.0</v>
      </c>
      <c r="G1652" s="670" t="s">
        <v>43</v>
      </c>
      <c r="H1652" s="670" t="s">
        <v>2261</v>
      </c>
      <c r="I1652" s="670" t="s">
        <v>2262</v>
      </c>
      <c r="J1652" s="671">
        <v>46234.0</v>
      </c>
    </row>
    <row r="1653">
      <c r="A1653" s="670">
        <v>1692.0</v>
      </c>
      <c r="B1653" s="670" t="s">
        <v>2257</v>
      </c>
      <c r="C1653" s="670" t="s">
        <v>2258</v>
      </c>
      <c r="D1653" s="670" t="s">
        <v>5504</v>
      </c>
      <c r="E1653" s="670" t="s">
        <v>5505</v>
      </c>
      <c r="F1653" s="670">
        <v>77930.0</v>
      </c>
      <c r="G1653" s="670" t="s">
        <v>43</v>
      </c>
      <c r="H1653" s="670" t="s">
        <v>2261</v>
      </c>
      <c r="I1653" s="670" t="s">
        <v>2262</v>
      </c>
      <c r="J1653" s="671">
        <v>46234.0</v>
      </c>
    </row>
    <row r="1654">
      <c r="A1654" s="670">
        <v>1693.0</v>
      </c>
      <c r="B1654" s="670" t="s">
        <v>2257</v>
      </c>
      <c r="C1654" s="670" t="s">
        <v>2258</v>
      </c>
      <c r="D1654" s="670" t="s">
        <v>5506</v>
      </c>
      <c r="E1654" s="670" t="s">
        <v>5507</v>
      </c>
      <c r="F1654" s="670">
        <v>101342.0</v>
      </c>
      <c r="G1654" s="670" t="s">
        <v>43</v>
      </c>
      <c r="H1654" s="670" t="s">
        <v>2261</v>
      </c>
      <c r="I1654" s="670" t="s">
        <v>2262</v>
      </c>
      <c r="J1654" s="671">
        <v>46234.0</v>
      </c>
    </row>
    <row r="1655">
      <c r="A1655" s="670">
        <v>1694.0</v>
      </c>
      <c r="B1655" s="670" t="s">
        <v>2257</v>
      </c>
      <c r="C1655" s="670" t="s">
        <v>2258</v>
      </c>
      <c r="D1655" s="670" t="s">
        <v>5508</v>
      </c>
      <c r="E1655" s="670" t="s">
        <v>5509</v>
      </c>
      <c r="F1655" s="670">
        <v>106874.0</v>
      </c>
      <c r="G1655" s="670" t="s">
        <v>43</v>
      </c>
      <c r="H1655" s="670" t="s">
        <v>2261</v>
      </c>
      <c r="I1655" s="670" t="s">
        <v>2262</v>
      </c>
      <c r="J1655" s="671">
        <v>46234.0</v>
      </c>
    </row>
    <row r="1656">
      <c r="A1656" s="670">
        <v>1695.0</v>
      </c>
      <c r="B1656" s="670" t="s">
        <v>2257</v>
      </c>
      <c r="C1656" s="670" t="s">
        <v>2258</v>
      </c>
      <c r="D1656" s="670" t="s">
        <v>5510</v>
      </c>
      <c r="E1656" s="670" t="s">
        <v>5511</v>
      </c>
      <c r="F1656" s="670">
        <v>149035.0</v>
      </c>
      <c r="G1656" s="670" t="s">
        <v>43</v>
      </c>
      <c r="H1656" s="670" t="s">
        <v>2261</v>
      </c>
      <c r="I1656" s="670" t="s">
        <v>2262</v>
      </c>
      <c r="J1656" s="671">
        <v>46234.0</v>
      </c>
    </row>
    <row r="1657">
      <c r="A1657" s="670">
        <v>1696.0</v>
      </c>
      <c r="B1657" s="670" t="s">
        <v>2257</v>
      </c>
      <c r="C1657" s="670" t="s">
        <v>2258</v>
      </c>
      <c r="D1657" s="670" t="s">
        <v>5512</v>
      </c>
      <c r="E1657" s="670" t="s">
        <v>5513</v>
      </c>
      <c r="F1657" s="670">
        <v>191257.0</v>
      </c>
      <c r="G1657" s="670" t="s">
        <v>43</v>
      </c>
      <c r="H1657" s="670" t="s">
        <v>2261</v>
      </c>
      <c r="I1657" s="670" t="s">
        <v>2262</v>
      </c>
      <c r="J1657" s="671">
        <v>46234.0</v>
      </c>
    </row>
    <row r="1658">
      <c r="A1658" s="670">
        <v>1697.0</v>
      </c>
      <c r="B1658" s="670" t="s">
        <v>2257</v>
      </c>
      <c r="C1658" s="670" t="s">
        <v>2258</v>
      </c>
      <c r="D1658" s="670" t="s">
        <v>5514</v>
      </c>
      <c r="E1658" s="670" t="s">
        <v>5515</v>
      </c>
      <c r="F1658" s="670">
        <v>229942.0</v>
      </c>
      <c r="G1658" s="670" t="s">
        <v>43</v>
      </c>
      <c r="H1658" s="670" t="s">
        <v>2261</v>
      </c>
      <c r="I1658" s="670" t="s">
        <v>2262</v>
      </c>
      <c r="J1658" s="671">
        <v>46234.0</v>
      </c>
    </row>
    <row r="1659">
      <c r="A1659" s="670">
        <v>1698.0</v>
      </c>
      <c r="B1659" s="670" t="s">
        <v>2257</v>
      </c>
      <c r="C1659" s="670" t="s">
        <v>2258</v>
      </c>
      <c r="D1659" s="670" t="s">
        <v>5516</v>
      </c>
      <c r="E1659" s="670" t="s">
        <v>5517</v>
      </c>
      <c r="F1659" s="670">
        <v>289198.0</v>
      </c>
      <c r="G1659" s="670" t="s">
        <v>43</v>
      </c>
      <c r="H1659" s="670" t="s">
        <v>2261</v>
      </c>
      <c r="I1659" s="670" t="s">
        <v>2262</v>
      </c>
      <c r="J1659" s="671">
        <v>46234.0</v>
      </c>
    </row>
    <row r="1660">
      <c r="A1660" s="670">
        <v>1699.0</v>
      </c>
      <c r="B1660" s="670" t="s">
        <v>2257</v>
      </c>
      <c r="C1660" s="670" t="s">
        <v>2258</v>
      </c>
      <c r="D1660" s="670" t="s">
        <v>5518</v>
      </c>
      <c r="E1660" s="670" t="s">
        <v>5519</v>
      </c>
      <c r="F1660" s="670">
        <v>310450.0</v>
      </c>
      <c r="G1660" s="670" t="s">
        <v>43</v>
      </c>
      <c r="H1660" s="670" t="s">
        <v>2261</v>
      </c>
      <c r="I1660" s="670" t="s">
        <v>2262</v>
      </c>
      <c r="J1660" s="671">
        <v>46234.0</v>
      </c>
    </row>
    <row r="1661">
      <c r="A1661" s="670">
        <v>1700.0</v>
      </c>
      <c r="B1661" s="670" t="s">
        <v>2257</v>
      </c>
      <c r="C1661" s="670" t="s">
        <v>2258</v>
      </c>
      <c r="D1661" s="670" t="s">
        <v>5520</v>
      </c>
      <c r="E1661" s="670" t="s">
        <v>5521</v>
      </c>
      <c r="F1661" s="670">
        <v>404858.0</v>
      </c>
      <c r="G1661" s="670" t="s">
        <v>43</v>
      </c>
      <c r="H1661" s="670" t="s">
        <v>2261</v>
      </c>
      <c r="I1661" s="670" t="s">
        <v>2262</v>
      </c>
      <c r="J1661" s="671">
        <v>46234.0</v>
      </c>
    </row>
    <row r="1662">
      <c r="A1662" s="670">
        <v>1701.0</v>
      </c>
      <c r="B1662" s="670" t="s">
        <v>2257</v>
      </c>
      <c r="C1662" s="670" t="s">
        <v>2258</v>
      </c>
      <c r="D1662" s="670" t="s">
        <v>5522</v>
      </c>
      <c r="E1662" s="670" t="s">
        <v>5523</v>
      </c>
      <c r="F1662" s="670">
        <v>445528.0</v>
      </c>
      <c r="G1662" s="670" t="s">
        <v>43</v>
      </c>
      <c r="H1662" s="670" t="s">
        <v>2261</v>
      </c>
      <c r="I1662" s="670" t="s">
        <v>2262</v>
      </c>
      <c r="J1662" s="671">
        <v>46234.0</v>
      </c>
    </row>
    <row r="1663">
      <c r="A1663" s="670">
        <v>1702.0</v>
      </c>
      <c r="B1663" s="670" t="s">
        <v>2257</v>
      </c>
      <c r="C1663" s="670" t="s">
        <v>2258</v>
      </c>
      <c r="D1663" s="670" t="s">
        <v>5524</v>
      </c>
      <c r="E1663" s="670" t="s">
        <v>5525</v>
      </c>
      <c r="F1663" s="670">
        <v>542376.0</v>
      </c>
      <c r="G1663" s="670" t="s">
        <v>43</v>
      </c>
      <c r="H1663" s="670" t="s">
        <v>2261</v>
      </c>
      <c r="I1663" s="670" t="s">
        <v>2262</v>
      </c>
      <c r="J1663" s="671">
        <v>46234.0</v>
      </c>
    </row>
    <row r="1664">
      <c r="A1664" s="670">
        <v>1703.0</v>
      </c>
      <c r="B1664" s="670" t="s">
        <v>2257</v>
      </c>
      <c r="C1664" s="670" t="s">
        <v>2258</v>
      </c>
      <c r="D1664" s="670" t="s">
        <v>5526</v>
      </c>
      <c r="E1664" s="670" t="s">
        <v>5527</v>
      </c>
      <c r="F1664" s="670">
        <v>673465.0</v>
      </c>
      <c r="G1664" s="670" t="s">
        <v>43</v>
      </c>
      <c r="H1664" s="670" t="s">
        <v>2261</v>
      </c>
      <c r="I1664" s="670" t="s">
        <v>2262</v>
      </c>
      <c r="J1664" s="671">
        <v>46234.0</v>
      </c>
    </row>
    <row r="1665">
      <c r="A1665" s="670">
        <v>1704.0</v>
      </c>
      <c r="B1665" s="670" t="s">
        <v>2257</v>
      </c>
      <c r="C1665" s="670" t="s">
        <v>2258</v>
      </c>
      <c r="D1665" s="670" t="s">
        <v>5528</v>
      </c>
      <c r="E1665" s="670" t="s">
        <v>5529</v>
      </c>
      <c r="F1665" s="670">
        <v>800878.0</v>
      </c>
      <c r="G1665" s="670" t="s">
        <v>43</v>
      </c>
      <c r="H1665" s="670" t="s">
        <v>2261</v>
      </c>
      <c r="I1665" s="670" t="s">
        <v>2262</v>
      </c>
      <c r="J1665" s="671">
        <v>46234.0</v>
      </c>
    </row>
    <row r="1666">
      <c r="A1666" s="670">
        <v>1705.0</v>
      </c>
      <c r="B1666" s="670" t="s">
        <v>2257</v>
      </c>
      <c r="C1666" s="670" t="s">
        <v>2258</v>
      </c>
      <c r="D1666" s="670" t="s">
        <v>5530</v>
      </c>
      <c r="E1666" s="670" t="s">
        <v>5531</v>
      </c>
      <c r="F1666" s="670">
        <v>917570.0</v>
      </c>
      <c r="G1666" s="670" t="s">
        <v>43</v>
      </c>
      <c r="H1666" s="670" t="s">
        <v>2261</v>
      </c>
      <c r="I1666" s="670" t="s">
        <v>2262</v>
      </c>
      <c r="J1666" s="671">
        <v>46234.0</v>
      </c>
    </row>
    <row r="1667">
      <c r="A1667" s="670">
        <v>1706.0</v>
      </c>
      <c r="B1667" s="670" t="s">
        <v>2257</v>
      </c>
      <c r="C1667" s="670" t="s">
        <v>2258</v>
      </c>
      <c r="D1667" s="670" t="s">
        <v>5532</v>
      </c>
      <c r="E1667" s="670" t="s">
        <v>5533</v>
      </c>
      <c r="F1667" s="670">
        <v>1160936.0</v>
      </c>
      <c r="G1667" s="670" t="s">
        <v>43</v>
      </c>
      <c r="H1667" s="670" t="s">
        <v>2261</v>
      </c>
      <c r="I1667" s="670" t="s">
        <v>2262</v>
      </c>
      <c r="J1667" s="671">
        <v>46234.0</v>
      </c>
    </row>
    <row r="1668">
      <c r="A1668" s="670">
        <v>1707.0</v>
      </c>
      <c r="B1668" s="670" t="s">
        <v>2257</v>
      </c>
      <c r="C1668" s="670" t="s">
        <v>2258</v>
      </c>
      <c r="D1668" s="670" t="s">
        <v>5534</v>
      </c>
      <c r="E1668" s="670" t="s">
        <v>5535</v>
      </c>
      <c r="F1668" s="670">
        <v>1243677.0</v>
      </c>
      <c r="G1668" s="670" t="s">
        <v>43</v>
      </c>
      <c r="H1668" s="670" t="s">
        <v>2261</v>
      </c>
      <c r="I1668" s="670" t="s">
        <v>2262</v>
      </c>
      <c r="J1668" s="671">
        <v>46234.0</v>
      </c>
    </row>
    <row r="1669">
      <c r="A1669" s="670">
        <v>1708.0</v>
      </c>
      <c r="B1669" s="670" t="s">
        <v>2257</v>
      </c>
      <c r="C1669" s="670" t="s">
        <v>2258</v>
      </c>
      <c r="D1669" s="670" t="s">
        <v>5536</v>
      </c>
      <c r="E1669" s="670" t="s">
        <v>5537</v>
      </c>
      <c r="F1669" s="670">
        <v>1747314.0</v>
      </c>
      <c r="G1669" s="670" t="s">
        <v>43</v>
      </c>
      <c r="H1669" s="670" t="s">
        <v>2261</v>
      </c>
      <c r="I1669" s="670" t="s">
        <v>2262</v>
      </c>
      <c r="J1669" s="671">
        <v>46234.0</v>
      </c>
    </row>
    <row r="1670">
      <c r="A1670" s="670">
        <v>1709.0</v>
      </c>
      <c r="B1670" s="670" t="s">
        <v>2257</v>
      </c>
      <c r="C1670" s="670" t="s">
        <v>2258</v>
      </c>
      <c r="D1670" s="670" t="s">
        <v>5538</v>
      </c>
      <c r="E1670" s="670" t="s">
        <v>5539</v>
      </c>
      <c r="F1670" s="670">
        <v>2550000.0</v>
      </c>
      <c r="G1670" s="670" t="s">
        <v>43</v>
      </c>
      <c r="H1670" s="670" t="s">
        <v>2261</v>
      </c>
      <c r="I1670" s="670" t="s">
        <v>2262</v>
      </c>
      <c r="J1670" s="671">
        <v>46234.0</v>
      </c>
    </row>
    <row r="1671">
      <c r="A1671" s="670">
        <v>1710.0</v>
      </c>
      <c r="B1671" s="670" t="s">
        <v>2257</v>
      </c>
      <c r="C1671" s="670" t="s">
        <v>2258</v>
      </c>
      <c r="D1671" s="670" t="s">
        <v>5540</v>
      </c>
      <c r="E1671" s="670" t="s">
        <v>5541</v>
      </c>
      <c r="F1671" s="670">
        <v>2850000.0</v>
      </c>
      <c r="G1671" s="670" t="s">
        <v>43</v>
      </c>
      <c r="H1671" s="670" t="s">
        <v>2261</v>
      </c>
      <c r="I1671" s="670" t="s">
        <v>2262</v>
      </c>
      <c r="J1671" s="671">
        <v>46234.0</v>
      </c>
    </row>
    <row r="1672">
      <c r="A1672" s="670">
        <v>1711.0</v>
      </c>
      <c r="B1672" s="670" t="s">
        <v>5542</v>
      </c>
      <c r="C1672" s="670" t="s">
        <v>2258</v>
      </c>
      <c r="D1672" s="670" t="s">
        <v>5543</v>
      </c>
      <c r="E1672" s="670" t="s">
        <v>5544</v>
      </c>
      <c r="F1672" s="670">
        <v>15798.0</v>
      </c>
      <c r="G1672" s="670" t="s">
        <v>1570</v>
      </c>
      <c r="H1672" s="670" t="s">
        <v>2261</v>
      </c>
      <c r="I1672" s="670" t="s">
        <v>2262</v>
      </c>
      <c r="J1672" s="671">
        <v>46234.0</v>
      </c>
    </row>
    <row r="1673">
      <c r="A1673" s="670">
        <v>1712.0</v>
      </c>
      <c r="B1673" s="670" t="s">
        <v>5542</v>
      </c>
      <c r="C1673" s="670" t="s">
        <v>2258</v>
      </c>
      <c r="D1673" s="670" t="s">
        <v>5545</v>
      </c>
      <c r="E1673" s="670" t="s">
        <v>5546</v>
      </c>
      <c r="F1673" s="670">
        <v>8173.0</v>
      </c>
      <c r="G1673" s="670" t="s">
        <v>1570</v>
      </c>
      <c r="H1673" s="670" t="s">
        <v>2261</v>
      </c>
      <c r="I1673" s="670" t="s">
        <v>2262</v>
      </c>
      <c r="J1673" s="671">
        <v>46234.0</v>
      </c>
    </row>
    <row r="1674">
      <c r="A1674" s="670">
        <v>1713.0</v>
      </c>
      <c r="B1674" s="670" t="s">
        <v>5542</v>
      </c>
      <c r="C1674" s="670" t="s">
        <v>2258</v>
      </c>
      <c r="D1674" s="670" t="s">
        <v>5547</v>
      </c>
      <c r="E1674" s="670" t="s">
        <v>5548</v>
      </c>
      <c r="F1674" s="670">
        <v>3000.0</v>
      </c>
      <c r="G1674" s="670" t="s">
        <v>5549</v>
      </c>
      <c r="H1674" s="670" t="s">
        <v>2261</v>
      </c>
      <c r="I1674" s="670" t="s">
        <v>2262</v>
      </c>
      <c r="J1674" s="671">
        <v>46234.0</v>
      </c>
    </row>
    <row r="1675">
      <c r="A1675" s="670">
        <v>1714.0</v>
      </c>
      <c r="B1675" s="670" t="s">
        <v>5542</v>
      </c>
      <c r="C1675" s="670" t="s">
        <v>2258</v>
      </c>
      <c r="D1675" s="670" t="s">
        <v>5550</v>
      </c>
      <c r="E1675" s="670" t="s">
        <v>5551</v>
      </c>
      <c r="F1675" s="670">
        <v>600.0</v>
      </c>
      <c r="G1675" s="670" t="s">
        <v>5549</v>
      </c>
      <c r="H1675" s="670" t="s">
        <v>2261</v>
      </c>
      <c r="I1675" s="670" t="s">
        <v>2262</v>
      </c>
      <c r="J1675" s="671">
        <v>46234.0</v>
      </c>
    </row>
    <row r="1676">
      <c r="A1676" s="670">
        <v>1715.0</v>
      </c>
      <c r="B1676" s="670" t="s">
        <v>5542</v>
      </c>
      <c r="C1676" s="670" t="s">
        <v>2258</v>
      </c>
      <c r="D1676" s="670" t="s">
        <v>5552</v>
      </c>
      <c r="E1676" s="670" t="s">
        <v>5553</v>
      </c>
      <c r="F1676" s="670">
        <v>923.0</v>
      </c>
      <c r="G1676" s="670" t="s">
        <v>22</v>
      </c>
      <c r="H1676" s="670" t="s">
        <v>2261</v>
      </c>
      <c r="I1676" s="670" t="s">
        <v>2262</v>
      </c>
      <c r="J1676" s="671">
        <v>46234.0</v>
      </c>
    </row>
    <row r="1677">
      <c r="A1677" s="670">
        <v>1716.0</v>
      </c>
      <c r="B1677" s="670" t="s">
        <v>5542</v>
      </c>
      <c r="C1677" s="670" t="s">
        <v>2258</v>
      </c>
      <c r="D1677" s="670" t="s">
        <v>5554</v>
      </c>
      <c r="E1677" s="670" t="s">
        <v>5555</v>
      </c>
      <c r="F1677" s="670">
        <v>1200.0</v>
      </c>
      <c r="G1677" s="670" t="s">
        <v>22</v>
      </c>
      <c r="H1677" s="670" t="s">
        <v>2261</v>
      </c>
      <c r="I1677" s="670" t="s">
        <v>2262</v>
      </c>
      <c r="J1677" s="671">
        <v>46234.0</v>
      </c>
    </row>
    <row r="1678">
      <c r="A1678" s="670">
        <v>1717.0</v>
      </c>
      <c r="B1678" s="670" t="s">
        <v>5542</v>
      </c>
      <c r="C1678" s="670" t="s">
        <v>2258</v>
      </c>
      <c r="D1678" s="670" t="s">
        <v>5556</v>
      </c>
      <c r="E1678" s="670" t="s">
        <v>5557</v>
      </c>
      <c r="F1678" s="670">
        <v>1025.0</v>
      </c>
      <c r="G1678" s="670" t="s">
        <v>22</v>
      </c>
      <c r="H1678" s="670" t="s">
        <v>2261</v>
      </c>
      <c r="I1678" s="670" t="s">
        <v>2262</v>
      </c>
      <c r="J1678" s="671">
        <v>46234.0</v>
      </c>
    </row>
    <row r="1679">
      <c r="A1679" s="670">
        <v>1718.0</v>
      </c>
      <c r="B1679" s="670" t="s">
        <v>5542</v>
      </c>
      <c r="C1679" s="670" t="s">
        <v>2258</v>
      </c>
      <c r="D1679" s="670" t="s">
        <v>5558</v>
      </c>
      <c r="E1679" s="670" t="s">
        <v>5559</v>
      </c>
      <c r="F1679" s="670">
        <v>1300.0</v>
      </c>
      <c r="G1679" s="670" t="s">
        <v>22</v>
      </c>
      <c r="H1679" s="670" t="s">
        <v>2261</v>
      </c>
      <c r="I1679" s="670" t="s">
        <v>2262</v>
      </c>
      <c r="J1679" s="671">
        <v>46234.0</v>
      </c>
    </row>
    <row r="1680">
      <c r="A1680" s="670">
        <v>1719.0</v>
      </c>
      <c r="B1680" s="670" t="s">
        <v>5542</v>
      </c>
      <c r="C1680" s="670" t="s">
        <v>2258</v>
      </c>
      <c r="D1680" s="670" t="s">
        <v>5560</v>
      </c>
      <c r="E1680" s="670" t="s">
        <v>5561</v>
      </c>
      <c r="F1680" s="670">
        <v>1050.0</v>
      </c>
      <c r="G1680" s="670" t="s">
        <v>22</v>
      </c>
      <c r="H1680" s="670" t="s">
        <v>2261</v>
      </c>
      <c r="I1680" s="670" t="s">
        <v>2262</v>
      </c>
      <c r="J1680" s="671">
        <v>46234.0</v>
      </c>
    </row>
    <row r="1681">
      <c r="A1681" s="670">
        <v>1720.0</v>
      </c>
      <c r="B1681" s="670" t="s">
        <v>5542</v>
      </c>
      <c r="C1681" s="670" t="s">
        <v>2258</v>
      </c>
      <c r="D1681" s="670" t="s">
        <v>5562</v>
      </c>
      <c r="E1681" s="670" t="s">
        <v>5563</v>
      </c>
      <c r="F1681" s="670">
        <v>1400.0</v>
      </c>
      <c r="G1681" s="670" t="s">
        <v>22</v>
      </c>
      <c r="H1681" s="670" t="s">
        <v>2261</v>
      </c>
      <c r="I1681" s="670" t="s">
        <v>2262</v>
      </c>
      <c r="J1681" s="671">
        <v>46234.0</v>
      </c>
    </row>
    <row r="1682">
      <c r="A1682" s="670">
        <v>1721.0</v>
      </c>
      <c r="B1682" s="670" t="s">
        <v>5542</v>
      </c>
      <c r="C1682" s="670" t="s">
        <v>2258</v>
      </c>
      <c r="D1682" s="670" t="s">
        <v>5564</v>
      </c>
      <c r="E1682" s="670" t="s">
        <v>5565</v>
      </c>
      <c r="F1682" s="670">
        <v>1100.0</v>
      </c>
      <c r="G1682" s="670" t="s">
        <v>22</v>
      </c>
      <c r="H1682" s="670" t="s">
        <v>2261</v>
      </c>
      <c r="I1682" s="670" t="s">
        <v>2262</v>
      </c>
      <c r="J1682" s="671">
        <v>46234.0</v>
      </c>
    </row>
    <row r="1683">
      <c r="A1683" s="670">
        <v>1722.0</v>
      </c>
      <c r="B1683" s="670" t="s">
        <v>5542</v>
      </c>
      <c r="C1683" s="670" t="s">
        <v>2258</v>
      </c>
      <c r="D1683" s="670" t="s">
        <v>5566</v>
      </c>
      <c r="E1683" s="670" t="s">
        <v>5567</v>
      </c>
      <c r="F1683" s="670">
        <v>1500.0</v>
      </c>
      <c r="G1683" s="670" t="s">
        <v>22</v>
      </c>
      <c r="H1683" s="670" t="s">
        <v>2261</v>
      </c>
      <c r="I1683" s="670" t="s">
        <v>2262</v>
      </c>
      <c r="J1683" s="671">
        <v>46234.0</v>
      </c>
    </row>
    <row r="1684">
      <c r="A1684" s="670">
        <v>1723.0</v>
      </c>
      <c r="B1684" s="670" t="s">
        <v>5542</v>
      </c>
      <c r="C1684" s="670" t="s">
        <v>2258</v>
      </c>
      <c r="D1684" s="670" t="s">
        <v>5568</v>
      </c>
      <c r="E1684" s="670" t="s">
        <v>5569</v>
      </c>
      <c r="F1684" s="670">
        <v>4941.0</v>
      </c>
      <c r="G1684" s="670" t="s">
        <v>22</v>
      </c>
      <c r="H1684" s="670" t="s">
        <v>2261</v>
      </c>
      <c r="I1684" s="670" t="s">
        <v>2262</v>
      </c>
      <c r="J1684" s="671">
        <v>46234.0</v>
      </c>
    </row>
    <row r="1685">
      <c r="A1685" s="670">
        <v>1724.0</v>
      </c>
      <c r="B1685" s="670" t="s">
        <v>5542</v>
      </c>
      <c r="C1685" s="670" t="s">
        <v>2258</v>
      </c>
      <c r="D1685" s="670" t="s">
        <v>5570</v>
      </c>
      <c r="E1685" s="670" t="s">
        <v>5571</v>
      </c>
      <c r="F1685" s="670">
        <v>2401.0</v>
      </c>
      <c r="G1685" s="670" t="s">
        <v>22</v>
      </c>
      <c r="H1685" s="670" t="s">
        <v>2261</v>
      </c>
      <c r="I1685" s="670" t="s">
        <v>2262</v>
      </c>
      <c r="J1685" s="671">
        <v>46234.0</v>
      </c>
    </row>
    <row r="1686">
      <c r="A1686" s="670">
        <v>1725.0</v>
      </c>
      <c r="B1686" s="670" t="s">
        <v>5542</v>
      </c>
      <c r="C1686" s="670" t="s">
        <v>2258</v>
      </c>
      <c r="D1686" s="670" t="s">
        <v>5572</v>
      </c>
      <c r="E1686" s="670" t="s">
        <v>5573</v>
      </c>
      <c r="F1686" s="670">
        <v>2628.0</v>
      </c>
      <c r="G1686" s="670" t="s">
        <v>22</v>
      </c>
      <c r="H1686" s="670" t="s">
        <v>2261</v>
      </c>
      <c r="I1686" s="670" t="s">
        <v>2262</v>
      </c>
      <c r="J1686" s="671">
        <v>46234.0</v>
      </c>
    </row>
    <row r="1687">
      <c r="A1687" s="670">
        <v>1726.0</v>
      </c>
      <c r="B1687" s="670" t="s">
        <v>5542</v>
      </c>
      <c r="C1687" s="670" t="s">
        <v>2258</v>
      </c>
      <c r="D1687" s="670" t="s">
        <v>5574</v>
      </c>
      <c r="E1687" s="670" t="s">
        <v>5575</v>
      </c>
      <c r="F1687" s="670">
        <v>518.0</v>
      </c>
      <c r="G1687" s="670" t="s">
        <v>43</v>
      </c>
      <c r="H1687" s="670" t="s">
        <v>2261</v>
      </c>
      <c r="I1687" s="670" t="s">
        <v>2262</v>
      </c>
      <c r="J1687" s="671">
        <v>46234.0</v>
      </c>
    </row>
    <row r="1688">
      <c r="A1688" s="670">
        <v>1727.0</v>
      </c>
      <c r="B1688" s="670" t="s">
        <v>5542</v>
      </c>
      <c r="C1688" s="670" t="s">
        <v>2258</v>
      </c>
      <c r="D1688" s="670" t="s">
        <v>5576</v>
      </c>
      <c r="E1688" s="670" t="s">
        <v>5577</v>
      </c>
      <c r="F1688" s="670">
        <v>203.0</v>
      </c>
      <c r="G1688" s="670" t="s">
        <v>43</v>
      </c>
      <c r="H1688" s="670" t="s">
        <v>2261</v>
      </c>
      <c r="I1688" s="670" t="s">
        <v>2262</v>
      </c>
      <c r="J1688" s="671">
        <v>46234.0</v>
      </c>
    </row>
    <row r="1689">
      <c r="A1689" s="670">
        <v>1728.0</v>
      </c>
      <c r="B1689" s="670" t="s">
        <v>5542</v>
      </c>
      <c r="C1689" s="670" t="s">
        <v>2258</v>
      </c>
      <c r="D1689" s="670" t="s">
        <v>5578</v>
      </c>
      <c r="E1689" s="670" t="s">
        <v>5579</v>
      </c>
      <c r="F1689" s="670">
        <v>63.0</v>
      </c>
      <c r="G1689" s="670" t="s">
        <v>43</v>
      </c>
      <c r="H1689" s="670" t="s">
        <v>2261</v>
      </c>
      <c r="I1689" s="670" t="s">
        <v>2262</v>
      </c>
      <c r="J1689" s="671">
        <v>46234.0</v>
      </c>
    </row>
    <row r="1690">
      <c r="A1690" s="670">
        <v>1729.0</v>
      </c>
      <c r="B1690" s="670" t="s">
        <v>5542</v>
      </c>
      <c r="C1690" s="670" t="s">
        <v>2258</v>
      </c>
      <c r="D1690" s="670" t="s">
        <v>5580</v>
      </c>
      <c r="E1690" s="670" t="s">
        <v>5581</v>
      </c>
      <c r="F1690" s="670">
        <v>494.0</v>
      </c>
      <c r="G1690" s="670" t="s">
        <v>305</v>
      </c>
      <c r="H1690" s="670" t="s">
        <v>2261</v>
      </c>
      <c r="I1690" s="670" t="s">
        <v>2262</v>
      </c>
      <c r="J1690" s="671">
        <v>46234.0</v>
      </c>
    </row>
    <row r="1691">
      <c r="A1691" s="670">
        <v>1730.0</v>
      </c>
      <c r="B1691" s="670" t="s">
        <v>5542</v>
      </c>
      <c r="C1691" s="670" t="s">
        <v>2258</v>
      </c>
      <c r="D1691" s="670" t="s">
        <v>5582</v>
      </c>
      <c r="E1691" s="670" t="s">
        <v>5583</v>
      </c>
      <c r="F1691" s="670">
        <v>2087.0</v>
      </c>
      <c r="G1691" s="670" t="s">
        <v>27</v>
      </c>
      <c r="H1691" s="670" t="s">
        <v>2261</v>
      </c>
      <c r="I1691" s="670" t="s">
        <v>2262</v>
      </c>
      <c r="J1691" s="671">
        <v>46234.0</v>
      </c>
    </row>
    <row r="1692">
      <c r="A1692" s="670">
        <v>1731.0</v>
      </c>
      <c r="B1692" s="670" t="s">
        <v>5542</v>
      </c>
      <c r="C1692" s="670" t="s">
        <v>2258</v>
      </c>
      <c r="D1692" s="670" t="s">
        <v>5584</v>
      </c>
      <c r="E1692" s="670" t="s">
        <v>5585</v>
      </c>
      <c r="F1692" s="670">
        <v>10000.0</v>
      </c>
      <c r="G1692" s="670" t="s">
        <v>1570</v>
      </c>
      <c r="H1692" s="670" t="s">
        <v>2261</v>
      </c>
      <c r="I1692" s="670" t="s">
        <v>2262</v>
      </c>
      <c r="J1692" s="671">
        <v>46234.0</v>
      </c>
    </row>
    <row r="1693">
      <c r="A1693" s="670">
        <v>1732.0</v>
      </c>
      <c r="B1693" s="670" t="s">
        <v>5542</v>
      </c>
      <c r="C1693" s="670" t="s">
        <v>2258</v>
      </c>
      <c r="D1693" s="670" t="s">
        <v>5586</v>
      </c>
      <c r="E1693" s="670" t="s">
        <v>5587</v>
      </c>
      <c r="F1693" s="670">
        <v>5000.0</v>
      </c>
      <c r="G1693" s="670" t="s">
        <v>1570</v>
      </c>
      <c r="H1693" s="670" t="s">
        <v>2261</v>
      </c>
      <c r="I1693" s="670" t="s">
        <v>2262</v>
      </c>
      <c r="J1693" s="671">
        <v>46234.0</v>
      </c>
    </row>
    <row r="1694">
      <c r="A1694" s="670">
        <v>1733.0</v>
      </c>
      <c r="B1694" s="670" t="s">
        <v>5542</v>
      </c>
      <c r="C1694" s="670" t="s">
        <v>2258</v>
      </c>
      <c r="D1694" s="670" t="s">
        <v>5588</v>
      </c>
      <c r="E1694" s="670" t="s">
        <v>5589</v>
      </c>
      <c r="F1694" s="670">
        <v>2000.0</v>
      </c>
      <c r="G1694" s="670" t="s">
        <v>1570</v>
      </c>
      <c r="H1694" s="670" t="s">
        <v>2261</v>
      </c>
      <c r="I1694" s="670" t="s">
        <v>2262</v>
      </c>
      <c r="J1694" s="671">
        <v>46234.0</v>
      </c>
    </row>
    <row r="1695">
      <c r="A1695" s="670">
        <v>1734.0</v>
      </c>
      <c r="B1695" s="670" t="s">
        <v>5542</v>
      </c>
      <c r="C1695" s="670" t="s">
        <v>2258</v>
      </c>
      <c r="D1695" s="670" t="s">
        <v>5590</v>
      </c>
      <c r="E1695" s="670" t="s">
        <v>5591</v>
      </c>
      <c r="F1695" s="670">
        <v>9703.0</v>
      </c>
      <c r="G1695" s="670" t="s">
        <v>5592</v>
      </c>
      <c r="H1695" s="670" t="s">
        <v>2261</v>
      </c>
      <c r="I1695" s="670" t="s">
        <v>2262</v>
      </c>
      <c r="J1695" s="671">
        <v>46234.0</v>
      </c>
    </row>
    <row r="1696">
      <c r="A1696" s="670">
        <v>1735.0</v>
      </c>
      <c r="B1696" s="670" t="s">
        <v>5542</v>
      </c>
      <c r="C1696" s="670" t="s">
        <v>2258</v>
      </c>
      <c r="D1696" s="670" t="s">
        <v>5593</v>
      </c>
      <c r="E1696" s="670" t="s">
        <v>5594</v>
      </c>
      <c r="F1696" s="670">
        <v>11131.0</v>
      </c>
      <c r="G1696" s="670" t="s">
        <v>5592</v>
      </c>
      <c r="H1696" s="670" t="s">
        <v>2261</v>
      </c>
      <c r="I1696" s="670" t="s">
        <v>2262</v>
      </c>
      <c r="J1696" s="671">
        <v>46234.0</v>
      </c>
    </row>
    <row r="1697">
      <c r="A1697" s="670">
        <v>1736.0</v>
      </c>
      <c r="B1697" s="670" t="s">
        <v>5542</v>
      </c>
      <c r="C1697" s="670" t="s">
        <v>2258</v>
      </c>
      <c r="D1697" s="670" t="s">
        <v>5595</v>
      </c>
      <c r="E1697" s="670" t="s">
        <v>5596</v>
      </c>
      <c r="F1697" s="670">
        <v>11790.0</v>
      </c>
      <c r="G1697" s="670" t="s">
        <v>5592</v>
      </c>
      <c r="H1697" s="670" t="s">
        <v>2261</v>
      </c>
      <c r="I1697" s="670" t="s">
        <v>2262</v>
      </c>
      <c r="J1697" s="671">
        <v>46234.0</v>
      </c>
    </row>
    <row r="1698">
      <c r="A1698" s="670">
        <v>1737.0</v>
      </c>
      <c r="B1698" s="670" t="s">
        <v>5542</v>
      </c>
      <c r="C1698" s="670" t="s">
        <v>2258</v>
      </c>
      <c r="D1698" s="670" t="s">
        <v>5597</v>
      </c>
      <c r="E1698" s="670" t="s">
        <v>5598</v>
      </c>
      <c r="F1698" s="670">
        <v>4147.0</v>
      </c>
      <c r="G1698" s="670" t="s">
        <v>5592</v>
      </c>
      <c r="H1698" s="670" t="s">
        <v>2261</v>
      </c>
      <c r="I1698" s="670" t="s">
        <v>2262</v>
      </c>
      <c r="J1698" s="671">
        <v>46234.0</v>
      </c>
    </row>
    <row r="1699">
      <c r="A1699" s="670">
        <v>1738.0</v>
      </c>
      <c r="B1699" s="670" t="s">
        <v>5542</v>
      </c>
      <c r="C1699" s="670" t="s">
        <v>2258</v>
      </c>
      <c r="D1699" s="670" t="s">
        <v>5599</v>
      </c>
      <c r="E1699" s="670" t="s">
        <v>5600</v>
      </c>
      <c r="F1699" s="670">
        <v>9.0</v>
      </c>
      <c r="G1699" s="670" t="s">
        <v>305</v>
      </c>
      <c r="H1699" s="670" t="s">
        <v>2261</v>
      </c>
      <c r="I1699" s="670" t="s">
        <v>2262</v>
      </c>
      <c r="J1699" s="671">
        <v>46234.0</v>
      </c>
    </row>
    <row r="1700">
      <c r="A1700" s="670">
        <v>1739.0</v>
      </c>
      <c r="B1700" s="670" t="s">
        <v>5542</v>
      </c>
      <c r="C1700" s="670" t="s">
        <v>2258</v>
      </c>
      <c r="D1700" s="670" t="s">
        <v>5601</v>
      </c>
      <c r="E1700" s="670" t="s">
        <v>5602</v>
      </c>
      <c r="F1700" s="670">
        <v>5.0</v>
      </c>
      <c r="G1700" s="670" t="s">
        <v>305</v>
      </c>
      <c r="H1700" s="670" t="s">
        <v>2261</v>
      </c>
      <c r="I1700" s="670" t="s">
        <v>2262</v>
      </c>
      <c r="J1700" s="671">
        <v>46234.0</v>
      </c>
    </row>
    <row r="1701">
      <c r="A1701" s="670">
        <v>1740.0</v>
      </c>
      <c r="B1701" s="670" t="s">
        <v>5542</v>
      </c>
      <c r="C1701" s="670" t="s">
        <v>2258</v>
      </c>
      <c r="D1701" s="670" t="s">
        <v>5603</v>
      </c>
      <c r="E1701" s="670" t="s">
        <v>5604</v>
      </c>
      <c r="F1701" s="670">
        <v>1294.0</v>
      </c>
      <c r="G1701" s="670" t="s">
        <v>1570</v>
      </c>
      <c r="H1701" s="670" t="s">
        <v>2261</v>
      </c>
      <c r="I1701" s="670" t="s">
        <v>2262</v>
      </c>
      <c r="J1701" s="671">
        <v>46234.0</v>
      </c>
    </row>
    <row r="1702">
      <c r="A1702" s="670">
        <v>1741.0</v>
      </c>
      <c r="B1702" s="670" t="s">
        <v>5542</v>
      </c>
      <c r="C1702" s="670" t="s">
        <v>2258</v>
      </c>
      <c r="D1702" s="670" t="s">
        <v>5605</v>
      </c>
      <c r="E1702" s="670" t="s">
        <v>5606</v>
      </c>
      <c r="F1702" s="670">
        <v>808.0</v>
      </c>
      <c r="G1702" s="670" t="s">
        <v>1570</v>
      </c>
      <c r="H1702" s="670" t="s">
        <v>2572</v>
      </c>
      <c r="I1702" s="670" t="s">
        <v>2573</v>
      </c>
      <c r="J1702" s="671">
        <v>46234.0</v>
      </c>
    </row>
    <row r="1703">
      <c r="A1703" s="670">
        <v>1742.0</v>
      </c>
      <c r="B1703" s="670" t="s">
        <v>5542</v>
      </c>
      <c r="C1703" s="670" t="s">
        <v>2258</v>
      </c>
      <c r="D1703" s="670" t="s">
        <v>5607</v>
      </c>
      <c r="E1703" s="670" t="s">
        <v>5608</v>
      </c>
      <c r="F1703" s="670">
        <v>33989.0</v>
      </c>
      <c r="G1703" s="670" t="s">
        <v>1570</v>
      </c>
      <c r="H1703" s="670" t="s">
        <v>2261</v>
      </c>
      <c r="I1703" s="670" t="s">
        <v>2262</v>
      </c>
      <c r="J1703" s="671">
        <v>46234.0</v>
      </c>
    </row>
    <row r="1704">
      <c r="A1704" s="670">
        <v>1743.0</v>
      </c>
      <c r="B1704" s="670" t="s">
        <v>5542</v>
      </c>
      <c r="C1704" s="673" t="s">
        <v>2258</v>
      </c>
      <c r="D1704" s="670" t="s">
        <v>5609</v>
      </c>
      <c r="E1704" s="670" t="s">
        <v>5610</v>
      </c>
      <c r="F1704" s="670">
        <v>29.0</v>
      </c>
      <c r="G1704" s="670" t="s">
        <v>305</v>
      </c>
      <c r="H1704" s="670" t="s">
        <v>2261</v>
      </c>
      <c r="I1704" s="670" t="s">
        <v>2262</v>
      </c>
      <c r="J1704" s="671">
        <v>46234.0</v>
      </c>
    </row>
    <row r="1705">
      <c r="A1705" s="670">
        <v>1744.0</v>
      </c>
      <c r="B1705" s="670" t="s">
        <v>5542</v>
      </c>
      <c r="C1705" s="673" t="s">
        <v>2258</v>
      </c>
      <c r="D1705" s="670" t="s">
        <v>5611</v>
      </c>
      <c r="E1705" s="670" t="s">
        <v>5612</v>
      </c>
      <c r="F1705" s="670">
        <v>65.0</v>
      </c>
      <c r="G1705" s="670" t="s">
        <v>305</v>
      </c>
      <c r="H1705" s="670" t="s">
        <v>2261</v>
      </c>
      <c r="I1705" s="670" t="s">
        <v>2262</v>
      </c>
      <c r="J1705" s="671">
        <v>46234.0</v>
      </c>
    </row>
    <row r="1706">
      <c r="A1706" s="670">
        <v>1745.0</v>
      </c>
      <c r="B1706" s="670" t="s">
        <v>5542</v>
      </c>
      <c r="C1706" s="673" t="s">
        <v>2258</v>
      </c>
      <c r="D1706" s="670" t="s">
        <v>5613</v>
      </c>
      <c r="E1706" s="670" t="s">
        <v>5614</v>
      </c>
      <c r="F1706" s="670">
        <v>50.0</v>
      </c>
      <c r="G1706" s="670" t="s">
        <v>305</v>
      </c>
      <c r="H1706" s="670" t="s">
        <v>2261</v>
      </c>
      <c r="I1706" s="670" t="s">
        <v>2262</v>
      </c>
      <c r="J1706" s="671">
        <v>46234.0</v>
      </c>
    </row>
    <row r="1707">
      <c r="A1707" s="670">
        <v>1746.0</v>
      </c>
      <c r="B1707" s="670" t="s">
        <v>5542</v>
      </c>
      <c r="C1707" s="673" t="s">
        <v>2258</v>
      </c>
      <c r="D1707" s="670" t="s">
        <v>5615</v>
      </c>
      <c r="E1707" s="670" t="s">
        <v>5616</v>
      </c>
      <c r="F1707" s="670">
        <v>0.0</v>
      </c>
      <c r="G1707" s="670" t="s">
        <v>5617</v>
      </c>
      <c r="H1707" s="670" t="s">
        <v>2261</v>
      </c>
      <c r="I1707" s="670" t="s">
        <v>2262</v>
      </c>
      <c r="J1707" s="671">
        <v>46234.0</v>
      </c>
    </row>
    <row r="1708">
      <c r="A1708" s="670">
        <v>1747.0</v>
      </c>
      <c r="B1708" s="670" t="s">
        <v>5542</v>
      </c>
      <c r="C1708" s="673" t="s">
        <v>2258</v>
      </c>
      <c r="D1708" s="670" t="s">
        <v>5618</v>
      </c>
      <c r="E1708" s="670" t="s">
        <v>5619</v>
      </c>
      <c r="F1708" s="670">
        <v>0.0</v>
      </c>
      <c r="G1708" s="670" t="s">
        <v>5617</v>
      </c>
      <c r="H1708" s="670" t="s">
        <v>2261</v>
      </c>
      <c r="I1708" s="670" t="s">
        <v>2262</v>
      </c>
      <c r="J1708" s="671">
        <v>46234.0</v>
      </c>
    </row>
    <row r="1709">
      <c r="A1709" s="670">
        <v>1748.0</v>
      </c>
      <c r="B1709" s="670" t="s">
        <v>5542</v>
      </c>
      <c r="C1709" s="673" t="s">
        <v>2258</v>
      </c>
      <c r="D1709" s="670" t="s">
        <v>5620</v>
      </c>
      <c r="E1709" s="670" t="s">
        <v>5621</v>
      </c>
      <c r="F1709" s="670">
        <v>1.0</v>
      </c>
      <c r="G1709" s="670" t="s">
        <v>5617</v>
      </c>
      <c r="H1709" s="670" t="s">
        <v>2261</v>
      </c>
      <c r="I1709" s="670" t="s">
        <v>2262</v>
      </c>
      <c r="J1709" s="671">
        <v>46234.0</v>
      </c>
    </row>
  </sheetData>
  <drawing r:id="rId1"/>
  <tableParts count="1">
    <tablePart r:id="rId3"/>
  </tableParts>
</worksheet>
</file>