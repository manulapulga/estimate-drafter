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externalReferences>
    <externalReference r:id="rId5"/>
  </externalReferences>
  <definedNames/>
  <calcPr fullCalcOnLoad="1"/>
</workbook>
</file>

<file path=xl/calcChain.xml><?xml version="1.0" encoding="utf-8"?>
<calcChain xmlns="http://schemas.openxmlformats.org/spreadsheetml/2006/main">
  <c r="G4" i="1" l="1"/>
</calcChain>
</file>

<file path=xl/sharedStrings.xml><?xml version="1.0" encoding="utf-8"?>
<sst xmlns="http://schemas.openxmlformats.org/spreadsheetml/2006/main" count="66" uniqueCount="50">
  <si>
    <t>Metallic Pump Cover of size 1 x 1 x 0.7 m</t>
  </si>
  <si>
    <t>Sl. No.</t>
  </si>
  <si>
    <t>Item</t>
  </si>
  <si>
    <t>No.</t>
  </si>
  <si>
    <t>L</t>
  </si>
  <si>
    <t>B</t>
  </si>
  <si>
    <t>D</t>
  </si>
  <si>
    <t>Total</t>
  </si>
  <si>
    <t xml:space="preserve">Unit </t>
  </si>
  <si>
    <t>Rate</t>
  </si>
  <si>
    <t>Amount</t>
  </si>
  <si>
    <t>Surface dressing of the ground including removing vegetation and in-equalities not exceeding 15 cm deep and disposal of rubbish, lead up to 50 m and lift up to 1.5 m. All kinds of soil (Code: 2.28.1)</t>
  </si>
  <si>
    <t>Area</t>
  </si>
  <si>
    <r>
      <rPr>
        <sz val="11"/>
        <color theme="1"/>
        <rFont val="Cambria"/>
        <family val="2"/>
      </rPr>
      <t>m</t>
    </r>
    <r>
      <rPr>
        <vertAlign val="superscript"/>
        <sz val="11"/>
        <color theme="1"/>
        <rFont val="Cambria"/>
        <family val="2"/>
      </rPr>
      <t>2</t>
    </r>
  </si>
  <si>
    <t>Earth work in excavation by mechanical means (Hydraulic excavator) /manual means in foundation trenches or drains (not exceeding 1.5 m in width or 10 sqm on plan), including dressing of sides and ramming of bottoms, lift up to 1.5 m, including getting out the excavated soil and disposal of surplus excavated soil as directed, within a lead of 50 m. All kinds of soil (Code: 2.8.1)</t>
  </si>
  <si>
    <t>Foundation</t>
  </si>
  <si>
    <r>
      <rPr>
        <sz val="11"/>
        <color theme="1"/>
        <rFont val="Cambria"/>
        <family val="2"/>
      </rPr>
      <t>m</t>
    </r>
    <r>
      <rPr>
        <vertAlign val="superscript"/>
        <sz val="11"/>
        <color theme="1"/>
        <rFont val="Cambria"/>
        <family val="2"/>
      </rPr>
      <t>3</t>
    </r>
  </si>
  <si>
    <t>Providing and laying in position cement concrete of specified grade excluding the cost of centering and shuttering - All work up to plinth level: 1:4:8 (1 cement : 4 coarse sand : 8 graded stone aggregate 40 nominal size) (Code: 4.1.8)</t>
  </si>
  <si>
    <t>12 mm cement plaster of mix: 1:4 ( 1 cement : 4 fine sand) (Code: 13.1.1)</t>
  </si>
  <si>
    <t>Basement</t>
  </si>
  <si>
    <t>Floor</t>
  </si>
  <si>
    <t>m3</t>
  </si>
  <si>
    <t>Structural steel work in single section, fixed with or without connecting plate, including cutting, hoisting, fixing in position and applying a priming coat of approved steel primer all complete. (Code: 10.1)</t>
  </si>
  <si>
    <t>MS Sq Tube 25mm</t>
  </si>
  <si>
    <t>Weight</t>
  </si>
  <si>
    <t>Unit</t>
  </si>
  <si>
    <t>Total Weight</t>
  </si>
  <si>
    <t>Front &amp; Back bottom &amp; Top</t>
  </si>
  <si>
    <t>Side top &amp; bottom</t>
  </si>
  <si>
    <t>Front &amp; Back corner vertical</t>
  </si>
  <si>
    <t>Door Horizontal</t>
  </si>
  <si>
    <t>Door vertical</t>
  </si>
  <si>
    <t>Total Length</t>
  </si>
  <si>
    <t>kg/m</t>
  </si>
  <si>
    <t>M.S. Wire mesh (rabbit) (Code: 1220 - Water Charge and CPOH Added)</t>
  </si>
  <si>
    <t>MS Weld Mesh</t>
  </si>
  <si>
    <t>No</t>
  </si>
  <si>
    <t>H</t>
  </si>
  <si>
    <t>Total Area</t>
  </si>
  <si>
    <t>m2</t>
  </si>
  <si>
    <t>Providing corrugate G.S. sheet roofing including vertical/ curved surface fixed with polymer coated J or L hooks, bolts and nuts 8 mm diameter with bitumen and G.I. limpet washers or with G.I. limpet washers filled with white lead, including a coat of approved steel primer and two coats of approved paint on overlapping of sheets complete ( up to any pitch in horizontal / vertical or curved surfaces), excluding the cost of purlins, rafters and trusses and including cutting to size and shape wherever required. 0.63 mm thick with zinc coating not less than 275 gm/m2 (Code: 12.1.3)</t>
  </si>
  <si>
    <t>Providing and fixing bright finished brass butt hinges with necessary screws etc. complete: 50x40x2.5 mm (ordinary type) (Code: 9.72.7)</t>
  </si>
  <si>
    <t>Fitter (grade 1) (Code: 0116 - Water Charge and CPOH Added)</t>
  </si>
  <si>
    <t>Day</t>
  </si>
  <si>
    <t>Locking Arrangements - Supplying and Fixing lock and locking arrangements with suitable chain hooks,and padlock of 65mm size. (Code: 60.4)</t>
  </si>
  <si>
    <t>Non Index</t>
  </si>
  <si>
    <t>Index</t>
  </si>
  <si>
    <t>Index TOTAL</t>
  </si>
  <si>
    <t>Non Index TOTAL</t>
  </si>
  <si>
    <t>Say ₹ 641.15 + 6112.33437 x Cost Index</t>
  </si>
</sst>
</file>

<file path=xl/styles.xml><?xml version="1.0" encoding="utf-8"?>
<styleSheet xmlns="http://schemas.openxmlformats.org/spreadsheetml/2006/main">
  <numFmts count="1">
    <numFmt numFmtId="177" formatCode="0.00;[Red]0.00"/>
  </numFmts>
  <fonts count="6">
    <font>
      <sz val="10"/>
      <color theme="1"/>
      <name val="Arial"/>
      <family val="2"/>
    </font>
    <font>
      <b/>
      <sz val="11"/>
      <color theme="1"/>
      <name val="Cambria"/>
      <family val="2"/>
    </font>
    <font>
      <sz val="11"/>
      <color theme="1"/>
      <name val="Cambria"/>
      <family val="2"/>
    </font>
    <font>
      <sz val="11"/>
      <color rgb="FF000000"/>
      <name val="Calibri"/>
      <family val="2"/>
      <scheme val="minor"/>
    </font>
    <font>
      <b/>
      <sz val="12"/>
      <color theme="1"/>
      <name val="Cambria"/>
      <family val="2"/>
    </font>
    <font>
      <vertAlign val="superscript"/>
      <sz val="11"/>
      <color theme="1"/>
      <name val="Cambria"/>
      <family val="2"/>
    </font>
  </fonts>
  <fills count="3">
    <fill>
      <patternFill patternType="none"/>
    </fill>
    <fill>
      <patternFill patternType="gray125"/>
    </fill>
    <fill>
      <patternFill patternType="solid">
        <fgColor rgb="FFFFF2CC"/>
        <bgColor indexed="64"/>
      </patternFill>
    </fill>
  </fills>
  <borders count="8">
    <border>
      <left/>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s>
  <cellStyleXfs count="6">
    <xf numFmtId="0" fontId="0" fillId="0" borderId="0">
      <alignment/>
      <protection/>
    </xf>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6">
    <xf numFmtId="0" fontId="0" fillId="0" borderId="0" xfId="0"/>
    <xf numFmtId="0" fontId="4" fillId="2" borderId="1" xfId="0" applyFont="1" applyBorder="1" applyAlignment="1">
      <alignment horizontal="center" vertical="center" wrapText="1"/>
    </xf>
    <xf numFmtId="0" fontId="3" fillId="0" borderId="2" xfId="0" applyFont="1" applyBorder="1">
      <alignment/>
    </xf>
    <xf numFmtId="0" fontId="3" fillId="0" borderId="3" xfId="0" applyFont="1" applyBorder="1">
      <alignment/>
    </xf>
    <xf numFmtId="0" fontId="2" fillId="2" borderId="4" xfId="0" applyFont="1" applyBorder="1" applyAlignment="1">
      <alignment horizontal="center" vertical="center" wrapText="1"/>
    </xf>
    <xf numFmtId="0" fontId="2" fillId="2" borderId="4" xfId="0" applyFont="1" applyBorder="1" applyAlignment="1">
      <alignment horizontal="left" vertical="center" wrapText="1"/>
    </xf>
    <xf numFmtId="177" fontId="2" fillId="2" borderId="4" xfId="0" applyNumberFormat="1" applyFont="1" applyBorder="1" applyAlignment="1">
      <alignment horizontal="center" vertical="center" wrapText="1"/>
    </xf>
    <xf numFmtId="2" fontId="2" fillId="2" borderId="4" xfId="0" applyNumberFormat="1" applyFont="1" applyBorder="1" applyAlignment="1">
      <alignment horizontal="center" vertical="center" wrapText="1"/>
    </xf>
    <xf numFmtId="0" fontId="2" fillId="2" borderId="5" xfId="0" applyFont="1" applyBorder="1" applyAlignment="1">
      <alignment horizontal="center" vertical="center" wrapText="1"/>
    </xf>
    <xf numFmtId="0" fontId="2" fillId="2" borderId="1" xfId="0" applyFont="1" applyBorder="1" applyAlignment="1">
      <alignment horizontal="left" vertical="center" wrapText="1"/>
    </xf>
    <xf numFmtId="0" fontId="3" fillId="0" borderId="6" xfId="0" applyFont="1" applyBorder="1">
      <alignment/>
    </xf>
    <xf numFmtId="0" fontId="3" fillId="0" borderId="7" xfId="0" applyFont="1" applyBorder="1">
      <alignment/>
    </xf>
    <xf numFmtId="0" fontId="2" fillId="2" borderId="4" xfId="0" applyFont="1" applyBorder="1">
      <alignment/>
    </xf>
    <xf numFmtId="0" fontId="2" fillId="2" borderId="4" xfId="0" applyFont="1" applyBorder="1" applyAlignment="1">
      <alignment/>
    </xf>
    <xf numFmtId="0" fontId="1" fillId="2" borderId="1" xfId="0" applyFont="1" applyBorder="1" applyAlignment="1">
      <alignment horizontal="center" vertical="center" wrapText="1"/>
    </xf>
    <xf numFmtId="2" fontId="1" fillId="2" borderId="4" xfId="0" applyNumberFormat="1" applyFont="1" applyBorder="1" applyAlignment="1">
      <alignment horizontal="center" vertical="center" wrapText="1"/>
    </xf>
  </cellXfs>
  <cellStyles count="6">
    <cellStyle name="Normal" xfId="0" builtinId="0"/>
    <cellStyle name="Percent" xfId="1" builtinId="5"/>
    <cellStyle name="Currency" xfId="2" builtinId="4"/>
    <cellStyle name="Currency [0]" xfId="3" builtinId="7"/>
    <cellStyle name="Comma" xfId="4" builtinId="3"/>
    <cellStyle name="Comma [0]" xfId="5"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4" Type="http://schemas.openxmlformats.org/officeDocument/2006/relationships/sharedStrings" Target="sharedStrings.xml" /><Relationship Id="rId1" Type="http://schemas.openxmlformats.org/officeDocument/2006/relationships/theme" Target="theme/theme1.xml" /><Relationship Id="rId6" Type="http://schemas.openxmlformats.org/officeDocument/2006/relationships/calcChain" Target="calcChain.xml" /><Relationship Id="rId5" Type="http://schemas.openxmlformats.org/officeDocument/2006/relationships/externalLink" Target="externalLinks/externalLink1.xml" /><Relationship Id="rId2" Type="http://schemas.openxmlformats.org/officeDocument/2006/relationships/styles" Target="styles.xml" /></Relationships>
</file>

<file path=xl/externalLinks/_rels/externalLink1.xml.rels><?xml version="1.0" encoding="UTF-8" standalone="yes"?><Relationships xmlns="http://schemas.openxmlformats.org/package/2006/relationships"><Relationship Id="rId1" Type="http://schemas.openxmlformats.org/officeDocument/2006/relationships/externalLinkPath" Target="Book1.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GWD DR Abstract"/>
      <sheetName val="GWD MR Abstract"/>
      <sheetName val="3 Core Cable PRICE"/>
      <sheetName val="ARS Filter Media"/>
      <sheetName val="BW Casing Pipes"/>
      <sheetName val="Electrical Essentials"/>
      <sheetName val="GI on Wall PRICE"/>
      <sheetName val="GI wo Trench"/>
      <sheetName val="GI With Trench PRICE"/>
      <sheetName val="GI Works"/>
      <sheetName val="Gravel for TWC"/>
      <sheetName val="Gutter&amp;Clamp"/>
      <sheetName val="HP Erection and Pullout"/>
      <sheetName val="HP Repair Labour"/>
      <sheetName val="HP Repair Spares"/>
      <sheetName val="Hydrants"/>
      <sheetName val="Iron Structure"/>
      <sheetName val="Lock"/>
      <sheetName val="Metallic PH"/>
      <sheetName val="Motor Starter GWD"/>
      <sheetName val="Motor Starter Monoblock"/>
      <sheetName val="Motor Starter PRICE"/>
      <sheetName val="Other Fittings PRICE"/>
      <sheetName val="Panel Board"/>
      <sheetName val="Pump Cover"/>
      <sheetName val="Pump Erection "/>
      <sheetName val="Pump Pullout"/>
      <sheetName val="PVC Fittings"/>
      <sheetName val="PVC Fittings PRICE"/>
      <sheetName val="PVC on Wall (Concealed) PRICE"/>
      <sheetName val="PVC on Wall PRICE"/>
      <sheetName val="PVC on Wall"/>
      <sheetName val="PVC wo Trench PRICE"/>
      <sheetName val="PVC wo Trench"/>
      <sheetName val="PVC With Trench PRICE"/>
      <sheetName val="PVC With Trench"/>
      <sheetName val="Scaffolding"/>
      <sheetName val="Services"/>
      <sheetName val="TW Casing Pipes"/>
      <sheetName val="UG Cable PRICE"/>
      <sheetName val="Water Meter"/>
      <sheetName val="Water Tank"/>
      <sheetName val="Well Protection"/>
      <sheetName val="WTP"/>
      <sheetName val="zCost Index"/>
      <sheetName val="zDerived"/>
      <sheetName val="zLMR"/>
      <sheetName val="zPAMR3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700883F-DA04-4BAE-82B9-D5F5DC4EBAA6}">
  <dimension ref="A1:J39"/>
  <sheetViews>
    <sheetView tabSelected="1" workbookViewId="0" topLeftCell="A1"/>
  </sheetViews>
  <sheetFormatPr defaultRowHeight="12.75"/>
  <sheetData>
    <row r="1" spans="1:10" ht="12.75">
      <c r="A1" s="1" t="s">
        <v>0</v>
      </c>
      <c r="B1" s="2"/>
      <c r="C1" s="2"/>
      <c r="D1" s="2"/>
      <c r="E1" s="2"/>
      <c r="F1" s="2"/>
      <c r="G1" s="2"/>
      <c r="H1" s="2"/>
      <c r="I1" s="2"/>
      <c r="J1" s="3"/>
    </row>
    <row r="2" spans="1:10" ht="12.75">
      <c r="A2" s="4" t="s">
        <v>1</v>
      </c>
      <c r="B2" s="5" t="s">
        <v>2</v>
      </c>
      <c r="C2" s="4" t="s">
        <v>3</v>
      </c>
      <c r="D2" s="4" t="s">
        <v>4</v>
      </c>
      <c r="E2" s="4" t="s">
        <v>5</v>
      </c>
      <c r="F2" s="4" t="s">
        <v>6</v>
      </c>
      <c r="G2" s="6" t="s">
        <v>7</v>
      </c>
      <c r="H2" s="4" t="s">
        <v>8</v>
      </c>
      <c r="I2" s="4" t="s">
        <v>9</v>
      </c>
      <c r="J2" s="7" t="s">
        <v>10</v>
      </c>
    </row>
    <row r="3" spans="1:10" ht="12.75">
      <c r="A3" s="8">
        <v>1</v>
      </c>
      <c r="B3" s="9" t="s">
        <v>11</v>
      </c>
      <c r="C3" s="2"/>
      <c r="D3" s="2"/>
      <c r="E3" s="2"/>
      <c r="F3" s="2"/>
      <c r="G3" s="2"/>
      <c r="H3" s="2"/>
      <c r="I3" s="3"/>
      <c r="J3" s="4"/>
    </row>
    <row r="4" spans="1:10" ht="12.75">
      <c r="A4" s="10"/>
      <c r="B4" s="5" t="s">
        <v>12</v>
      </c>
      <c r="C4" s="4">
        <v>1</v>
      </c>
      <c r="D4" s="4">
        <v>1</v>
      </c>
      <c r="E4" s="4">
        <v>1</v>
      </c>
      <c r="F4" s="4">
        <v>1</v>
      </c>
      <c r="G4" s="6">
        <f>PRODUCT(C4:F4)</f>
        <v>1</v>
      </c>
      <c r="H4" s="4"/>
      <c r="I4" s="4"/>
      <c r="J4" s="4"/>
    </row>
    <row r="5" spans="1:10" ht="12.75">
      <c r="A5" s="11"/>
      <c r="B5" s="5" t="s">
        <v>7</v>
      </c>
      <c r="C5" s="4"/>
      <c r="D5" s="4"/>
      <c r="E5" s="4"/>
      <c r="F5" s="4"/>
      <c r="G5" s="6">
        <f>SUM(G4)</f>
        <v>1</v>
      </c>
      <c r="H5" s="4" t="s">
        <v>13</v>
      </c>
      <c r="I5" s="4">
        <v>24.43</v>
      </c>
      <c r="J5" s="4">
        <f>G5*I5</f>
        <v>24.43</v>
      </c>
    </row>
    <row r="6" spans="1:10" ht="12.75">
      <c r="A6" s="8">
        <v>2</v>
      </c>
      <c r="B6" s="9" t="s">
        <v>14</v>
      </c>
      <c r="C6" s="2"/>
      <c r="D6" s="2"/>
      <c r="E6" s="2"/>
      <c r="F6" s="2"/>
      <c r="G6" s="2"/>
      <c r="H6" s="2"/>
      <c r="I6" s="3"/>
      <c r="J6" s="4"/>
    </row>
    <row r="7" spans="1:10" ht="12.75">
      <c r="A7" s="10"/>
      <c r="B7" s="5" t="s">
        <v>15</v>
      </c>
      <c r="C7" s="4">
        <v>1</v>
      </c>
      <c r="D7" s="4">
        <v>1</v>
      </c>
      <c r="E7" s="4">
        <v>1</v>
      </c>
      <c r="F7" s="4">
        <v>0.20</v>
      </c>
      <c r="G7" s="6">
        <f>PRODUCT(C7:F7)</f>
        <v>0.20</v>
      </c>
      <c r="H7" s="4"/>
      <c r="I7" s="4"/>
      <c r="J7" s="4"/>
    </row>
    <row r="8" spans="1:10" ht="12.75">
      <c r="A8" s="11"/>
      <c r="B8" s="5" t="s">
        <v>7</v>
      </c>
      <c r="C8" s="4"/>
      <c r="D8" s="4"/>
      <c r="E8" s="4"/>
      <c r="F8" s="4"/>
      <c r="G8" s="6">
        <f>SUM(G7)</f>
        <v>0.20</v>
      </c>
      <c r="H8" s="4" t="s">
        <v>16</v>
      </c>
      <c r="I8" s="4">
        <v>249.04</v>
      </c>
      <c r="J8" s="4">
        <f>G8*I8</f>
        <v>49.808</v>
      </c>
    </row>
    <row r="9" spans="1:10" ht="12.75">
      <c r="A9" s="8">
        <v>3</v>
      </c>
      <c r="B9" s="9" t="s">
        <v>17</v>
      </c>
      <c r="C9" s="2"/>
      <c r="D9" s="2"/>
      <c r="E9" s="2"/>
      <c r="F9" s="2"/>
      <c r="G9" s="2"/>
      <c r="H9" s="2"/>
      <c r="I9" s="3"/>
      <c r="J9" s="4"/>
    </row>
    <row r="10" spans="1:10" ht="12.75">
      <c r="A10" s="10"/>
      <c r="B10" s="5" t="s">
        <v>15</v>
      </c>
      <c r="C10" s="4">
        <v>1</v>
      </c>
      <c r="D10" s="4">
        <v>1</v>
      </c>
      <c r="E10" s="4">
        <v>1</v>
      </c>
      <c r="F10" s="4">
        <v>0.30</v>
      </c>
      <c r="G10" s="6">
        <f>PRODUCT(C10:F10)</f>
        <v>0.30</v>
      </c>
      <c r="H10" s="4"/>
      <c r="I10" s="4"/>
      <c r="J10" s="4"/>
    </row>
    <row r="11" spans="1:10" ht="12.75">
      <c r="A11" s="11"/>
      <c r="B11" s="5" t="s">
        <v>7</v>
      </c>
      <c r="C11" s="4"/>
      <c r="D11" s="4"/>
      <c r="E11" s="4"/>
      <c r="F11" s="4"/>
      <c r="G11" s="6">
        <f>SUM(G10)</f>
        <v>0.30</v>
      </c>
      <c r="H11" s="4" t="s">
        <v>16</v>
      </c>
      <c r="I11" s="4">
        <v>5491.79</v>
      </c>
      <c r="J11" s="4">
        <f>G11*I11</f>
        <v>1647.537</v>
      </c>
    </row>
    <row r="12" spans="1:10" ht="12.75">
      <c r="A12" s="8">
        <v>4</v>
      </c>
      <c r="B12" s="9" t="s">
        <v>18</v>
      </c>
      <c r="C12" s="2"/>
      <c r="D12" s="2"/>
      <c r="E12" s="2"/>
      <c r="F12" s="2"/>
      <c r="G12" s="2"/>
      <c r="H12" s="2"/>
      <c r="I12" s="3"/>
      <c r="J12" s="4"/>
    </row>
    <row r="13" spans="1:10" ht="12.75">
      <c r="A13" s="10"/>
      <c r="B13" s="5" t="s">
        <v>19</v>
      </c>
      <c r="C13" s="4">
        <v>4</v>
      </c>
      <c r="D13" s="4">
        <v>1</v>
      </c>
      <c r="E13" s="4"/>
      <c r="F13" s="4">
        <v>0.10</v>
      </c>
      <c r="G13" s="6">
        <f>PRODUCT(C13:F13)</f>
        <v>0.40</v>
      </c>
      <c r="H13" s="4"/>
      <c r="I13" s="4"/>
      <c r="J13" s="4"/>
    </row>
    <row r="14" spans="1:10" ht="12.75">
      <c r="A14" s="10"/>
      <c r="B14" s="5" t="s">
        <v>20</v>
      </c>
      <c r="C14" s="4">
        <v>1</v>
      </c>
      <c r="D14" s="4">
        <v>1</v>
      </c>
      <c r="E14" s="4">
        <v>1</v>
      </c>
      <c r="F14" s="4"/>
      <c r="G14" s="6">
        <f>PRODUCT(C14:F14)</f>
        <v>1</v>
      </c>
      <c r="H14" s="4"/>
      <c r="I14" s="4"/>
      <c r="J14" s="4"/>
    </row>
    <row r="15" spans="1:10" ht="12.75">
      <c r="A15" s="11"/>
      <c r="B15" s="5" t="s">
        <v>7</v>
      </c>
      <c r="C15" s="4"/>
      <c r="D15" s="4"/>
      <c r="E15" s="4"/>
      <c r="F15" s="4"/>
      <c r="G15" s="6">
        <f>SUM(G13:G14)</f>
        <v>1.40</v>
      </c>
      <c r="H15" s="4" t="s">
        <v>21</v>
      </c>
      <c r="I15" s="4">
        <v>255.98</v>
      </c>
      <c r="J15" s="7">
        <f>G15*I15</f>
        <v>358.37200000000001</v>
      </c>
    </row>
    <row r="16" spans="1:10" ht="12.75">
      <c r="A16" s="8">
        <v>5</v>
      </c>
      <c r="B16" s="9" t="s">
        <v>22</v>
      </c>
      <c r="C16" s="2"/>
      <c r="D16" s="2"/>
      <c r="E16" s="2"/>
      <c r="F16" s="2"/>
      <c r="G16" s="2"/>
      <c r="H16" s="2"/>
      <c r="I16" s="3"/>
      <c r="J16" s="4"/>
    </row>
    <row r="17" spans="1:10" ht="12.75">
      <c r="A17" s="10"/>
      <c r="B17" s="5" t="s">
        <v>23</v>
      </c>
      <c r="C17" s="4" t="s">
        <v>3</v>
      </c>
      <c r="D17" s="4" t="s">
        <v>4</v>
      </c>
      <c r="E17" s="4" t="s">
        <v>7</v>
      </c>
      <c r="F17" s="4" t="s">
        <v>24</v>
      </c>
      <c r="G17" s="4" t="s">
        <v>25</v>
      </c>
      <c r="H17" s="4" t="s">
        <v>26</v>
      </c>
      <c r="I17" s="4" t="s">
        <v>9</v>
      </c>
      <c r="J17" s="4"/>
    </row>
    <row r="18" spans="1:10" ht="12.75">
      <c r="A18" s="10"/>
      <c r="B18" s="5" t="s">
        <v>27</v>
      </c>
      <c r="C18" s="4">
        <v>4</v>
      </c>
      <c r="D18" s="4">
        <v>1</v>
      </c>
      <c r="E18" s="4">
        <f>C18*D18</f>
        <v>4</v>
      </c>
      <c r="F18" s="4"/>
      <c r="G18" s="6"/>
      <c r="H18" s="4"/>
      <c r="I18" s="4"/>
      <c r="J18" s="4"/>
    </row>
    <row r="19" spans="1:10" ht="12.75">
      <c r="A19" s="10"/>
      <c r="B19" s="5" t="s">
        <v>28</v>
      </c>
      <c r="C19" s="4">
        <v>4</v>
      </c>
      <c r="D19" s="4">
        <v>1</v>
      </c>
      <c r="E19" s="4">
        <f>C19*D19</f>
        <v>4</v>
      </c>
      <c r="F19" s="4"/>
      <c r="G19" s="6"/>
      <c r="H19" s="4"/>
      <c r="I19" s="4"/>
      <c r="J19" s="4"/>
    </row>
    <row r="20" spans="1:10" ht="12.75">
      <c r="A20" s="10"/>
      <c r="B20" s="5" t="s">
        <v>29</v>
      </c>
      <c r="C20" s="4">
        <v>4</v>
      </c>
      <c r="D20" s="4">
        <v>0.70</v>
      </c>
      <c r="E20" s="4">
        <f>C20*D20</f>
        <v>2.80</v>
      </c>
      <c r="F20" s="4"/>
      <c r="G20" s="6"/>
      <c r="H20" s="4"/>
      <c r="I20" s="4"/>
      <c r="J20" s="4"/>
    </row>
    <row r="21" spans="1:10" ht="12.75">
      <c r="A21" s="10"/>
      <c r="B21" s="5" t="s">
        <v>30</v>
      </c>
      <c r="C21" s="4">
        <v>2</v>
      </c>
      <c r="D21" s="4">
        <v>1</v>
      </c>
      <c r="E21" s="4">
        <f>C21*D21</f>
        <v>2</v>
      </c>
      <c r="F21" s="4"/>
      <c r="G21" s="6"/>
      <c r="H21" s="4"/>
      <c r="I21" s="4"/>
      <c r="J21" s="4"/>
    </row>
    <row r="22" spans="1:10" ht="12.75">
      <c r="A22" s="10"/>
      <c r="B22" s="5" t="s">
        <v>31</v>
      </c>
      <c r="C22" s="4">
        <v>2</v>
      </c>
      <c r="D22" s="4">
        <v>0.70</v>
      </c>
      <c r="E22" s="4">
        <f>C22*D22</f>
        <v>1.40</v>
      </c>
      <c r="F22" s="4"/>
      <c r="G22" s="6"/>
      <c r="H22" s="4"/>
      <c r="I22" s="4"/>
      <c r="J22" s="4"/>
    </row>
    <row r="23" spans="1:10" ht="12.75">
      <c r="A23" s="11"/>
      <c r="B23" s="5" t="s">
        <v>32</v>
      </c>
      <c r="C23" s="4"/>
      <c r="D23" s="4"/>
      <c r="E23" s="4">
        <f>SUM(E18:E22)</f>
        <v>14.20</v>
      </c>
      <c r="F23" s="4">
        <v>1.43</v>
      </c>
      <c r="G23" s="4" t="s">
        <v>33</v>
      </c>
      <c r="H23" s="4">
        <f>E23*F23</f>
        <v>20.306000000000001</v>
      </c>
      <c r="I23" s="6">
        <v>80.77</v>
      </c>
      <c r="J23" s="7">
        <f>H23*I23</f>
        <v>1640.11562</v>
      </c>
    </row>
    <row r="24" spans="1:10" ht="12.75">
      <c r="A24" s="8">
        <v>6</v>
      </c>
      <c r="B24" s="9" t="s">
        <v>34</v>
      </c>
      <c r="C24" s="2"/>
      <c r="D24" s="2"/>
      <c r="E24" s="2"/>
      <c r="F24" s="2"/>
      <c r="G24" s="2"/>
      <c r="H24" s="2"/>
      <c r="I24" s="3"/>
      <c r="J24" s="4"/>
    </row>
    <row r="25" spans="1:10" ht="12.75">
      <c r="A25" s="10"/>
      <c r="B25" s="5" t="s">
        <v>35</v>
      </c>
      <c r="C25" s="4" t="s">
        <v>36</v>
      </c>
      <c r="D25" s="4" t="s">
        <v>4</v>
      </c>
      <c r="E25" s="4" t="s">
        <v>5</v>
      </c>
      <c r="F25" s="4" t="s">
        <v>37</v>
      </c>
      <c r="G25" s="4" t="s">
        <v>7</v>
      </c>
      <c r="H25" s="4"/>
      <c r="I25" s="6"/>
      <c r="J25" s="4"/>
    </row>
    <row r="26" spans="1:10" ht="12.75">
      <c r="A26" s="10"/>
      <c r="B26" s="5"/>
      <c r="C26" s="4">
        <v>4</v>
      </c>
      <c r="D26" s="4">
        <v>1</v>
      </c>
      <c r="E26" s="4"/>
      <c r="F26" s="4">
        <v>0.70</v>
      </c>
      <c r="G26" s="6">
        <f>PRODUCT(C26:F26)</f>
        <v>2.80</v>
      </c>
      <c r="H26" s="4"/>
      <c r="I26" s="6"/>
      <c r="J26" s="4"/>
    </row>
    <row r="27" spans="1:10" ht="12.75">
      <c r="A27" s="11"/>
      <c r="B27" s="5" t="s">
        <v>38</v>
      </c>
      <c r="C27" s="4"/>
      <c r="D27" s="4"/>
      <c r="E27" s="12"/>
      <c r="F27" s="4"/>
      <c r="G27" s="6">
        <f>SUM(G26)</f>
        <v>2.80</v>
      </c>
      <c r="H27" s="7" t="s">
        <v>39</v>
      </c>
      <c r="I27" s="4">
        <v>48.78</v>
      </c>
      <c r="J27" s="4">
        <f>G27*I27</f>
        <v>136.584</v>
      </c>
    </row>
    <row r="28" spans="1:10" ht="12.75">
      <c r="A28" s="8">
        <v>7</v>
      </c>
      <c r="B28" s="9" t="s">
        <v>40</v>
      </c>
      <c r="C28" s="2"/>
      <c r="D28" s="2"/>
      <c r="E28" s="2"/>
      <c r="F28" s="2"/>
      <c r="G28" s="2"/>
      <c r="H28" s="2"/>
      <c r="I28" s="2"/>
      <c r="J28" s="3"/>
    </row>
    <row r="29" spans="1:10" ht="12.75">
      <c r="A29" s="11"/>
      <c r="B29" s="5"/>
      <c r="C29" s="4">
        <v>1</v>
      </c>
      <c r="D29" s="4">
        <v>1.50</v>
      </c>
      <c r="E29" s="13">
        <v>1.50</v>
      </c>
      <c r="F29" s="4"/>
      <c r="G29" s="6">
        <f>PRODUCT(C29:F29)</f>
        <v>2.25</v>
      </c>
      <c r="H29" s="7" t="s">
        <v>39</v>
      </c>
      <c r="I29" s="4">
        <v>849.04</v>
      </c>
      <c r="J29" s="4">
        <f>G29*I29</f>
        <v>1910.34</v>
      </c>
    </row>
    <row r="30" spans="1:10" ht="12.75">
      <c r="A30" s="8">
        <v>8</v>
      </c>
      <c r="B30" s="9" t="s">
        <v>41</v>
      </c>
      <c r="C30" s="2"/>
      <c r="D30" s="2"/>
      <c r="E30" s="2"/>
      <c r="F30" s="2"/>
      <c r="G30" s="2"/>
      <c r="H30" s="2"/>
      <c r="I30" s="2"/>
      <c r="J30" s="3"/>
    </row>
    <row r="31" spans="1:10" ht="12.75">
      <c r="A31" s="11"/>
      <c r="B31" s="5"/>
      <c r="C31" s="4">
        <v>3</v>
      </c>
      <c r="D31" s="4"/>
      <c r="E31" s="4"/>
      <c r="F31" s="4"/>
      <c r="G31" s="6">
        <f>PRODUCT(C31:F31)</f>
        <v>3</v>
      </c>
      <c r="H31" s="4" t="s">
        <v>3</v>
      </c>
      <c r="I31" s="4">
        <v>30.15</v>
      </c>
      <c r="J31" s="7">
        <f>G31*I31</f>
        <v>90.45</v>
      </c>
    </row>
    <row r="32" spans="1:10" ht="12.75">
      <c r="A32" s="8">
        <v>9</v>
      </c>
      <c r="B32" s="9" t="s">
        <v>42</v>
      </c>
      <c r="C32" s="2"/>
      <c r="D32" s="2"/>
      <c r="E32" s="2"/>
      <c r="F32" s="2"/>
      <c r="G32" s="2"/>
      <c r="H32" s="2"/>
      <c r="I32" s="2"/>
      <c r="J32" s="3"/>
    </row>
    <row r="33" spans="1:10" ht="12.75">
      <c r="A33" s="11"/>
      <c r="B33" s="5"/>
      <c r="C33" s="4"/>
      <c r="D33" s="4"/>
      <c r="E33" s="4"/>
      <c r="F33" s="4"/>
      <c r="G33" s="4">
        <v>0.25</v>
      </c>
      <c r="H33" s="4" t="s">
        <v>43</v>
      </c>
      <c r="I33" s="4">
        <v>910.62</v>
      </c>
      <c r="J33" s="7">
        <f>G33*I33</f>
        <v>227.655</v>
      </c>
    </row>
    <row r="34" spans="1:10" ht="12.75">
      <c r="A34" s="8">
        <v>10</v>
      </c>
      <c r="B34" s="9" t="s">
        <v>44</v>
      </c>
      <c r="C34" s="2"/>
      <c r="D34" s="2"/>
      <c r="E34" s="2"/>
      <c r="F34" s="2"/>
      <c r="G34" s="2"/>
      <c r="H34" s="2"/>
      <c r="I34" s="2"/>
      <c r="J34" s="3"/>
    </row>
    <row r="35" spans="1:10" ht="12.75">
      <c r="A35" s="10"/>
      <c r="B35" s="5" t="s">
        <v>45</v>
      </c>
      <c r="C35" s="8">
        <v>1</v>
      </c>
      <c r="D35" s="8"/>
      <c r="E35" s="8"/>
      <c r="F35" s="8"/>
      <c r="G35" s="8">
        <f>PRODUCT(C35:F35)</f>
        <v>1</v>
      </c>
      <c r="H35" s="8" t="s">
        <v>3</v>
      </c>
      <c r="I35" s="4">
        <f>[1]Lock!F16</f>
        <v>641.15</v>
      </c>
      <c r="J35" s="7">
        <f>G35*I35</f>
        <v>641.15</v>
      </c>
    </row>
    <row r="36" spans="1:10" ht="12.75">
      <c r="A36" s="11"/>
      <c r="B36" s="5" t="s">
        <v>46</v>
      </c>
      <c r="C36" s="11"/>
      <c r="D36" s="11"/>
      <c r="E36" s="11"/>
      <c r="F36" s="11"/>
      <c r="G36" s="11"/>
      <c r="H36" s="11"/>
      <c r="I36" s="4">
        <f>[1]Lock!F24</f>
        <v>27.042750000000002</v>
      </c>
      <c r="J36" s="7">
        <f>I36*G35</f>
        <v>27.042750000000002</v>
      </c>
    </row>
    <row r="37" spans="1:10" ht="12.75">
      <c r="A37" s="14" t="s">
        <v>47</v>
      </c>
      <c r="B37" s="2"/>
      <c r="C37" s="2"/>
      <c r="D37" s="2"/>
      <c r="E37" s="2"/>
      <c r="F37" s="2"/>
      <c r="G37" s="2"/>
      <c r="H37" s="2"/>
      <c r="I37" s="3"/>
      <c r="J37" s="15">
        <f>SUM(J3:J34,J36)</f>
        <v>6112.3343699999996</v>
      </c>
    </row>
    <row r="38" spans="1:10" ht="12.75">
      <c r="A38" s="14" t="s">
        <v>48</v>
      </c>
      <c r="B38" s="2"/>
      <c r="C38" s="2"/>
      <c r="D38" s="2"/>
      <c r="E38" s="2"/>
      <c r="F38" s="2"/>
      <c r="G38" s="2"/>
      <c r="H38" s="2"/>
      <c r="I38" s="3"/>
      <c r="J38" s="15">
        <f>SUM(J35)</f>
        <v>641.15</v>
      </c>
    </row>
    <row r="39" spans="1:10" ht="12.75">
      <c r="A39" s="14" t="s">
        <v>49</v>
      </c>
      <c r="B39" s="2"/>
      <c r="C39" s="2"/>
      <c r="D39" s="2"/>
      <c r="E39" s="2"/>
      <c r="F39" s="2"/>
      <c r="G39" s="2"/>
      <c r="H39" s="2"/>
      <c r="I39" s="2"/>
      <c r="J39" s="3"/>
    </row>
  </sheetData>
  <mergeCells count="30">
    <mergeCell ref="B9:I9"/>
    <mergeCell ref="B12:I12"/>
    <mergeCell ref="A12:A15"/>
    <mergeCell ref="B16:I16"/>
    <mergeCell ref="A1:J1"/>
    <mergeCell ref="A3:A5"/>
    <mergeCell ref="B3:I3"/>
    <mergeCell ref="A6:A8"/>
    <mergeCell ref="B6:I6"/>
    <mergeCell ref="A9:A11"/>
    <mergeCell ref="A16:A23"/>
    <mergeCell ref="A24:A27"/>
    <mergeCell ref="B24:I24"/>
    <mergeCell ref="A28:A29"/>
    <mergeCell ref="B28:J28"/>
    <mergeCell ref="A30:A31"/>
    <mergeCell ref="B30:J30"/>
    <mergeCell ref="B32:J32"/>
    <mergeCell ref="B34:J34"/>
    <mergeCell ref="H35:H36"/>
    <mergeCell ref="A37:I37"/>
    <mergeCell ref="A38:I38"/>
    <mergeCell ref="A39:J39"/>
    <mergeCell ref="A32:A33"/>
    <mergeCell ref="A34:A36"/>
    <mergeCell ref="C35:C36"/>
    <mergeCell ref="D35:D36"/>
    <mergeCell ref="E35:E36"/>
    <mergeCell ref="F35:F36"/>
    <mergeCell ref="G35:G3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