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<sst xmlns="http://schemas.openxmlformats.org/spreadsheetml/2006/main" count="66" uniqueCount="50">
  <si>
    <t>Metallic Pump Cover of size 1 x 1 x 0.7 m</t>
  </si>
  <si>
    <t>Sl. No.</t>
  </si>
  <si>
    <t>Item</t>
  </si>
  <si>
    <t>No.</t>
  </si>
  <si>
    <t>L</t>
  </si>
  <si>
    <t>B</t>
  </si>
  <si>
    <t>D</t>
  </si>
  <si>
    <t>Total</t>
  </si>
  <si>
    <t xml:space="preserve">Unit </t>
  </si>
  <si>
    <t>Rate</t>
  </si>
  <si>
    <t>Amount</t>
  </si>
  <si>
    <t>Surface dressing of the ground including removing vegetation and in-equalities not exceeding 15 cm deep and disposal of rubbish, lead up to 50 m and lift up to 1.5 m. All kinds of soil (Code: 2.28.1)</t>
  </si>
  <si>
    <t>Area</t>
  </si>
  <si>
    <r>
      <rPr>
        <sz val="11"/>
        <color theme="1"/>
        <rFont val="Cambria"/>
        <family val="2"/>
      </rPr>
      <t>m</t>
    </r>
    <r>
      <rPr>
        <vertAlign val="superscript"/>
        <sz val="11"/>
        <color theme="1"/>
        <rFont val="Cambria"/>
        <family val="2"/>
      </rPr>
      <t>2</t>
    </r>
  </si>
  <si>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</si>
  <si>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Foundation</t>
  </si>
  <si>
    <r>
      <rPr>
        <sz val="11"/>
        <color theme="1"/>
        <rFont val="Cambria"/>
        <family val="2"/>
      </rPr>
      <t>m</t>
    </r>
    <r>
      <rPr>
        <vertAlign val="superscript"/>
        <sz val="11"/>
        <color theme="1"/>
        <rFont val="Cambria"/>
        <family val="2"/>
      </rPr>
      <t>3</t>
    </r>
  </si>
  <si>
    <t>Providing and laying in position cement concrete of specified grade excluding the cost of centering and shuttering - All work up to plinth level: 1:4:8 (1 cement : 4 coarse sand : 8 graded stone aggregate 40 nominal size) (Code: 4.1.8)</t>
  </si>
  <si>
    <t>12 mm cement plaster of mix: 1:4 ( 1 cement : 4 fine sand) (Code: 13.1.1)</t>
  </si>
  <si>
    <t>Basement</t>
  </si>
  <si>
    <t>Floor</t>
  </si>
  <si>
    <t>m3</t>
  </si>
  <si>
    <t>Structural steel work in single section, fixed with or without connecting plate, including cutting, hoisting, fixing in position and applying a priming coat of approved steel primer all complete. (Code: 10.1)</t>
  </si>
  <si>
    <t>MS Sq Tube 25mm</t>
  </si>
  <si>
    <t>Weight</t>
  </si>
  <si>
    <t>Unit</t>
  </si>
  <si>
    <t>Total Weight</t>
  </si>
  <si>
    <t>Front &amp; Back bottom &amp; Top</t>
  </si>
  <si>
    <t>Side top &amp; bottom</t>
  </si>
  <si>
    <t>Front &amp; Back corner vertical</t>
  </si>
  <si>
    <t>Door Horizontal</t>
  </si>
  <si>
    <t>Door vertical</t>
  </si>
  <si>
    <t>Total Length</t>
  </si>
  <si>
    <t>kg/m</t>
  </si>
  <si>
    <t>M.S. Wire mesh (rabbit) (Code: 1220 - Water Charge and CPOH Added)</t>
  </si>
  <si>
    <t>MS Weld Mesh</t>
  </si>
  <si>
    <t>No</t>
  </si>
  <si>
    <t>H</t>
  </si>
  <si>
    <t>Total Area</t>
  </si>
  <si>
    <t>m2</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</si>
  <si>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</si>
  <si>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Providing and fixing bright finished brass butt hinges with necessary screws etc. complete: 50x40x2.5 mm (ordinary type) (Code: 9.72.7)</t>
  </si>
  <si>
    <t>Fitter (grade 1) (Code: 0116 - Water Charge and CPOH Added)</t>
  </si>
  <si>
    <t>Day</t>
  </si>
  <si>
    <t>Locking Arrangements - Supplying and Fixing lock and locking arrangements with suitable chain hooks,and padlock of 65mm size. (Code: 60.4)</t>
  </si>
  <si>
    <t>Non Index</t>
  </si>
  <si>
    <t>Index</t>
  </si>
  <si>
    <t>Index TOTAL</t>
  </si>
  <si>
    <t>Non Index TOTAL</t>
  </si>
  <si>
    <t>Say ₹ 641.15 + 6112.33437 x Cost Index</t>
  </si>
</sst>
</file>

<file path=xl/styles.xml><?xml version="1.0" encoding="utf-8"?>
<styleSheet xmlns="http://schemas.openxmlformats.org/spreadsheetml/2006/main">
  <numFmts count="1">
    <numFmt numFmtId="177" formatCode="0.00;[Red]0.00"/>
  </numFmts>
  <fonts count="6">
    <font>
      <sz val="10"/>
      <color theme="1"/>
      <name val="Arial"/>
      <family val="2"/>
    </font>
    <font>
      <sz val="11"/>
      <color rgb="FF000000"/>
      <name val="Calibri"/>
      <family val="2"/>
      <scheme val="minor"/>
    </font>
    <font>
      <b/>
      <sz val="11"/>
      <color theme="1"/>
      <name val="Cambria"/>
      <family val="2"/>
    </font>
    <font>
      <sz val="11"/>
      <color theme="1"/>
      <name val="Cambria"/>
      <family val="2"/>
    </font>
    <font>
      <b/>
      <sz val="12"/>
      <color theme="1"/>
      <name val="Cambria"/>
      <family val="2"/>
    </font>
    <font>
      <vertAlign val="superscript"/>
      <sz val="11"/>
      <color theme="1"/>
      <name val="Cambria"/>
      <family val="2"/>
    </font>
  </fonts>
  <fills count="3">
    <fill>
      <patternFill patternType="none"/>
    </fill>
    <fill>
      <patternFill patternType="gray125"/>
    </fill>
    <fill>
      <patternFill patternType="solid">
        <fgColor rgb="FFFFF2CC"/>
        <bgColor indexed="64"/>
      </patternFill>
    </fill>
  </fills>
  <borders count="13">
    <border>
      <left/>
      <right/>
      <top/>
      <bottom/>
      <diagonal/>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DEE2E6"/>
      </bottom>
    </border>
    <border>
      <left/>
      <right/>
      <top style="thin">
        <color rgb="FF000000"/>
      </top>
      <bottom style="thin">
        <color rgb="FFDEE2E6"/>
      </bottom>
    </border>
    <border>
      <left/>
      <right style="thin">
        <color rgb="FFDEE2E6"/>
      </right>
      <top style="thin">
        <color rgb="FF000000"/>
      </top>
      <bottom style="thin">
        <color rgb="FFDEE2E6"/>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2">
    <xf numFmtId="0" fontId="0" fillId="0" borderId="0" xfId="0"/>
    <xf numFmtId="0" fontId="4" fillId="2" borderId="1" xfId="0" applyFont="1" applyBorder="1" applyAlignment="1">
      <alignment horizontal="center" vertical="center" wrapText="1"/>
    </xf>
    <xf numFmtId="0" fontId="1" fillId="0" borderId="1" xfId="0" applyFont="1" applyBorder="1">
      <alignment/>
    </xf>
    <xf numFmtId="0" fontId="1" fillId="0" borderId="2" xfId="0" applyFont="1" applyBorder="1">
      <alignment/>
    </xf>
    <xf numFmtId="0" fontId="3" fillId="2" borderId="3" xfId="0" applyFont="1" applyBorder="1" applyAlignment="1">
      <alignment horizontal="center" vertical="center" wrapText="1"/>
    </xf>
    <xf numFmtId="0" fontId="3" fillId="2" borderId="3" xfId="0" applyFont="1" applyBorder="1" applyAlignment="1">
      <alignment horizontal="left" vertical="center" wrapText="1"/>
    </xf>
    <xf numFmtId="177" fontId="3" fillId="2" borderId="3" xfId="0" applyNumberFormat="1" applyFont="1" applyBorder="1" applyAlignment="1">
      <alignment horizontal="center" vertical="center" wrapText="1"/>
    </xf>
    <xf numFmtId="2" fontId="3" fillId="2" borderId="3" xfId="0" applyNumberFormat="1" applyFont="1" applyBorder="1" applyAlignment="1">
      <alignment horizontal="center" vertical="center" wrapText="1"/>
    </xf>
    <xf numFmtId="0" fontId="3" fillId="2" borderId="4" xfId="0" applyFont="1" applyBorder="1" applyAlignment="1">
      <alignment horizontal="center" vertical="center" wrapText="1"/>
    </xf>
    <xf numFmtId="0" fontId="3" fillId="2" borderId="5" xfId="0" applyFont="1" applyBorder="1" applyAlignment="1">
      <alignment horizontal="left" vertical="center" wrapText="1"/>
    </xf>
    <xf numFmtId="0" fontId="1" fillId="0" borderId="6" xfId="0" applyFont="1" applyBorder="1">
      <alignment/>
    </xf>
    <xf numFmtId="0" fontId="1" fillId="0" borderId="7" xfId="0" applyFont="1" applyBorder="1">
      <alignment/>
    </xf>
    <xf numFmtId="0" fontId="1" fillId="0" borderId="8" xfId="0" applyFont="1" applyBorder="1">
      <alignment/>
    </xf>
    <xf numFmtId="0" fontId="1" fillId="0" borderId="9" xfId="0" applyFont="1" applyBorder="1">
      <alignment/>
    </xf>
    <xf numFmtId="0" fontId="3" fillId="2" borderId="3" xfId="0" applyFont="1" applyBorder="1">
      <alignment/>
    </xf>
    <xf numFmtId="0" fontId="3" fillId="2" borderId="3" xfId="0" applyFont="1" applyBorder="1" applyAlignment="1">
      <alignment/>
    </xf>
    <xf numFmtId="0" fontId="3" fillId="2" borderId="5" xfId="0" applyFont="1" applyBorder="1" applyAlignment="1">
      <alignment horizontal="center" vertical="center" wrapText="1"/>
    </xf>
    <xf numFmtId="0" fontId="2" fillId="2" borderId="5" xfId="0" applyFont="1" applyBorder="1" applyAlignment="1">
      <alignment horizontal="center" vertical="center" wrapText="1"/>
    </xf>
    <xf numFmtId="2" fontId="2" fillId="2" borderId="3" xfId="0" applyNumberFormat="1" applyFont="1" applyBorder="1" applyAlignment="1">
      <alignment horizontal="center" vertical="center" wrapText="1"/>
    </xf>
    <xf numFmtId="0" fontId="2" fillId="2" borderId="10" xfId="0" applyFont="1" applyBorder="1" applyAlignment="1">
      <alignment horizontal="center" vertical="center" wrapText="1"/>
    </xf>
    <xf numFmtId="0" fontId="1" fillId="0" borderId="11" xfId="0" applyFont="1" applyBorder="1">
      <alignment/>
    </xf>
    <xf numFmtId="0" fontId="1" fillId="0" borderId="12" xfId="0" applyFont="1" applyBorder="1">
      <alignment/>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6" Type="http://schemas.openxmlformats.org/officeDocument/2006/relationships/calcChain" Target="calcChain.xml" /><Relationship Id="rId5" Type="http://schemas.openxmlformats.org/officeDocument/2006/relationships/externalLink" Target="externalLinks/externalLink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 Id="rId1" Type="http://schemas.openxmlformats.org/officeDocument/2006/relationships/theme" Target="theme/theme1.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Electrical Essentials"/>
      <sheetName val="GI on Wall PRICE"/>
      <sheetName val="GI wo Trench"/>
      <sheetName val="GI With Trench PRICE"/>
      <sheetName val="GI Works"/>
      <sheetName val="Gravel for TWC"/>
      <sheetName val="Gutter&amp;Clamp"/>
      <sheetName val="HP Erection and Pullout"/>
      <sheetName val="HP Repair Labour"/>
      <sheetName val="HP Repair Spares"/>
      <sheetName val="Hydrants"/>
      <sheetName val="Iron Structure"/>
      <sheetName val="Lock"/>
      <sheetName val="Metallic PH"/>
      <sheetName val="Motor Starter GWD"/>
      <sheetName val="Motor Starter Monoblock"/>
      <sheetName val="Motor Starter PRICE"/>
      <sheetName val="Other Fittings PRICE"/>
      <sheetName val="Panel Board"/>
      <sheetName val="Pump Cover"/>
      <sheetName val="Pump Erection "/>
      <sheetName val="Pump Pullout"/>
      <sheetName val="PVC Fittings"/>
      <sheetName val="PVC Fittings PRICE"/>
      <sheetName val="PVC on Wall (Concealed) PRICE"/>
      <sheetName val="PVC on Wall PRICE"/>
      <sheetName val="PVC on Wall"/>
      <sheetName val="PVC wo Trench PRICE"/>
      <sheetName val="PVC wo Trench"/>
      <sheetName val="PVC With Trench PRICE"/>
      <sheetName val="PVC With Trench"/>
      <sheetName val="Scaffolding"/>
      <sheetName val="Services"/>
      <sheetName val="TW Casing Pipes"/>
      <sheetName val="UG Cable PRICE"/>
      <sheetName val="Water Meter"/>
      <sheetName val="Water Tank"/>
      <sheetName val="Well Protection"/>
      <sheetName val="WTP"/>
      <sheetName val="Derived"/>
      <sheetName val="LMR"/>
      <sheetName val="PAMR39"/>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5FA39988-D759-44A3-A4FF-4E251455BAA6}">
  <dimension ref="A1:J39"/>
  <sheetViews>
    <sheetView tabSelected="1" workbookViewId="0" topLeftCell="A1"/>
  </sheetViews>
  <sheetFormatPr defaultRowHeight="12.75"/>
  <sheetData>
    <row r="1" spans="1:10" ht="12.75">
      <c r="A1" s="1" t="s">
        <v>0</v>
      </c>
      <c r="B1" s="2"/>
      <c r="C1" s="2"/>
      <c r="D1" s="2"/>
      <c r="E1" s="2"/>
      <c r="F1" s="2"/>
      <c r="G1" s="2"/>
      <c r="H1" s="2"/>
      <c r="I1" s="2"/>
      <c r="J1" s="3"/>
    </row>
    <row r="2" spans="1:10" ht="12.75">
      <c r="A2" s="4" t="s">
        <v>1</v>
      </c>
      <c r="B2" s="5" t="s">
        <v>2</v>
      </c>
      <c r="C2" s="4" t="s">
        <v>3</v>
      </c>
      <c r="D2" s="4" t="s">
        <v>4</v>
      </c>
      <c r="E2" s="4" t="s">
        <v>5</v>
      </c>
      <c r="F2" s="4" t="s">
        <v>6</v>
      </c>
      <c r="G2" s="6" t="s">
        <v>7</v>
      </c>
      <c r="H2" s="4" t="s">
        <v>8</v>
      </c>
      <c r="I2" s="4" t="s">
        <v>9</v>
      </c>
      <c r="J2" s="7" t="s">
        <v>10</v>
      </c>
    </row>
    <row r="3" spans="1:10" ht="12.75">
      <c r="A3" s="8">
        <v>1</v>
      </c>
      <c r="B3" s="9" t="s">
        <v>11</v>
      </c>
      <c r="C3" s="10"/>
      <c r="D3" s="10"/>
      <c r="E3" s="10"/>
      <c r="F3" s="10"/>
      <c r="G3" s="10"/>
      <c r="H3" s="10"/>
      <c r="I3" s="10"/>
      <c r="J3" s="4"/>
    </row>
    <row r="4" spans="1:10" ht="12.75">
      <c r="A4" s="11"/>
      <c r="B4" s="5" t="s">
        <v>12</v>
      </c>
      <c r="C4" s="4">
        <v>1</v>
      </c>
      <c r="D4" s="4">
        <v>1</v>
      </c>
      <c r="E4" s="4">
        <v>1</v>
      </c>
      <c r="F4" s="4">
        <v>1</v>
      </c>
      <c r="G4" s="6">
        <f>PRODUCT(C4:F4)</f>
        <v>1</v>
      </c>
      <c r="H4" s="4"/>
      <c r="I4" s="4"/>
      <c r="J4" s="4"/>
    </row>
    <row r="5" spans="1:10" ht="12.75">
      <c r="A5" s="12"/>
      <c r="B5" s="5" t="s">
        <v>7</v>
      </c>
      <c r="C5" s="4"/>
      <c r="D5" s="4"/>
      <c r="E5" s="4"/>
      <c r="F5" s="4"/>
      <c r="G5" s="6">
        <f>SUM(G4)</f>
        <v>1</v>
      </c>
      <c r="H5" s="4" t="s">
        <v>13</v>
      </c>
      <c r="I5" s="4">
        <v>24.43</v>
      </c>
      <c r="J5" s="4">
        <f>G5*I5</f>
        <v>24.43</v>
      </c>
    </row>
    <row r="6" spans="1:10" ht="12.75">
      <c r="A6" s="8">
        <v>2</v>
      </c>
      <c r="B6" s="9" t="s">
        <v>14</v>
      </c>
      <c r="C6" s="10"/>
      <c r="D6" s="10"/>
      <c r="E6" s="10"/>
      <c r="F6" s="10"/>
      <c r="G6" s="10"/>
      <c r="H6" s="10"/>
      <c r="I6" s="13"/>
      <c r="J6" s="4"/>
    </row>
    <row r="7" spans="1:10" ht="12.75">
      <c r="A7" s="11"/>
      <c r="B7" s="5" t="s">
        <v>15</v>
      </c>
      <c r="C7" s="4">
        <v>1</v>
      </c>
      <c r="D7" s="4">
        <v>1</v>
      </c>
      <c r="E7" s="4">
        <v>1</v>
      </c>
      <c r="F7" s="4">
        <v>0.20</v>
      </c>
      <c r="G7" s="6">
        <f>PRODUCT(C7:F7)</f>
        <v>0.20</v>
      </c>
      <c r="H7" s="4"/>
      <c r="I7" s="4"/>
      <c r="J7" s="4"/>
    </row>
    <row r="8" spans="1:10" ht="12.75">
      <c r="A8" s="12"/>
      <c r="B8" s="5" t="s">
        <v>7</v>
      </c>
      <c r="C8" s="4"/>
      <c r="D8" s="4"/>
      <c r="E8" s="4"/>
      <c r="F8" s="4"/>
      <c r="G8" s="6">
        <f>SUM(G7)</f>
        <v>0.20</v>
      </c>
      <c r="H8" s="4" t="s">
        <v>16</v>
      </c>
      <c r="I8" s="4">
        <v>249.04</v>
      </c>
      <c r="J8" s="4">
        <f>G8*I8</f>
        <v>49.808</v>
      </c>
    </row>
    <row r="9" spans="1:10" ht="12.75">
      <c r="A9" s="8">
        <v>3</v>
      </c>
      <c r="B9" s="9" t="s">
        <v>17</v>
      </c>
      <c r="C9" s="10"/>
      <c r="D9" s="10"/>
      <c r="E9" s="10"/>
      <c r="F9" s="10"/>
      <c r="G9" s="10"/>
      <c r="H9" s="10"/>
      <c r="I9" s="13"/>
      <c r="J9" s="4"/>
    </row>
    <row r="10" spans="1:10" ht="12.75">
      <c r="A10" s="11"/>
      <c r="B10" s="5" t="s">
        <v>15</v>
      </c>
      <c r="C10" s="4">
        <v>1</v>
      </c>
      <c r="D10" s="4">
        <v>1</v>
      </c>
      <c r="E10" s="4">
        <v>1</v>
      </c>
      <c r="F10" s="4">
        <v>0.30</v>
      </c>
      <c r="G10" s="6">
        <f>PRODUCT(C10:F10)</f>
        <v>0.30</v>
      </c>
      <c r="H10" s="4"/>
      <c r="I10" s="4"/>
      <c r="J10" s="4"/>
    </row>
    <row r="11" spans="1:10" ht="12.75">
      <c r="A11" s="12"/>
      <c r="B11" s="5" t="s">
        <v>7</v>
      </c>
      <c r="C11" s="4"/>
      <c r="D11" s="4"/>
      <c r="E11" s="4"/>
      <c r="F11" s="4"/>
      <c r="G11" s="6">
        <f>SUM(G10)</f>
        <v>0.30</v>
      </c>
      <c r="H11" s="4" t="s">
        <v>16</v>
      </c>
      <c r="I11" s="4">
        <v>5491.79</v>
      </c>
      <c r="J11" s="4">
        <f>G11*I11</f>
        <v>1647.537</v>
      </c>
    </row>
    <row r="12" spans="1:10" ht="12.75">
      <c r="A12" s="8">
        <v>4</v>
      </c>
      <c r="B12" s="9" t="s">
        <v>18</v>
      </c>
      <c r="C12" s="10"/>
      <c r="D12" s="10"/>
      <c r="E12" s="10"/>
      <c r="F12" s="10"/>
      <c r="G12" s="10"/>
      <c r="H12" s="10"/>
      <c r="I12" s="13"/>
      <c r="J12" s="4"/>
    </row>
    <row r="13" spans="1:10" ht="12.75">
      <c r="A13" s="11"/>
      <c r="B13" s="5" t="s">
        <v>19</v>
      </c>
      <c r="C13" s="4">
        <v>4</v>
      </c>
      <c r="D13" s="4">
        <v>1</v>
      </c>
      <c r="E13" s="4"/>
      <c r="F13" s="4">
        <v>0.10</v>
      </c>
      <c r="G13" s="6">
        <f>PRODUCT(C13:F13)</f>
        <v>0.40</v>
      </c>
      <c r="H13" s="4"/>
      <c r="I13" s="4"/>
      <c r="J13" s="4"/>
    </row>
    <row r="14" spans="1:10" ht="12.75">
      <c r="A14" s="11"/>
      <c r="B14" s="5" t="s">
        <v>20</v>
      </c>
      <c r="C14" s="4">
        <v>1</v>
      </c>
      <c r="D14" s="4">
        <v>1</v>
      </c>
      <c r="E14" s="4">
        <v>1</v>
      </c>
      <c r="F14" s="4"/>
      <c r="G14" s="6">
        <f>PRODUCT(C14:F14)</f>
        <v>1</v>
      </c>
      <c r="H14" s="4"/>
      <c r="I14" s="4"/>
      <c r="J14" s="4"/>
    </row>
    <row r="15" spans="1:10" ht="12.75">
      <c r="A15" s="12"/>
      <c r="B15" s="5" t="s">
        <v>7</v>
      </c>
      <c r="C15" s="4"/>
      <c r="D15" s="4"/>
      <c r="E15" s="4"/>
      <c r="F15" s="4"/>
      <c r="G15" s="6">
        <f>SUM(G13:G14)</f>
        <v>1.40</v>
      </c>
      <c r="H15" s="4" t="s">
        <v>21</v>
      </c>
      <c r="I15" s="4">
        <v>255.98</v>
      </c>
      <c r="J15" s="7">
        <f>G15*I15</f>
        <v>358.37200000000001</v>
      </c>
    </row>
    <row r="16" spans="1:10" ht="12.75">
      <c r="A16" s="8">
        <v>5</v>
      </c>
      <c r="B16" s="9" t="s">
        <v>22</v>
      </c>
      <c r="C16" s="10"/>
      <c r="D16" s="10"/>
      <c r="E16" s="10"/>
      <c r="F16" s="10"/>
      <c r="G16" s="10"/>
      <c r="H16" s="10"/>
      <c r="I16" s="10"/>
      <c r="J16" s="4"/>
    </row>
    <row r="17" spans="1:10" ht="12.75">
      <c r="A17" s="11"/>
      <c r="B17" s="5" t="s">
        <v>23</v>
      </c>
      <c r="C17" s="4" t="s">
        <v>3</v>
      </c>
      <c r="D17" s="4" t="s">
        <v>4</v>
      </c>
      <c r="E17" s="4" t="s">
        <v>7</v>
      </c>
      <c r="F17" s="4" t="s">
        <v>24</v>
      </c>
      <c r="G17" s="4" t="s">
        <v>25</v>
      </c>
      <c r="H17" s="4" t="s">
        <v>26</v>
      </c>
      <c r="I17" s="4" t="s">
        <v>9</v>
      </c>
      <c r="J17" s="4"/>
    </row>
    <row r="18" spans="1:10" ht="12.75">
      <c r="A18" s="11"/>
      <c r="B18" s="5" t="s">
        <v>27</v>
      </c>
      <c r="C18" s="4">
        <v>4</v>
      </c>
      <c r="D18" s="4">
        <v>1</v>
      </c>
      <c r="E18" s="4">
        <f>C18*D18</f>
        <v>4</v>
      </c>
      <c r="F18" s="4"/>
      <c r="G18" s="6"/>
      <c r="H18" s="4"/>
      <c r="I18" s="4"/>
      <c r="J18" s="4"/>
    </row>
    <row r="19" spans="1:10" ht="12.75">
      <c r="A19" s="11"/>
      <c r="B19" s="5" t="s">
        <v>28</v>
      </c>
      <c r="C19" s="4">
        <v>4</v>
      </c>
      <c r="D19" s="4">
        <v>1</v>
      </c>
      <c r="E19" s="4">
        <f>C19*D19</f>
        <v>4</v>
      </c>
      <c r="F19" s="4"/>
      <c r="G19" s="6"/>
      <c r="H19" s="4"/>
      <c r="I19" s="4"/>
      <c r="J19" s="4"/>
    </row>
    <row r="20" spans="1:10" ht="12.75">
      <c r="A20" s="11"/>
      <c r="B20" s="5" t="s">
        <v>29</v>
      </c>
      <c r="C20" s="4">
        <v>4</v>
      </c>
      <c r="D20" s="4">
        <v>0.70</v>
      </c>
      <c r="E20" s="4">
        <f>C20*D20</f>
        <v>2.80</v>
      </c>
      <c r="F20" s="4"/>
      <c r="G20" s="6"/>
      <c r="H20" s="4"/>
      <c r="I20" s="4"/>
      <c r="J20" s="4"/>
    </row>
    <row r="21" spans="1:10" ht="12.75">
      <c r="A21" s="11"/>
      <c r="B21" s="5" t="s">
        <v>30</v>
      </c>
      <c r="C21" s="4">
        <v>2</v>
      </c>
      <c r="D21" s="4">
        <v>1</v>
      </c>
      <c r="E21" s="4">
        <f>C21*D21</f>
        <v>2</v>
      </c>
      <c r="F21" s="4"/>
      <c r="G21" s="6"/>
      <c r="H21" s="4"/>
      <c r="I21" s="4"/>
      <c r="J21" s="4"/>
    </row>
    <row r="22" spans="1:10" ht="12.75">
      <c r="A22" s="11"/>
      <c r="B22" s="5" t="s">
        <v>31</v>
      </c>
      <c r="C22" s="4">
        <v>2</v>
      </c>
      <c r="D22" s="4">
        <v>0.70</v>
      </c>
      <c r="E22" s="4">
        <f>C22*D22</f>
        <v>1.40</v>
      </c>
      <c r="F22" s="4"/>
      <c r="G22" s="6"/>
      <c r="H22" s="4"/>
      <c r="I22" s="4"/>
      <c r="J22" s="4"/>
    </row>
    <row r="23" spans="1:10" ht="12.75">
      <c r="A23" s="12"/>
      <c r="B23" s="5" t="s">
        <v>32</v>
      </c>
      <c r="C23" s="4"/>
      <c r="D23" s="4"/>
      <c r="E23" s="4">
        <f>SUM(E18:E22)</f>
        <v>14.20</v>
      </c>
      <c r="F23" s="4">
        <v>1.43</v>
      </c>
      <c r="G23" s="4" t="s">
        <v>33</v>
      </c>
      <c r="H23" s="4">
        <f>E23*F23</f>
        <v>20.306000000000001</v>
      </c>
      <c r="I23" s="6">
        <v>80.77</v>
      </c>
      <c r="J23" s="7">
        <f>H23*I23</f>
        <v>1640.11562</v>
      </c>
    </row>
    <row r="24" spans="1:10" ht="12.75">
      <c r="A24" s="8">
        <v>6</v>
      </c>
      <c r="B24" s="9" t="s">
        <v>34</v>
      </c>
      <c r="C24" s="10"/>
      <c r="D24" s="10"/>
      <c r="E24" s="10"/>
      <c r="F24" s="10"/>
      <c r="G24" s="10"/>
      <c r="H24" s="10"/>
      <c r="I24" s="13"/>
      <c r="J24" s="4"/>
    </row>
    <row r="25" spans="1:10" ht="12.75">
      <c r="A25" s="11"/>
      <c r="B25" s="5" t="s">
        <v>35</v>
      </c>
      <c r="C25" s="4" t="s">
        <v>36</v>
      </c>
      <c r="D25" s="4" t="s">
        <v>4</v>
      </c>
      <c r="E25" s="4" t="s">
        <v>5</v>
      </c>
      <c r="F25" s="4" t="s">
        <v>37</v>
      </c>
      <c r="G25" s="4" t="s">
        <v>7</v>
      </c>
      <c r="H25" s="4"/>
      <c r="I25" s="6"/>
      <c r="J25" s="4"/>
    </row>
    <row r="26" spans="1:10" ht="12.75">
      <c r="A26" s="11"/>
      <c r="B26" s="5"/>
      <c r="C26" s="4">
        <v>4</v>
      </c>
      <c r="D26" s="4">
        <v>1</v>
      </c>
      <c r="E26" s="4"/>
      <c r="F26" s="4">
        <v>0.70</v>
      </c>
      <c r="G26" s="6">
        <f>PRODUCT(C26:F26)</f>
        <v>2.80</v>
      </c>
      <c r="H26" s="4"/>
      <c r="I26" s="6"/>
      <c r="J26" s="4"/>
    </row>
    <row r="27" spans="1:10" ht="12.75">
      <c r="A27" s="12"/>
      <c r="B27" s="5" t="s">
        <v>38</v>
      </c>
      <c r="C27" s="4"/>
      <c r="D27" s="4"/>
      <c r="E27" s="14"/>
      <c r="F27" s="4"/>
      <c r="G27" s="6">
        <f>SUM(G26)</f>
        <v>2.80</v>
      </c>
      <c r="H27" s="7" t="s">
        <v>39</v>
      </c>
      <c r="I27" s="4">
        <v>48.78</v>
      </c>
      <c r="J27" s="4">
        <f>G27*I27</f>
        <v>136.584</v>
      </c>
    </row>
    <row r="28" spans="1:10" ht="12.75">
      <c r="A28" s="8">
        <v>7</v>
      </c>
      <c r="B28" s="9" t="s">
        <v>40</v>
      </c>
      <c r="C28" s="10"/>
      <c r="D28" s="10"/>
      <c r="E28" s="10"/>
      <c r="F28" s="10"/>
      <c r="G28" s="10"/>
      <c r="H28" s="10"/>
      <c r="I28" s="10"/>
      <c r="J28" s="13"/>
    </row>
    <row r="29" spans="1:10" ht="12.75">
      <c r="A29" s="12"/>
      <c r="B29" s="9"/>
      <c r="C29" s="4">
        <v>1</v>
      </c>
      <c r="D29" s="4">
        <v>1.50</v>
      </c>
      <c r="E29" s="15">
        <v>1.50</v>
      </c>
      <c r="F29" s="4"/>
      <c r="G29" s="6">
        <f>PRODUCT(C29:F29)</f>
        <v>2.25</v>
      </c>
      <c r="H29" s="7" t="s">
        <v>39</v>
      </c>
      <c r="I29" s="4">
        <v>849.04</v>
      </c>
      <c r="J29" s="4">
        <f>G29*I29</f>
        <v>1910.34</v>
      </c>
    </row>
    <row r="30" spans="1:10" ht="12.75">
      <c r="A30" s="8">
        <v>8</v>
      </c>
      <c r="B30" s="9" t="s">
        <v>41</v>
      </c>
      <c r="C30" s="10"/>
      <c r="D30" s="10"/>
      <c r="E30" s="10"/>
      <c r="F30" s="10"/>
      <c r="G30" s="10"/>
      <c r="H30" s="10"/>
      <c r="I30" s="10"/>
      <c r="J30" s="13"/>
    </row>
    <row r="31" spans="1:10" ht="12.75">
      <c r="A31" s="12"/>
      <c r="B31" s="5"/>
      <c r="C31" s="4">
        <v>3</v>
      </c>
      <c r="D31" s="4"/>
      <c r="E31" s="4"/>
      <c r="F31" s="4"/>
      <c r="G31" s="6">
        <f>PRODUCT(C31:F31)</f>
        <v>3</v>
      </c>
      <c r="H31" s="4" t="s">
        <v>3</v>
      </c>
      <c r="I31" s="16">
        <v>30.15</v>
      </c>
      <c r="J31" s="7">
        <f>G31*I31</f>
        <v>90.45</v>
      </c>
    </row>
    <row r="32" spans="1:10" ht="12.75">
      <c r="A32" s="8">
        <v>9</v>
      </c>
      <c r="B32" s="9" t="s">
        <v>42</v>
      </c>
      <c r="C32" s="10"/>
      <c r="D32" s="10"/>
      <c r="E32" s="10"/>
      <c r="F32" s="10"/>
      <c r="G32" s="10"/>
      <c r="H32" s="10"/>
      <c r="I32" s="10"/>
      <c r="J32" s="13"/>
    </row>
    <row r="33" spans="1:10" ht="12.75">
      <c r="A33" s="12"/>
      <c r="B33" s="5"/>
      <c r="C33" s="4"/>
      <c r="D33" s="4"/>
      <c r="E33" s="4"/>
      <c r="F33" s="4"/>
      <c r="G33" s="4">
        <v>0.25</v>
      </c>
      <c r="H33" s="4" t="s">
        <v>43</v>
      </c>
      <c r="I33" s="16">
        <v>910.62</v>
      </c>
      <c r="J33" s="7">
        <f>G33*I33</f>
        <v>227.655</v>
      </c>
    </row>
    <row r="34" spans="1:10" ht="12.75">
      <c r="A34" s="8">
        <v>10</v>
      </c>
      <c r="B34" s="9" t="s">
        <v>44</v>
      </c>
      <c r="C34" s="10"/>
      <c r="D34" s="10"/>
      <c r="E34" s="10"/>
      <c r="F34" s="10"/>
      <c r="G34" s="10"/>
      <c r="H34" s="10"/>
      <c r="I34" s="10"/>
      <c r="J34" s="13"/>
    </row>
    <row r="35" spans="1:10" ht="12.75">
      <c r="A35" s="11"/>
      <c r="B35" s="9" t="s">
        <v>45</v>
      </c>
      <c r="C35" s="8">
        <v>1</v>
      </c>
      <c r="D35" s="8"/>
      <c r="E35" s="8"/>
      <c r="F35" s="8"/>
      <c r="G35" s="8">
        <f>PRODUCT(C35:F35)</f>
        <v>1</v>
      </c>
      <c r="H35" s="8" t="s">
        <v>3</v>
      </c>
      <c r="I35" s="16">
        <f>[1]Lock!F16</f>
        <v>641.15</v>
      </c>
      <c r="J35" s="7">
        <f>G35*I35</f>
        <v>641.15</v>
      </c>
    </row>
    <row r="36" spans="1:10" ht="12.75">
      <c r="A36" s="12"/>
      <c r="B36" s="9" t="s">
        <v>46</v>
      </c>
      <c r="C36" s="12"/>
      <c r="D36" s="12"/>
      <c r="E36" s="12"/>
      <c r="F36" s="12"/>
      <c r="G36" s="12"/>
      <c r="H36" s="12"/>
      <c r="I36" s="16">
        <f>[1]Lock!F24</f>
        <v>27.042750000000002</v>
      </c>
      <c r="J36" s="7">
        <f>I36*G35</f>
        <v>27.042750000000002</v>
      </c>
    </row>
    <row r="37" spans="1:10" ht="12.75">
      <c r="A37" s="17" t="s">
        <v>47</v>
      </c>
      <c r="B37" s="10"/>
      <c r="C37" s="10"/>
      <c r="D37" s="10"/>
      <c r="E37" s="10"/>
      <c r="F37" s="10"/>
      <c r="G37" s="10"/>
      <c r="H37" s="10"/>
      <c r="I37" s="13"/>
      <c r="J37" s="18">
        <f>SUM(J3:J34,J36)</f>
        <v>6112.3343699999996</v>
      </c>
    </row>
    <row r="38" spans="1:10" ht="12.75">
      <c r="A38" s="17" t="s">
        <v>48</v>
      </c>
      <c r="B38" s="10"/>
      <c r="C38" s="10"/>
      <c r="D38" s="10"/>
      <c r="E38" s="10"/>
      <c r="F38" s="10"/>
      <c r="G38" s="10"/>
      <c r="H38" s="10"/>
      <c r="I38" s="13"/>
      <c r="J38" s="18">
        <f>SUM(J35)</f>
        <v>641.15</v>
      </c>
    </row>
    <row r="39" spans="1:10" ht="12.75">
      <c r="A39" s="19" t="s">
        <v>49</v>
      </c>
      <c r="B39" s="20"/>
      <c r="C39" s="20"/>
      <c r="D39" s="20"/>
      <c r="E39" s="20"/>
      <c r="F39" s="20"/>
      <c r="G39" s="20"/>
      <c r="H39" s="20"/>
      <c r="I39" s="20"/>
      <c r="J39" s="21"/>
    </row>
  </sheetData>
  <mergeCells count="30">
    <mergeCell ref="B9:I9"/>
    <mergeCell ref="B12:I12"/>
    <mergeCell ref="A12:A15"/>
    <mergeCell ref="B16:I16"/>
    <mergeCell ref="A1:J1"/>
    <mergeCell ref="A3:A5"/>
    <mergeCell ref="B3:I3"/>
    <mergeCell ref="A6:A8"/>
    <mergeCell ref="B6:I6"/>
    <mergeCell ref="A9:A11"/>
    <mergeCell ref="A16:A23"/>
    <mergeCell ref="A24:A27"/>
    <mergeCell ref="B24:I24"/>
    <mergeCell ref="A28:A29"/>
    <mergeCell ref="B28:J28"/>
    <mergeCell ref="A30:A31"/>
    <mergeCell ref="B30:J30"/>
    <mergeCell ref="B32:J32"/>
    <mergeCell ref="B34:J34"/>
    <mergeCell ref="H35:H36"/>
    <mergeCell ref="A37:I37"/>
    <mergeCell ref="A38:I38"/>
    <mergeCell ref="A39:J39"/>
    <mergeCell ref="A32:A33"/>
    <mergeCell ref="A34:A36"/>
    <mergeCell ref="C35:C36"/>
    <mergeCell ref="D35:D36"/>
    <mergeCell ref="E35:E36"/>
    <mergeCell ref="F35:F36"/>
    <mergeCell ref="G35:G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