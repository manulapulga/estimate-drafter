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>
    <definedName name="LMRRates">[1]LMR!$C:$C</definedName>
    <definedName name="LMRCodes">[1]LMR!$A:$A</definedName>
  </definedNames>
  <calcPr fullCalcOnLoad="1"/>
</workbook>
</file>

<file path=xl/calcChain.xml><?xml version="1.0" encoding="utf-8"?>
<calcChain xmlns="http://schemas.openxmlformats.org/spreadsheetml/2006/main">
  <c r="E5" i="1" l="1" a="1"/>
</calcChain>
</file>

<file path=xl/sharedStrings.xml><?xml version="1.0" encoding="utf-8"?>
<sst xmlns="http://schemas.openxmlformats.org/spreadsheetml/2006/main" count="120" uniqueCount="31">
  <si>
    <t>Providing and fixing PVC pipes includes jointing of pipes with one step PVC solvent cement &amp; testing of joints complete as per direction of Engineer in Charge. 140 mm dia 6 KGF/cm2</t>
  </si>
  <si>
    <t>Code</t>
  </si>
  <si>
    <t>Description</t>
  </si>
  <si>
    <t>Unit</t>
  </si>
  <si>
    <t>Quantity</t>
  </si>
  <si>
    <t>Rate</t>
  </si>
  <si>
    <t>Amount</t>
  </si>
  <si>
    <t>Details of cost for 10 metre</t>
  </si>
  <si>
    <t>MATERIALS:</t>
  </si>
  <si>
    <t>MR10215</t>
  </si>
  <si>
    <t>PVC Pipe, 6kg/cm2, 140mm Dia</t>
  </si>
  <si>
    <t>metre</t>
  </si>
  <si>
    <t>Add 15% for fittings and wastage etc. on (A)</t>
  </si>
  <si>
    <t>Add Water Charges @ 1%</t>
  </si>
  <si>
    <t>TOTAL</t>
  </si>
  <si>
    <t>Add CPOH @ 15%</t>
  </si>
  <si>
    <t>Cost of 10.0 metre</t>
  </si>
  <si>
    <t>Cost per metre</t>
  </si>
  <si>
    <t>Fitter(grade1)</t>
  </si>
  <si>
    <t>Day</t>
  </si>
  <si>
    <t>Beldar</t>
  </si>
  <si>
    <t>TOTAL  </t>
  </si>
  <si>
    <t>Providing and fixing PVC pipes includes jointing of pipes with one step PVC solvent cement &amp; testing of joints complete as per direction of Engineer in Charge.63 mm dia 10 KGF/cm2</t>
  </si>
  <si>
    <t>MR10234</t>
  </si>
  <si>
    <t>PVC Pipe, 10kg/cm2, 63mm Dia.</t>
  </si>
  <si>
    <t>Providing and fixing PVC pipes includes jointing of pipes with one step PVC solvent cement &amp; testing of joints complete as per direction of Engineer in Charge.90 mm dia 10 KGF/cm2</t>
  </si>
  <si>
    <t>MR10236</t>
  </si>
  <si>
    <t>PVC Pipe, 10kg/cm2, 90mm Dia.</t>
  </si>
  <si>
    <t>Providing and fixing PVC pipes includes jointing of pipes with one step PVC solvent cement &amp; testing of joints complete as per direction of Engineer in Charge.90 mm dia 6 KGF/cm2</t>
  </si>
  <si>
    <t>MR10213</t>
  </si>
  <si>
    <t>PVC Pipe, 6kg/cm2, 90mm Dia.</t>
  </si>
</sst>
</file>

<file path=xl/styles.xml><?xml version="1.0" encoding="utf-8"?>
<styleSheet xmlns="http://schemas.openxmlformats.org/spreadsheetml/2006/main">
  <numFmts count="1">
    <numFmt numFmtId="177" formatCode="0.000"/>
  </numFmts>
  <fonts count="4">
    <font>
      <sz val="10"/>
      <color theme="1"/>
      <name val="Arial"/>
      <family val="2"/>
    </font>
    <font>
      <b/>
      <sz val="12"/>
      <color theme="1"/>
      <name val="Cambria"/>
      <family val="2"/>
    </font>
    <font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EAD1DC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6">
    <xf numFmtId="0" fontId="0" fillId="0" borderId="0" xfId="0"/>
    <xf numFmtId="0" fontId="1" fillId="2" borderId="1" xfId="0" applyFont="1" applyBorder="1" applyAlignment="1">
      <alignment horizontal="center" vertical="center" wrapText="1"/>
    </xf>
    <xf numFmtId="0" fontId="2" fillId="2" borderId="2" xfId="0" applyFont="1" applyBorder="1" applyAlignment="1">
      <alignment vertical="center" wrapText="1"/>
    </xf>
    <xf numFmtId="0" fontId="3" fillId="0" borderId="3" xfId="0" applyFont="1" applyBorder="1">
      <alignment/>
    </xf>
    <xf numFmtId="0" fontId="3" fillId="0" borderId="4" xfId="0" applyFont="1" applyBorder="1">
      <alignment/>
    </xf>
    <xf numFmtId="0" fontId="2" fillId="2" borderId="5" xfId="0" applyFont="1" applyBorder="1" applyAlignment="1">
      <alignment vertical="center" wrapText="1"/>
    </xf>
    <xf numFmtId="0" fontId="2" fillId="2" borderId="1" xfId="0" applyFont="1" applyBorder="1" applyAlignment="1">
      <alignment vertical="center" wrapText="1"/>
    </xf>
    <xf numFmtId="0" fontId="3" fillId="0" borderId="6" xfId="0" applyFont="1" applyBorder="1">
      <alignment/>
    </xf>
    <xf numFmtId="0" fontId="2" fillId="2" borderId="5" xfId="0" applyFont="1" applyBorder="1" applyAlignment="1">
      <alignment horizontal="center" vertical="center" wrapText="1"/>
    </xf>
    <xf numFmtId="0" fontId="2" fillId="2" borderId="5" xfId="0" applyFont="1" applyBorder="1" applyAlignment="1">
      <alignment horizontal="right" vertical="center" wrapText="1"/>
    </xf>
    <xf numFmtId="0" fontId="2" fillId="2" borderId="2" xfId="0" applyFont="1" applyBorder="1" applyAlignment="1">
      <alignment horizontal="right" vertical="center" wrapText="1"/>
    </xf>
    <xf numFmtId="177" fontId="2" fillId="2" borderId="1" xfId="0" applyNumberFormat="1" applyFont="1" applyBorder="1" applyAlignment="1">
      <alignment horizontal="right" vertical="center" wrapText="1"/>
    </xf>
    <xf numFmtId="2" fontId="2" fillId="2" borderId="1" xfId="0" applyNumberFormat="1" applyFont="1" applyBorder="1" applyAlignment="1">
      <alignment horizontal="right" vertical="center" wrapText="1"/>
    </xf>
    <xf numFmtId="0" fontId="2" fillId="2" borderId="1" xfId="0" applyFont="1" applyBorder="1" applyAlignment="1">
      <alignment horizontal="center" vertical="center" wrapText="1"/>
    </xf>
    <xf numFmtId="0" fontId="1" fillId="2" borderId="2" xfId="0" applyFont="1" applyBorder="1" applyAlignment="1">
      <alignment horizontal="center" vertical="center" wrapText="1"/>
    </xf>
    <xf numFmtId="0" fontId="1" fillId="3" borderId="1" xfId="0" applyFont="1" applyBorder="1" applyAlignment="1">
      <alignment horizontal="center" vertical="center" wrapText="1"/>
    </xf>
    <xf numFmtId="0" fontId="2" fillId="3" borderId="2" xfId="0" applyFont="1" applyBorder="1" applyAlignment="1">
      <alignment vertical="center" wrapText="1"/>
    </xf>
    <xf numFmtId="0" fontId="2" fillId="3" borderId="5" xfId="0" applyFont="1" applyBorder="1" applyAlignment="1">
      <alignment vertical="center" wrapText="1"/>
    </xf>
    <xf numFmtId="0" fontId="2" fillId="3" borderId="1" xfId="0" applyFont="1" applyBorder="1" applyAlignment="1">
      <alignment vertical="center" wrapText="1"/>
    </xf>
    <xf numFmtId="0" fontId="2" fillId="3" borderId="5" xfId="0" applyFont="1" applyBorder="1" applyAlignment="1">
      <alignment horizontal="center" vertical="center" wrapText="1"/>
    </xf>
    <xf numFmtId="0" fontId="2" fillId="3" borderId="5" xfId="0" applyFont="1" applyBorder="1" applyAlignment="1">
      <alignment horizontal="right" vertical="center" wrapText="1"/>
    </xf>
    <xf numFmtId="0" fontId="2" fillId="3" borderId="2" xfId="0" applyFont="1" applyBorder="1" applyAlignment="1">
      <alignment horizontal="right" vertical="center" wrapText="1"/>
    </xf>
    <xf numFmtId="177" fontId="2" fillId="3" borderId="1" xfId="0" applyNumberFormat="1" applyFont="1" applyBorder="1" applyAlignment="1">
      <alignment horizontal="right" vertical="center" wrapText="1"/>
    </xf>
    <xf numFmtId="2" fontId="2" fillId="3" borderId="1" xfId="0" applyNumberFormat="1" applyFont="1" applyBorder="1" applyAlignment="1">
      <alignment horizontal="right" vertical="center" wrapText="1"/>
    </xf>
    <xf numFmtId="0" fontId="2" fillId="3" borderId="1" xfId="0" applyFont="1" applyBorder="1" applyAlignment="1">
      <alignment horizontal="center" vertical="center" wrapText="1"/>
    </xf>
    <xf numFmtId="0" fontId="1" fillId="3" borderId="2" xfId="0" applyFont="1" applyBorder="1" applyAlignment="1">
      <alignment horizontal="center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calcChain" Target="calcChain.xml" /><Relationship Id="rId5" Type="http://schemas.openxmlformats.org/officeDocument/2006/relationships/externalLink" Target="externalLinks/externalLink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WD DR Abstract"/>
      <sheetName val="GWD MR Abstract"/>
      <sheetName val="3 Core Cable PRICE"/>
      <sheetName val="ARS Filter Media"/>
      <sheetName val="BW Casing Pipes"/>
      <sheetName val="Electrical Essentials"/>
      <sheetName val="GI on Wall PRICE"/>
      <sheetName val="GI wo Trench"/>
      <sheetName val="GI With Trench PRICE"/>
      <sheetName val="GI Works"/>
      <sheetName val="Gravel for TWC"/>
      <sheetName val="Gutter&amp;Clamp"/>
      <sheetName val="HP Erection and Pullout"/>
      <sheetName val="HP Repair Labour"/>
      <sheetName val="HP Repair Spares"/>
      <sheetName val="Hydrants"/>
      <sheetName val="Iron Structure"/>
      <sheetName val="Lock"/>
      <sheetName val="Metallic PH"/>
      <sheetName val="Motor Starter GWD"/>
      <sheetName val="Motor Starter Monoblock"/>
      <sheetName val="Motor Starter PRICE"/>
      <sheetName val="Other Fittings PRICE"/>
      <sheetName val="Panel Board"/>
      <sheetName val="Pump Cover"/>
      <sheetName val="Pump Erection "/>
      <sheetName val="Pump Pullout"/>
      <sheetName val="PVC Fittings"/>
      <sheetName val="PVC Fittings PRICE"/>
      <sheetName val="PVC on Wall (Concealed) PRICE"/>
      <sheetName val="PVC on Wall PRICE"/>
      <sheetName val="PVC on Wall"/>
      <sheetName val="PVC wo Trench PRICE"/>
      <sheetName val="PVC wo Trench"/>
      <sheetName val="PVC With Trench PRICE"/>
      <sheetName val="PVC With Trench"/>
      <sheetName val="Scaffolding"/>
      <sheetName val="Services"/>
      <sheetName val="TW Casing Pipes"/>
      <sheetName val="UG Cable PRICE"/>
      <sheetName val="Water Meter"/>
      <sheetName val="Water Tank"/>
      <sheetName val="Well Protection"/>
      <sheetName val="WTP"/>
      <sheetName val="Derived"/>
      <sheetName val="LMR"/>
      <sheetName val="PAMR39"/>
      <sheetName val="ZCost 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D5FB1CE-742C-4A03-A116-A73BA969BAA6}">
  <dimension ref="A1:F88"/>
  <sheetViews>
    <sheetView tabSelected="1" workbookViewId="0" topLeftCell="A1"/>
  </sheetViews>
  <sheetFormatPr defaultRowHeight="12.75"/>
  <sheetData>
    <row r="1" spans="1:6" ht="12.75">
      <c r="A1" s="1">
        <v>0</v>
      </c>
      <c r="B1" s="2" t="s">
        <v>0</v>
      </c>
      <c r="C1" s="3"/>
      <c r="D1" s="3"/>
      <c r="E1" s="3"/>
      <c r="F1" s="4"/>
    </row>
    <row r="2" spans="1:6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2.75">
      <c r="A3" s="5"/>
      <c r="B3" s="6" t="s">
        <v>7</v>
      </c>
      <c r="C3" s="5"/>
      <c r="D3" s="5"/>
      <c r="E3" s="5"/>
      <c r="F3" s="5"/>
    </row>
    <row r="4" spans="1:6" ht="12.75">
      <c r="A4" s="7"/>
      <c r="B4" s="6" t="s">
        <v>8</v>
      </c>
      <c r="C4" s="7"/>
      <c r="D4" s="7"/>
      <c r="E4" s="7"/>
      <c r="F4" s="7"/>
    </row>
    <row r="5" spans="1:6" ht="12.75">
      <c r="A5" s="8" t="s">
        <v>9</v>
      </c>
      <c r="B5" s="6" t="s">
        <v>10</v>
      </c>
      <c r="C5" s="8" t="s">
        <v>11</v>
      </c>
      <c r="D5" s="8">
        <v>11.50</v>
      </c>
      <c r="E5" s="8">
        <f t="array" ref="E5">IFERROR(INDEX(LMRRates,MATCH(A5,LMRCodes,0),),)</f>
        <v>284</v>
      </c>
      <c r="F5" s="9">
        <f>D5*E5</f>
        <v>3266</v>
      </c>
    </row>
    <row r="6" spans="1:6" ht="12.75">
      <c r="A6" s="7"/>
      <c r="B6" s="6" t="s">
        <v>12</v>
      </c>
      <c r="C6" s="7"/>
      <c r="D6" s="7"/>
      <c r="E6" s="7"/>
      <c r="F6" s="7"/>
    </row>
    <row r="7" spans="1:6" ht="12.75">
      <c r="A7" s="6"/>
      <c r="B7" s="10" t="s">
        <v>13</v>
      </c>
      <c r="C7" s="3"/>
      <c r="D7" s="3"/>
      <c r="E7" s="4"/>
      <c r="F7" s="11">
        <f>F5*0.01</f>
        <v>32.66</v>
      </c>
    </row>
    <row r="8" spans="1:6" ht="12.75">
      <c r="A8" s="6"/>
      <c r="B8" s="10" t="s">
        <v>14</v>
      </c>
      <c r="C8" s="3"/>
      <c r="D8" s="3"/>
      <c r="E8" s="4"/>
      <c r="F8" s="11">
        <f>SUM(F5:F7)</f>
        <v>3298.66</v>
      </c>
    </row>
    <row r="9" spans="1:6" ht="12.75">
      <c r="A9" s="6"/>
      <c r="B9" s="10" t="s">
        <v>15</v>
      </c>
      <c r="C9" s="3"/>
      <c r="D9" s="3"/>
      <c r="E9" s="4"/>
      <c r="F9" s="11">
        <f>F8*0.15</f>
        <v>494.79899999999998</v>
      </c>
    </row>
    <row r="10" spans="1:6" ht="12.75">
      <c r="A10" s="6"/>
      <c r="B10" s="10" t="s">
        <v>14</v>
      </c>
      <c r="C10" s="3"/>
      <c r="D10" s="3"/>
      <c r="E10" s="4"/>
      <c r="F10" s="11">
        <f>SUM(F8:F9)</f>
        <v>3793.4589999999998</v>
      </c>
    </row>
    <row r="11" spans="1:6" ht="12.75">
      <c r="A11" s="6"/>
      <c r="B11" s="10" t="s">
        <v>16</v>
      </c>
      <c r="C11" s="3"/>
      <c r="D11" s="3"/>
      <c r="E11" s="4"/>
      <c r="F11" s="11">
        <f>F10</f>
        <v>3793.4589999999998</v>
      </c>
    </row>
    <row r="12" spans="1:6" ht="12.75">
      <c r="A12" s="6"/>
      <c r="B12" s="10" t="s">
        <v>17</v>
      </c>
      <c r="C12" s="3"/>
      <c r="D12" s="3"/>
      <c r="E12" s="4"/>
      <c r="F12" s="12">
        <f>ROUND(F11/10,2)</f>
        <v>379.35</v>
      </c>
    </row>
    <row r="13" spans="1:6" ht="12.75">
      <c r="A13" s="13">
        <v>116</v>
      </c>
      <c r="B13" s="6" t="s">
        <v>18</v>
      </c>
      <c r="C13" s="13" t="s">
        <v>19</v>
      </c>
      <c r="D13" s="13">
        <v>0.12</v>
      </c>
      <c r="E13" s="13">
        <v>784</v>
      </c>
      <c r="F13" s="11">
        <f>D13*E13</f>
        <v>94.08</v>
      </c>
    </row>
    <row r="14" spans="1:6" ht="12.75">
      <c r="A14" s="13">
        <v>114</v>
      </c>
      <c r="B14" s="6" t="s">
        <v>20</v>
      </c>
      <c r="C14" s="13" t="s">
        <v>19</v>
      </c>
      <c r="D14" s="13">
        <v>0.25</v>
      </c>
      <c r="E14" s="13">
        <v>645</v>
      </c>
      <c r="F14" s="11">
        <f>D14*E14</f>
        <v>161.25</v>
      </c>
    </row>
    <row r="15" spans="1:6" ht="12.75">
      <c r="A15" s="6"/>
      <c r="B15" s="10" t="s">
        <v>21</v>
      </c>
      <c r="C15" s="3"/>
      <c r="D15" s="3"/>
      <c r="E15" s="4"/>
      <c r="F15" s="11">
        <f>SUM(F13:F14)</f>
        <v>255.33</v>
      </c>
    </row>
    <row r="16" spans="1:6" ht="12.75">
      <c r="A16" s="6"/>
      <c r="B16" s="10" t="s">
        <v>13</v>
      </c>
      <c r="C16" s="3"/>
      <c r="D16" s="3"/>
      <c r="E16" s="4"/>
      <c r="F16" s="11">
        <f>F15*0.01</f>
        <v>2.5533000000000001</v>
      </c>
    </row>
    <row r="17" spans="1:6" ht="12.75">
      <c r="A17" s="6"/>
      <c r="B17" s="10" t="s">
        <v>14</v>
      </c>
      <c r="C17" s="3"/>
      <c r="D17" s="3"/>
      <c r="E17" s="4"/>
      <c r="F17" s="11">
        <f>SUM(F15:F16)</f>
        <v>257.88330000000002</v>
      </c>
    </row>
    <row r="18" spans="1:6" ht="12.75">
      <c r="A18" s="6"/>
      <c r="B18" s="10" t="s">
        <v>15</v>
      </c>
      <c r="C18" s="3"/>
      <c r="D18" s="3"/>
      <c r="E18" s="4"/>
      <c r="F18" s="11">
        <f>F17*0.15</f>
        <v>38.682495000000003</v>
      </c>
    </row>
    <row r="19" spans="1:6" ht="12.75">
      <c r="A19" s="6"/>
      <c r="B19" s="10" t="s">
        <v>14</v>
      </c>
      <c r="C19" s="3"/>
      <c r="D19" s="3"/>
      <c r="E19" s="4"/>
      <c r="F19" s="11">
        <f>SUM(F17:F18)</f>
        <v>296.56579499999998</v>
      </c>
    </row>
    <row r="20" spans="1:6" ht="12.75">
      <c r="A20" s="6"/>
      <c r="B20" s="10" t="s">
        <v>16</v>
      </c>
      <c r="C20" s="3"/>
      <c r="D20" s="3"/>
      <c r="E20" s="4"/>
      <c r="F20" s="11">
        <f>F19</f>
        <v>296.56579499999998</v>
      </c>
    </row>
    <row r="21" spans="1:6" ht="12.75">
      <c r="A21" s="6"/>
      <c r="B21" s="10" t="s">
        <v>17</v>
      </c>
      <c r="C21" s="3"/>
      <c r="D21" s="3"/>
      <c r="E21" s="4"/>
      <c r="F21" s="12">
        <f>ROUND(F20/10,2)</f>
        <v>29.66</v>
      </c>
    </row>
    <row r="22" spans="1:6" ht="12.75">
      <c r="A22" s="14" t="str">
        <f>CONCATENATE("Say ₹ ",F12," + ",F21," x Cost Index")</f>
        <v>Say ₹ 379.35 + 29.66 x Cost Index</v>
      </c>
      <c r="B22" s="3"/>
      <c r="C22" s="3"/>
      <c r="D22" s="3"/>
      <c r="E22" s="3"/>
      <c r="F22" s="4"/>
    </row>
    <row r="23" spans="1:6" ht="12.75">
      <c r="A23" s="15">
        <v>0</v>
      </c>
      <c r="B23" s="16" t="s">
        <v>22</v>
      </c>
      <c r="C23" s="3"/>
      <c r="D23" s="3"/>
      <c r="E23" s="3"/>
      <c r="F23" s="4"/>
    </row>
    <row r="24" spans="1:6" ht="12.75">
      <c r="A24" s="15" t="s">
        <v>1</v>
      </c>
      <c r="B24" s="15" t="s">
        <v>2</v>
      </c>
      <c r="C24" s="15" t="s">
        <v>3</v>
      </c>
      <c r="D24" s="15" t="s">
        <v>4</v>
      </c>
      <c r="E24" s="15" t="s">
        <v>5</v>
      </c>
      <c r="F24" s="15" t="s">
        <v>6</v>
      </c>
    </row>
    <row r="25" spans="1:6" ht="12.75">
      <c r="A25" s="17"/>
      <c r="B25" s="18" t="s">
        <v>7</v>
      </c>
      <c r="C25" s="17"/>
      <c r="D25" s="17"/>
      <c r="E25" s="17"/>
      <c r="F25" s="17"/>
    </row>
    <row r="26" spans="1:6" ht="12.75">
      <c r="A26" s="7"/>
      <c r="B26" s="18" t="s">
        <v>8</v>
      </c>
      <c r="C26" s="7"/>
      <c r="D26" s="7"/>
      <c r="E26" s="7"/>
      <c r="F26" s="7"/>
    </row>
    <row r="27" spans="1:6" ht="12.75">
      <c r="A27" s="19" t="s">
        <v>23</v>
      </c>
      <c r="B27" s="18" t="s">
        <v>24</v>
      </c>
      <c r="C27" s="19" t="s">
        <v>11</v>
      </c>
      <c r="D27" s="19">
        <v>11.50</v>
      </c>
      <c r="E27" s="19">
        <f t="array" ref="E27">IFERROR(INDEX(LMRRates,MATCH(A27,LMRCodes,0),),)</f>
        <v>95</v>
      </c>
      <c r="F27" s="20">
        <f>D27*E27</f>
        <v>1092.50</v>
      </c>
    </row>
    <row r="28" spans="1:6" ht="12.75">
      <c r="A28" s="7"/>
      <c r="B28" s="18" t="s">
        <v>12</v>
      </c>
      <c r="C28" s="7"/>
      <c r="D28" s="7"/>
      <c r="E28" s="7"/>
      <c r="F28" s="7"/>
    </row>
    <row r="29" spans="1:6" ht="12.75">
      <c r="A29" s="18"/>
      <c r="B29" s="21" t="s">
        <v>13</v>
      </c>
      <c r="C29" s="3"/>
      <c r="D29" s="3"/>
      <c r="E29" s="4"/>
      <c r="F29" s="22">
        <f>F27*0.01</f>
        <v>10.925</v>
      </c>
    </row>
    <row r="30" spans="1:6" ht="12.75">
      <c r="A30" s="18"/>
      <c r="B30" s="21" t="s">
        <v>14</v>
      </c>
      <c r="C30" s="3"/>
      <c r="D30" s="3"/>
      <c r="E30" s="4"/>
      <c r="F30" s="22">
        <f>SUM(F27:F29)</f>
        <v>1103.425</v>
      </c>
    </row>
    <row r="31" spans="1:6" ht="12.75">
      <c r="A31" s="18"/>
      <c r="B31" s="21" t="s">
        <v>15</v>
      </c>
      <c r="C31" s="3"/>
      <c r="D31" s="3"/>
      <c r="E31" s="4"/>
      <c r="F31" s="22">
        <f>F30*0.15</f>
        <v>165.51375</v>
      </c>
    </row>
    <row r="32" spans="1:6" ht="12.75">
      <c r="A32" s="18"/>
      <c r="B32" s="21" t="s">
        <v>14</v>
      </c>
      <c r="C32" s="3"/>
      <c r="D32" s="3"/>
      <c r="E32" s="4"/>
      <c r="F32" s="22">
        <f>SUM(F30:F31)</f>
        <v>1268.93875</v>
      </c>
    </row>
    <row r="33" spans="1:6" ht="12.75">
      <c r="A33" s="18"/>
      <c r="B33" s="21" t="s">
        <v>16</v>
      </c>
      <c r="C33" s="3"/>
      <c r="D33" s="3"/>
      <c r="E33" s="4"/>
      <c r="F33" s="22">
        <f>F32</f>
        <v>1268.93875</v>
      </c>
    </row>
    <row r="34" spans="1:6" ht="12.75">
      <c r="A34" s="18"/>
      <c r="B34" s="21" t="s">
        <v>17</v>
      </c>
      <c r="C34" s="3"/>
      <c r="D34" s="3"/>
      <c r="E34" s="4"/>
      <c r="F34" s="23">
        <f>ROUND(F33/10,2)</f>
        <v>126.89</v>
      </c>
    </row>
    <row r="35" spans="1:6" ht="12.75">
      <c r="A35" s="24">
        <v>116</v>
      </c>
      <c r="B35" s="18" t="s">
        <v>18</v>
      </c>
      <c r="C35" s="24" t="s">
        <v>19</v>
      </c>
      <c r="D35" s="24">
        <v>0.12</v>
      </c>
      <c r="E35" s="24">
        <v>784</v>
      </c>
      <c r="F35" s="22">
        <f>D35*E35</f>
        <v>94.08</v>
      </c>
    </row>
    <row r="36" spans="1:6" ht="12.75">
      <c r="A36" s="24">
        <v>114</v>
      </c>
      <c r="B36" s="18" t="s">
        <v>20</v>
      </c>
      <c r="C36" s="24" t="s">
        <v>19</v>
      </c>
      <c r="D36" s="24">
        <v>0.25</v>
      </c>
      <c r="E36" s="24">
        <v>645</v>
      </c>
      <c r="F36" s="22">
        <f>D36*E36</f>
        <v>161.25</v>
      </c>
    </row>
    <row r="37" spans="1:6" ht="12.75">
      <c r="A37" s="18"/>
      <c r="B37" s="21" t="s">
        <v>21</v>
      </c>
      <c r="C37" s="3"/>
      <c r="D37" s="3"/>
      <c r="E37" s="4"/>
      <c r="F37" s="22">
        <f>SUM(F35:F36)</f>
        <v>255.33</v>
      </c>
    </row>
    <row r="38" spans="1:6" ht="12.75">
      <c r="A38" s="18"/>
      <c r="B38" s="21" t="s">
        <v>13</v>
      </c>
      <c r="C38" s="3"/>
      <c r="D38" s="3"/>
      <c r="E38" s="4"/>
      <c r="F38" s="22">
        <f>F37*0.01</f>
        <v>2.5533000000000001</v>
      </c>
    </row>
    <row r="39" spans="1:6" ht="12.75">
      <c r="A39" s="18"/>
      <c r="B39" s="21" t="s">
        <v>14</v>
      </c>
      <c r="C39" s="3"/>
      <c r="D39" s="3"/>
      <c r="E39" s="4"/>
      <c r="F39" s="22">
        <f>SUM(F37:F38)</f>
        <v>257.88330000000002</v>
      </c>
    </row>
    <row r="40" spans="1:6" ht="12.75">
      <c r="A40" s="18"/>
      <c r="B40" s="21" t="s">
        <v>15</v>
      </c>
      <c r="C40" s="3"/>
      <c r="D40" s="3"/>
      <c r="E40" s="4"/>
      <c r="F40" s="22">
        <f>F39*0.15</f>
        <v>38.682495000000003</v>
      </c>
    </row>
    <row r="41" spans="1:6" ht="12.75">
      <c r="A41" s="18"/>
      <c r="B41" s="21" t="s">
        <v>14</v>
      </c>
      <c r="C41" s="3"/>
      <c r="D41" s="3"/>
      <c r="E41" s="4"/>
      <c r="F41" s="22">
        <f>SUM(F39:F40)</f>
        <v>296.56579499999998</v>
      </c>
    </row>
    <row r="42" spans="1:6" ht="12.75">
      <c r="A42" s="18"/>
      <c r="B42" s="21" t="s">
        <v>16</v>
      </c>
      <c r="C42" s="3"/>
      <c r="D42" s="3"/>
      <c r="E42" s="4"/>
      <c r="F42" s="22">
        <f>F41</f>
        <v>296.56579499999998</v>
      </c>
    </row>
    <row r="43" spans="1:6" ht="12.75">
      <c r="A43" s="18"/>
      <c r="B43" s="21" t="s">
        <v>17</v>
      </c>
      <c r="C43" s="3"/>
      <c r="D43" s="3"/>
      <c r="E43" s="4"/>
      <c r="F43" s="23">
        <f>ROUND(F42/10,2)</f>
        <v>29.66</v>
      </c>
    </row>
    <row r="44" spans="1:6" ht="12.75">
      <c r="A44" s="25" t="str">
        <f>CONCATENATE("Say ₹ ",F34," + ",F43," x Cost Index")</f>
        <v>Say ₹ 126.89 + 29.66 x Cost Index</v>
      </c>
      <c r="B44" s="3"/>
      <c r="C44" s="3"/>
      <c r="D44" s="3"/>
      <c r="E44" s="3"/>
      <c r="F44" s="4"/>
    </row>
    <row r="45" spans="1:6" ht="12.75">
      <c r="A45" s="1">
        <v>0</v>
      </c>
      <c r="B45" s="2" t="s">
        <v>25</v>
      </c>
      <c r="C45" s="3"/>
      <c r="D45" s="3"/>
      <c r="E45" s="3"/>
      <c r="F45" s="4"/>
    </row>
    <row r="46" spans="1:6" ht="12.75">
      <c r="A46" s="1" t="s">
        <v>1</v>
      </c>
      <c r="B46" s="1" t="s">
        <v>2</v>
      </c>
      <c r="C46" s="1" t="s">
        <v>3</v>
      </c>
      <c r="D46" s="1" t="s">
        <v>4</v>
      </c>
      <c r="E46" s="1" t="s">
        <v>5</v>
      </c>
      <c r="F46" s="1" t="s">
        <v>6</v>
      </c>
    </row>
    <row r="47" spans="1:6" ht="12.75">
      <c r="A47" s="5"/>
      <c r="B47" s="6" t="s">
        <v>7</v>
      </c>
      <c r="C47" s="5"/>
      <c r="D47" s="5"/>
      <c r="E47" s="5"/>
      <c r="F47" s="5"/>
    </row>
    <row r="48" spans="1:6" ht="12.75">
      <c r="A48" s="7"/>
      <c r="B48" s="6" t="s">
        <v>8</v>
      </c>
      <c r="C48" s="7"/>
      <c r="D48" s="7"/>
      <c r="E48" s="7"/>
      <c r="F48" s="7"/>
    </row>
    <row r="49" spans="1:6" ht="12.75">
      <c r="A49" s="8" t="s">
        <v>26</v>
      </c>
      <c r="B49" s="6" t="s">
        <v>27</v>
      </c>
      <c r="C49" s="8" t="s">
        <v>11</v>
      </c>
      <c r="D49" s="8">
        <v>11.50</v>
      </c>
      <c r="E49" s="8">
        <f t="array" ref="E49">IFERROR(INDEX(LMRRates,MATCH(A49,LMRCodes,0),),)</f>
        <v>118</v>
      </c>
      <c r="F49" s="9">
        <f>D49*E49</f>
        <v>1357</v>
      </c>
    </row>
    <row r="50" spans="1:6" ht="12.75">
      <c r="A50" s="7"/>
      <c r="B50" s="6" t="s">
        <v>12</v>
      </c>
      <c r="C50" s="7"/>
      <c r="D50" s="7"/>
      <c r="E50" s="7"/>
      <c r="F50" s="7"/>
    </row>
    <row r="51" spans="1:6" ht="12.75">
      <c r="A51" s="6"/>
      <c r="B51" s="10" t="s">
        <v>13</v>
      </c>
      <c r="C51" s="3"/>
      <c r="D51" s="3"/>
      <c r="E51" s="4"/>
      <c r="F51" s="11">
        <f>F49*0.01</f>
        <v>13.57</v>
      </c>
    </row>
    <row r="52" spans="1:6" ht="12.75">
      <c r="A52" s="6"/>
      <c r="B52" s="10" t="s">
        <v>14</v>
      </c>
      <c r="C52" s="3"/>
      <c r="D52" s="3"/>
      <c r="E52" s="4"/>
      <c r="F52" s="11">
        <f>SUM(F49:F51)</f>
        <v>1370.57</v>
      </c>
    </row>
    <row r="53" spans="1:6" ht="12.75">
      <c r="A53" s="6"/>
      <c r="B53" s="10" t="s">
        <v>15</v>
      </c>
      <c r="C53" s="3"/>
      <c r="D53" s="3"/>
      <c r="E53" s="4"/>
      <c r="F53" s="11">
        <f>F52*0.15</f>
        <v>205.5855</v>
      </c>
    </row>
    <row r="54" spans="1:6" ht="12.75">
      <c r="A54" s="6"/>
      <c r="B54" s="10" t="s">
        <v>14</v>
      </c>
      <c r="C54" s="3"/>
      <c r="D54" s="3"/>
      <c r="E54" s="4"/>
      <c r="F54" s="11">
        <f>SUM(F52:F53)</f>
        <v>1576.1555000000001</v>
      </c>
    </row>
    <row r="55" spans="1:6" ht="12.75">
      <c r="A55" s="6"/>
      <c r="B55" s="10" t="s">
        <v>16</v>
      </c>
      <c r="C55" s="3"/>
      <c r="D55" s="3"/>
      <c r="E55" s="4"/>
      <c r="F55" s="11">
        <f>F54</f>
        <v>1576.1555000000001</v>
      </c>
    </row>
    <row r="56" spans="1:6" ht="12.75">
      <c r="A56" s="6"/>
      <c r="B56" s="10" t="s">
        <v>17</v>
      </c>
      <c r="C56" s="3"/>
      <c r="D56" s="3"/>
      <c r="E56" s="4"/>
      <c r="F56" s="12">
        <f>ROUND(F55/10,2)</f>
        <v>157.62</v>
      </c>
    </row>
    <row r="57" spans="1:6" ht="12.75">
      <c r="A57" s="13">
        <v>116</v>
      </c>
      <c r="B57" s="6" t="s">
        <v>18</v>
      </c>
      <c r="C57" s="13" t="s">
        <v>19</v>
      </c>
      <c r="D57" s="13">
        <v>0.12</v>
      </c>
      <c r="E57" s="13">
        <v>784</v>
      </c>
      <c r="F57" s="11">
        <f>D57*E57</f>
        <v>94.08</v>
      </c>
    </row>
    <row r="58" spans="1:6" ht="12.75">
      <c r="A58" s="13">
        <v>114</v>
      </c>
      <c r="B58" s="6" t="s">
        <v>20</v>
      </c>
      <c r="C58" s="13" t="s">
        <v>19</v>
      </c>
      <c r="D58" s="13">
        <v>0.25</v>
      </c>
      <c r="E58" s="13">
        <v>645</v>
      </c>
      <c r="F58" s="11">
        <f>D58*E58</f>
        <v>161.25</v>
      </c>
    </row>
    <row r="59" spans="1:6" ht="12.75">
      <c r="A59" s="6"/>
      <c r="B59" s="10" t="s">
        <v>21</v>
      </c>
      <c r="C59" s="3"/>
      <c r="D59" s="3"/>
      <c r="E59" s="4"/>
      <c r="F59" s="11">
        <f>SUM(F57:F58)</f>
        <v>255.33</v>
      </c>
    </row>
    <row r="60" spans="1:6" ht="12.75">
      <c r="A60" s="6"/>
      <c r="B60" s="10" t="s">
        <v>13</v>
      </c>
      <c r="C60" s="3"/>
      <c r="D60" s="3"/>
      <c r="E60" s="4"/>
      <c r="F60" s="11">
        <f>F59*0.01</f>
        <v>2.5533000000000001</v>
      </c>
    </row>
    <row r="61" spans="1:6" ht="12.75">
      <c r="A61" s="6"/>
      <c r="B61" s="10" t="s">
        <v>14</v>
      </c>
      <c r="C61" s="3"/>
      <c r="D61" s="3"/>
      <c r="E61" s="4"/>
      <c r="F61" s="11">
        <f>SUM(F59:F60)</f>
        <v>257.88330000000002</v>
      </c>
    </row>
    <row r="62" spans="1:6" ht="12.75">
      <c r="A62" s="6"/>
      <c r="B62" s="10" t="s">
        <v>15</v>
      </c>
      <c r="C62" s="3"/>
      <c r="D62" s="3"/>
      <c r="E62" s="4"/>
      <c r="F62" s="11">
        <f>F61*0.15</f>
        <v>38.682495000000003</v>
      </c>
    </row>
    <row r="63" spans="1:6" ht="12.75">
      <c r="A63" s="6"/>
      <c r="B63" s="10" t="s">
        <v>14</v>
      </c>
      <c r="C63" s="3"/>
      <c r="D63" s="3"/>
      <c r="E63" s="4"/>
      <c r="F63" s="11">
        <f>SUM(F61:F62)</f>
        <v>296.56579499999998</v>
      </c>
    </row>
    <row r="64" spans="1:6" ht="12.75">
      <c r="A64" s="6"/>
      <c r="B64" s="10" t="s">
        <v>16</v>
      </c>
      <c r="C64" s="3"/>
      <c r="D64" s="3"/>
      <c r="E64" s="4"/>
      <c r="F64" s="11">
        <f>F63</f>
        <v>296.56579499999998</v>
      </c>
    </row>
    <row r="65" spans="1:6" ht="12.75">
      <c r="A65" s="6"/>
      <c r="B65" s="10" t="s">
        <v>17</v>
      </c>
      <c r="C65" s="3"/>
      <c r="D65" s="3"/>
      <c r="E65" s="4"/>
      <c r="F65" s="12">
        <f>ROUND(F64/10,2)</f>
        <v>29.66</v>
      </c>
    </row>
    <row r="66" spans="1:6" ht="12.75">
      <c r="A66" s="14" t="str">
        <f>CONCATENATE("Say ₹ ",F56," + ",F65," x Cost Index")</f>
        <v>Say ₹ 157.62 + 29.66 x Cost Index</v>
      </c>
      <c r="B66" s="3"/>
      <c r="C66" s="3"/>
      <c r="D66" s="3"/>
      <c r="E66" s="3"/>
      <c r="F66" s="4"/>
    </row>
    <row r="67" spans="1:6" ht="12.75">
      <c r="A67" s="15">
        <v>0</v>
      </c>
      <c r="B67" s="16" t="s">
        <v>28</v>
      </c>
      <c r="C67" s="3"/>
      <c r="D67" s="3"/>
      <c r="E67" s="3"/>
      <c r="F67" s="4"/>
    </row>
    <row r="68" spans="1:6" ht="12.75">
      <c r="A68" s="15" t="s">
        <v>1</v>
      </c>
      <c r="B68" s="15" t="s">
        <v>2</v>
      </c>
      <c r="C68" s="15" t="s">
        <v>3</v>
      </c>
      <c r="D68" s="15" t="s">
        <v>4</v>
      </c>
      <c r="E68" s="15" t="s">
        <v>5</v>
      </c>
      <c r="F68" s="15" t="s">
        <v>6</v>
      </c>
    </row>
    <row r="69" spans="1:6" ht="12.75">
      <c r="A69" s="17"/>
      <c r="B69" s="18" t="s">
        <v>7</v>
      </c>
      <c r="C69" s="17"/>
      <c r="D69" s="17"/>
      <c r="E69" s="17"/>
      <c r="F69" s="17"/>
    </row>
    <row r="70" spans="1:6" ht="12.75">
      <c r="A70" s="7"/>
      <c r="B70" s="18" t="s">
        <v>8</v>
      </c>
      <c r="C70" s="7"/>
      <c r="D70" s="7"/>
      <c r="E70" s="7"/>
      <c r="F70" s="7"/>
    </row>
    <row r="71" spans="1:6" ht="12.75">
      <c r="A71" s="19" t="s">
        <v>29</v>
      </c>
      <c r="B71" s="18" t="s">
        <v>30</v>
      </c>
      <c r="C71" s="19" t="s">
        <v>11</v>
      </c>
      <c r="D71" s="19">
        <v>11.50</v>
      </c>
      <c r="E71" s="19">
        <f t="array" ref="E71">IFERROR(INDEX(LMRRates,MATCH(A71,LMRCodes,0),),)</f>
        <v>123</v>
      </c>
      <c r="F71" s="20">
        <f>D71*E71</f>
        <v>1414.50</v>
      </c>
    </row>
    <row r="72" spans="1:6" ht="12.75">
      <c r="A72" s="7"/>
      <c r="B72" s="18" t="s">
        <v>12</v>
      </c>
      <c r="C72" s="7"/>
      <c r="D72" s="7"/>
      <c r="E72" s="7"/>
      <c r="F72" s="7"/>
    </row>
    <row r="73" spans="1:6" ht="12.75">
      <c r="A73" s="18"/>
      <c r="B73" s="21" t="s">
        <v>13</v>
      </c>
      <c r="C73" s="3"/>
      <c r="D73" s="3"/>
      <c r="E73" s="4"/>
      <c r="F73" s="22">
        <f>F71*0.01</f>
        <v>14.145</v>
      </c>
    </row>
    <row r="74" spans="1:6" ht="12.75">
      <c r="A74" s="18"/>
      <c r="B74" s="21" t="s">
        <v>14</v>
      </c>
      <c r="C74" s="3"/>
      <c r="D74" s="3"/>
      <c r="E74" s="4"/>
      <c r="F74" s="22">
        <f>SUM(F71:F73)</f>
        <v>1428.645</v>
      </c>
    </row>
    <row r="75" spans="1:6" ht="12.75">
      <c r="A75" s="18"/>
      <c r="B75" s="21" t="s">
        <v>15</v>
      </c>
      <c r="C75" s="3"/>
      <c r="D75" s="3"/>
      <c r="E75" s="4"/>
      <c r="F75" s="22">
        <f>F74*0.15</f>
        <v>214.29675</v>
      </c>
    </row>
    <row r="76" spans="1:6" ht="12.75">
      <c r="A76" s="18"/>
      <c r="B76" s="21" t="s">
        <v>14</v>
      </c>
      <c r="C76" s="3"/>
      <c r="D76" s="3"/>
      <c r="E76" s="4"/>
      <c r="F76" s="22">
        <f>SUM(F74:F75)</f>
        <v>1642.94175</v>
      </c>
    </row>
    <row r="77" spans="1:6" ht="12.75">
      <c r="A77" s="18"/>
      <c r="B77" s="21" t="s">
        <v>16</v>
      </c>
      <c r="C77" s="3"/>
      <c r="D77" s="3"/>
      <c r="E77" s="4"/>
      <c r="F77" s="22">
        <f>F76</f>
        <v>1642.94175</v>
      </c>
    </row>
    <row r="78" spans="1:6" ht="12.75">
      <c r="A78" s="18"/>
      <c r="B78" s="21" t="s">
        <v>17</v>
      </c>
      <c r="C78" s="3"/>
      <c r="D78" s="3"/>
      <c r="E78" s="4"/>
      <c r="F78" s="23">
        <f>ROUND(F77/10,2)</f>
        <v>164.29</v>
      </c>
    </row>
    <row r="79" spans="1:6" ht="12.75">
      <c r="A79" s="24">
        <v>116</v>
      </c>
      <c r="B79" s="18" t="s">
        <v>18</v>
      </c>
      <c r="C79" s="24" t="s">
        <v>19</v>
      </c>
      <c r="D79" s="24">
        <v>0.12</v>
      </c>
      <c r="E79" s="24">
        <v>784</v>
      </c>
      <c r="F79" s="22">
        <f>D79*E79</f>
        <v>94.08</v>
      </c>
    </row>
    <row r="80" spans="1:6" ht="12.75">
      <c r="A80" s="24">
        <v>114</v>
      </c>
      <c r="B80" s="18" t="s">
        <v>20</v>
      </c>
      <c r="C80" s="24" t="s">
        <v>19</v>
      </c>
      <c r="D80" s="24">
        <v>0.25</v>
      </c>
      <c r="E80" s="24">
        <v>645</v>
      </c>
      <c r="F80" s="22">
        <f>D80*E80</f>
        <v>161.25</v>
      </c>
    </row>
    <row r="81" spans="1:6" ht="12.75">
      <c r="A81" s="18"/>
      <c r="B81" s="21" t="s">
        <v>21</v>
      </c>
      <c r="C81" s="3"/>
      <c r="D81" s="3"/>
      <c r="E81" s="4"/>
      <c r="F81" s="22">
        <f>SUM(F79:F80)</f>
        <v>255.33</v>
      </c>
    </row>
    <row r="82" spans="1:6" ht="12.75">
      <c r="A82" s="18"/>
      <c r="B82" s="21" t="s">
        <v>13</v>
      </c>
      <c r="C82" s="3"/>
      <c r="D82" s="3"/>
      <c r="E82" s="4"/>
      <c r="F82" s="22">
        <f>F81*0.01</f>
        <v>2.5533000000000001</v>
      </c>
    </row>
    <row r="83" spans="1:6" ht="12.75">
      <c r="A83" s="18"/>
      <c r="B83" s="21" t="s">
        <v>14</v>
      </c>
      <c r="C83" s="3"/>
      <c r="D83" s="3"/>
      <c r="E83" s="4"/>
      <c r="F83" s="22">
        <f>SUM(F81:F82)</f>
        <v>257.88330000000002</v>
      </c>
    </row>
    <row r="84" spans="1:6" ht="12.75">
      <c r="A84" s="18"/>
      <c r="B84" s="21" t="s">
        <v>15</v>
      </c>
      <c r="C84" s="3"/>
      <c r="D84" s="3"/>
      <c r="E84" s="4"/>
      <c r="F84" s="22">
        <f>F83*0.15</f>
        <v>38.682495000000003</v>
      </c>
    </row>
    <row r="85" spans="1:6" ht="12.75">
      <c r="A85" s="18"/>
      <c r="B85" s="21" t="s">
        <v>14</v>
      </c>
      <c r="C85" s="3"/>
      <c r="D85" s="3"/>
      <c r="E85" s="4"/>
      <c r="F85" s="22">
        <f>SUM(F83:F84)</f>
        <v>296.56579499999998</v>
      </c>
    </row>
    <row r="86" spans="1:6" ht="12.75">
      <c r="A86" s="18"/>
      <c r="B86" s="21" t="s">
        <v>16</v>
      </c>
      <c r="C86" s="3"/>
      <c r="D86" s="3"/>
      <c r="E86" s="4"/>
      <c r="F86" s="22">
        <f>F85</f>
        <v>296.56579499999998</v>
      </c>
    </row>
    <row r="87" spans="1:6" ht="12.75">
      <c r="A87" s="18"/>
      <c r="B87" s="21" t="s">
        <v>17</v>
      </c>
      <c r="C87" s="3"/>
      <c r="D87" s="3"/>
      <c r="E87" s="4"/>
      <c r="F87" s="23">
        <f>ROUND(F86/10,2)</f>
        <v>29.66</v>
      </c>
    </row>
    <row r="88" spans="1:6" ht="12.75">
      <c r="A88" s="25" t="str">
        <f>CONCATENATE("Say ₹ ",F78," + ",F87," x Cost Index")</f>
        <v>Say ₹ 164.29 + 29.66 x Cost Index</v>
      </c>
      <c r="B88" s="3"/>
      <c r="C88" s="3"/>
      <c r="D88" s="3"/>
      <c r="E88" s="3"/>
      <c r="F88" s="4"/>
    </row>
  </sheetData>
  <mergeCells count="100">
    <mergeCell ref="E27:E28"/>
    <mergeCell ref="F27:F28"/>
    <mergeCell ref="B23:F23"/>
    <mergeCell ref="A25:A26"/>
    <mergeCell ref="C25:C26"/>
    <mergeCell ref="D25:D26"/>
    <mergeCell ref="E25:E26"/>
    <mergeCell ref="F25:F26"/>
    <mergeCell ref="A27:A28"/>
    <mergeCell ref="C5:C6"/>
    <mergeCell ref="D5:D6"/>
    <mergeCell ref="E5:E6"/>
    <mergeCell ref="F5:F6"/>
    <mergeCell ref="B1:F1"/>
    <mergeCell ref="A3:A4"/>
    <mergeCell ref="C3:C4"/>
    <mergeCell ref="D3:D4"/>
    <mergeCell ref="E3:E4"/>
    <mergeCell ref="F3:F4"/>
    <mergeCell ref="A5:A6"/>
    <mergeCell ref="B7:E7"/>
    <mergeCell ref="B8:E8"/>
    <mergeCell ref="B9:E9"/>
    <mergeCell ref="B10:E10"/>
    <mergeCell ref="B11:E11"/>
    <mergeCell ref="B12:E12"/>
    <mergeCell ref="B15:E15"/>
    <mergeCell ref="B16:E16"/>
    <mergeCell ref="B17:E17"/>
    <mergeCell ref="B18:E18"/>
    <mergeCell ref="B19:E19"/>
    <mergeCell ref="B20:E20"/>
    <mergeCell ref="B21:E21"/>
    <mergeCell ref="A22:F22"/>
    <mergeCell ref="C27:C28"/>
    <mergeCell ref="D27:D28"/>
    <mergeCell ref="B29:E29"/>
    <mergeCell ref="B30:E30"/>
    <mergeCell ref="B31:E31"/>
    <mergeCell ref="B32:E32"/>
    <mergeCell ref="B33:E33"/>
    <mergeCell ref="B34:E34"/>
    <mergeCell ref="B37:E37"/>
    <mergeCell ref="E71:E72"/>
    <mergeCell ref="F71:F72"/>
    <mergeCell ref="B67:F67"/>
    <mergeCell ref="A69:A70"/>
    <mergeCell ref="C69:C70"/>
    <mergeCell ref="D69:D70"/>
    <mergeCell ref="E69:E70"/>
    <mergeCell ref="F69:F70"/>
    <mergeCell ref="A71:A72"/>
    <mergeCell ref="C71:C72"/>
    <mergeCell ref="D71:D72"/>
    <mergeCell ref="B73:E73"/>
    <mergeCell ref="B74:E74"/>
    <mergeCell ref="B75:E75"/>
    <mergeCell ref="B76:E76"/>
    <mergeCell ref="B77:E77"/>
    <mergeCell ref="B78:E78"/>
    <mergeCell ref="B81:E81"/>
    <mergeCell ref="B82:E82"/>
    <mergeCell ref="B83:E83"/>
    <mergeCell ref="B84:E84"/>
    <mergeCell ref="B85:E85"/>
    <mergeCell ref="B86:E86"/>
    <mergeCell ref="B38:E38"/>
    <mergeCell ref="B39:E39"/>
    <mergeCell ref="B40:E40"/>
    <mergeCell ref="B41:E41"/>
    <mergeCell ref="B42:E42"/>
    <mergeCell ref="B43:E43"/>
    <mergeCell ref="A44:F44"/>
    <mergeCell ref="C49:C50"/>
    <mergeCell ref="D49:D50"/>
    <mergeCell ref="E49:E50"/>
    <mergeCell ref="F49:F50"/>
    <mergeCell ref="B45:F45"/>
    <mergeCell ref="A47:A48"/>
    <mergeCell ref="C47:C48"/>
    <mergeCell ref="D47:D48"/>
    <mergeCell ref="E47:E48"/>
    <mergeCell ref="F47:F48"/>
    <mergeCell ref="A49:A50"/>
    <mergeCell ref="B51:E51"/>
    <mergeCell ref="B52:E52"/>
    <mergeCell ref="B53:E53"/>
    <mergeCell ref="B54:E54"/>
    <mergeCell ref="B55:E55"/>
    <mergeCell ref="B56:E56"/>
    <mergeCell ref="B59:E59"/>
    <mergeCell ref="B60:E60"/>
    <mergeCell ref="B61:E61"/>
    <mergeCell ref="B62:E62"/>
    <mergeCell ref="B63:E63"/>
    <mergeCell ref="B64:E64"/>
    <mergeCell ref="B65:E65"/>
    <mergeCell ref="A66:F66"/>
    <mergeCell ref="B87:E87"/>
    <mergeCell ref="A88:F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