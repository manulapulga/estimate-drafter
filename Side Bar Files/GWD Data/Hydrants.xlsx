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>
    <definedName name="LMRRates">[1]LMR!$C:$C</definedName>
    <definedName name="LMRCodes">[1]LMR!$A:$A</definedName>
  </definedNames>
  <calcPr fullCalcOnLoad="1"/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<sst xmlns="http://schemas.openxmlformats.org/spreadsheetml/2006/main" count="104" uniqueCount="37">
  <si>
    <t>Hydrants with tap (for common use of size 0.8 x 0.5 m platform)</t>
  </si>
  <si>
    <t>Code</t>
  </si>
  <si>
    <r>
      <rPr>
        <sz val="12"/>
        <color theme="1"/>
        <rFont val="Cambria"/>
        <family val="2"/>
      </rPr>
      <t>110 mm 4kg/cm</t>
    </r>
    <r>
      <rPr>
        <vertAlign val="superscript"/>
        <sz val="12"/>
        <color theme="1"/>
        <rFont val="Cambria"/>
        <family val="2"/>
      </rPr>
      <t>2</t>
    </r>
    <r>
      <rPr>
        <sz val="12"/>
        <color theme="1"/>
        <rFont val="Cambria"/>
        <family val="2"/>
      </rPr>
      <t xml:space="preserve"> PVC Pipe (MR55)</t>
    </r>
  </si>
  <si>
    <t>cm</t>
  </si>
  <si>
    <t>/m</t>
  </si>
  <si>
    <r>
      <rPr>
        <sz val="12"/>
        <color theme="1"/>
        <rFont val="Cambria"/>
        <family val="2"/>
      </rPr>
      <t>32mm 10kg/cm</t>
    </r>
    <r>
      <rPr>
        <vertAlign val="superscript"/>
        <sz val="12"/>
        <color theme="1"/>
        <rFont val="Cambria"/>
        <family val="2"/>
      </rPr>
      <t>2</t>
    </r>
    <r>
      <rPr>
        <sz val="12"/>
        <color theme="1"/>
        <rFont val="Cambria"/>
        <family val="2"/>
      </rPr>
      <t xml:space="preserve"> PVC Pipe (MR44)</t>
    </r>
  </si>
  <si>
    <t>PVC tap</t>
  </si>
  <si>
    <t>No</t>
  </si>
  <si>
    <t>/E</t>
  </si>
  <si>
    <t>MR10048</t>
  </si>
  <si>
    <t>25mm GI Nipple</t>
  </si>
  <si>
    <t>25mm GI elbow</t>
  </si>
  <si>
    <t>¾" X ½" GI Reducer</t>
  </si>
  <si>
    <t>1" X ¾" GI Reducer</t>
  </si>
  <si>
    <t xml:space="preserve"> Sub Total</t>
  </si>
  <si>
    <t>Water charges 1%</t>
  </si>
  <si>
    <t>Total</t>
  </si>
  <si>
    <t>CPOH 15%</t>
  </si>
  <si>
    <t xml:space="preserve">Total  </t>
  </si>
  <si>
    <t>Earth work excavation as per DSR item 2.8.1</t>
  </si>
  <si>
    <r>
      <rPr>
        <sz val="12"/>
        <color theme="1"/>
        <rFont val="Cambria"/>
        <family val="2"/>
      </rPr>
      <t>m</t>
    </r>
    <r>
      <rPr>
        <vertAlign val="superscript"/>
        <sz val="12"/>
        <color theme="1"/>
        <rFont val="Cambria"/>
        <family val="2"/>
      </rPr>
      <t>3</t>
    </r>
  </si>
  <si>
    <t>/m3</t>
  </si>
  <si>
    <t>Cement concrete 1:2:4, 20mm with nominal size graded stone, for filling the PVC Pipe and platform construction as per DSR item 4.1.3</t>
  </si>
  <si>
    <t>Form work as per DSR item 5.9.1</t>
  </si>
  <si>
    <r>
      <rPr>
        <sz val="12"/>
        <color theme="1"/>
        <rFont val="Cambria"/>
        <family val="2"/>
      </rPr>
      <t>m</t>
    </r>
    <r>
      <rPr>
        <vertAlign val="superscript"/>
        <sz val="12"/>
        <color theme="1"/>
        <rFont val="Cambria"/>
        <family val="2"/>
      </rPr>
      <t>2</t>
    </r>
  </si>
  <si>
    <r>
      <rPr>
        <sz val="12"/>
        <color theme="1"/>
        <rFont val="Cambria"/>
        <family val="2"/>
      </rPr>
      <t>/m</t>
    </r>
    <r>
      <rPr>
        <vertAlign val="superscript"/>
        <sz val="12"/>
        <color theme="1"/>
        <rFont val="Cambria"/>
        <family val="2"/>
      </rPr>
      <t>2</t>
    </r>
  </si>
  <si>
    <t>Plastering with CM 1:4 12cm thick with for platform base as per DSR item 13.1.1</t>
  </si>
  <si>
    <t xml:space="preserve">Labour charge for Hydrants for all fittings
Fitter (0116)
</t>
  </si>
  <si>
    <t>day</t>
  </si>
  <si>
    <t>/day</t>
  </si>
  <si>
    <t>Beldar (0114)</t>
  </si>
  <si>
    <t>Sub Total</t>
  </si>
  <si>
    <t xml:space="preserve">Total for labour </t>
  </si>
  <si>
    <t>Hydrants with tap ( for individual families of size 0.6 X 0.3 M platform)</t>
  </si>
  <si>
    <t>Nos</t>
  </si>
  <si>
    <r>
      <rPr>
        <sz val="12"/>
        <color theme="1"/>
        <rFont val="Cambria"/>
        <family val="2"/>
      </rPr>
      <t>¾" X ½" GI Reducer</t>
    </r>
  </si>
  <si>
    <t xml:space="preserve">Total  for labour </t>
  </si>
</sst>
</file>

<file path=xl/styles.xml><?xml version="1.0" encoding="utf-8"?>
<styleSheet xmlns="http://schemas.openxmlformats.org/spreadsheetml/2006/main">
  <numFmts count="2">
    <numFmt numFmtId="177" formatCode="0.0;[RED]\-0.0"/>
    <numFmt numFmtId="178" formatCode="0.00;[RED]0.00"/>
  </numFmts>
  <fonts count="5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  <font>
      <sz val="11"/>
      <color rgb="FF000000"/>
      <name val="Calibri"/>
      <family val="2"/>
      <scheme val="minor"/>
    </font>
    <font>
      <vertAlign val="superscript"/>
      <sz val="12"/>
      <color theme="1"/>
      <name val="Cambria"/>
      <family val="2"/>
    </font>
  </fonts>
  <fills count="4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E6B8A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Border="1" applyAlignment="1">
      <alignment horizontal="center" vertical="center" wrapText="1"/>
    </xf>
    <xf numFmtId="0" fontId="3" fillId="0" borderId="2" xfId="0" applyFont="1" applyBorder="1">
      <alignment/>
    </xf>
    <xf numFmtId="0" fontId="3" fillId="0" borderId="3" xfId="0" applyFont="1" applyBorder="1">
      <alignment/>
    </xf>
    <xf numFmtId="0" fontId="2" fillId="2" borderId="4" xfId="0" applyFont="1" applyBorder="1" applyAlignment="1">
      <alignment horizontal="center" vertical="center" wrapText="1"/>
    </xf>
    <xf numFmtId="0" fontId="1" fillId="2" borderId="4" xfId="0" applyFont="1" applyBorder="1" applyAlignment="1">
      <alignment horizontal="center" vertical="center" wrapText="1"/>
    </xf>
    <xf numFmtId="0" fontId="1" fillId="2" borderId="4" xfId="0" applyFont="1" applyBorder="1" applyAlignment="1">
      <alignment vertical="center" wrapText="1"/>
    </xf>
    <xf numFmtId="178" fontId="1" fillId="2" borderId="4" xfId="0" applyNumberFormat="1" applyFont="1" applyBorder="1" applyAlignment="1">
      <alignment horizontal="center" vertical="center" wrapText="1"/>
    </xf>
    <xf numFmtId="178" fontId="2" fillId="2" borderId="4" xfId="0" applyNumberFormat="1" applyFont="1" applyBorder="1" applyAlignment="1">
      <alignment horizontal="center" vertical="center" wrapText="1"/>
    </xf>
    <xf numFmtId="2" fontId="1" fillId="2" borderId="4" xfId="0" applyNumberFormat="1" applyFont="1" applyBorder="1" applyAlignment="1">
      <alignment horizontal="center" vertical="center" wrapText="1"/>
    </xf>
    <xf numFmtId="0" fontId="1" fillId="2" borderId="5" xfId="0" applyFont="1" applyBorder="1" applyAlignment="1">
      <alignment horizontal="center" vertical="center" wrapText="1"/>
    </xf>
    <xf numFmtId="0" fontId="3" fillId="0" borderId="6" xfId="0" applyFont="1" applyBorder="1">
      <alignment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Border="1" applyAlignment="1">
      <alignment horizontal="center" vertical="center" wrapText="1"/>
    </xf>
    <xf numFmtId="0" fontId="1" fillId="3" borderId="4" xfId="0" applyFont="1" applyBorder="1" applyAlignment="1">
      <alignment horizontal="center" vertical="center" wrapText="1"/>
    </xf>
    <xf numFmtId="0" fontId="1" fillId="3" borderId="4" xfId="0" applyFont="1" applyBorder="1" applyAlignment="1">
      <alignment vertical="center" wrapText="1"/>
    </xf>
    <xf numFmtId="178" fontId="1" fillId="3" borderId="4" xfId="0" applyNumberFormat="1" applyFont="1" applyBorder="1" applyAlignment="1">
      <alignment horizontal="center" vertical="center" wrapText="1"/>
    </xf>
    <xf numFmtId="178" fontId="2" fillId="3" borderId="4" xfId="0" applyNumberFormat="1" applyFont="1" applyBorder="1" applyAlignment="1">
      <alignment horizontal="center" vertical="center" wrapText="1"/>
    </xf>
    <xf numFmtId="2" fontId="1" fillId="3" borderId="4" xfId="0" applyNumberFormat="1" applyFont="1" applyBorder="1" applyAlignment="1">
      <alignment horizontal="center" vertical="center" wrapText="1"/>
    </xf>
    <xf numFmtId="177" fontId="1" fillId="3" borderId="4" xfId="0" applyNumberFormat="1" applyFont="1" applyBorder="1" applyAlignment="1">
      <alignment horizontal="center" vertical="center" wrapText="1"/>
    </xf>
    <xf numFmtId="0" fontId="1" fillId="3" borderId="5" xfId="0" applyFont="1" applyBorder="1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calcChain" Target="calcChain.xml" /><Relationship Id="rId5" Type="http://schemas.openxmlformats.org/officeDocument/2006/relationships/externalLink" Target="externalLinks/externalLink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WD DR Abstract"/>
      <sheetName val="GWD MR Abstract"/>
      <sheetName val="3 Core Cable PRICE"/>
      <sheetName val="ARS Filter Media"/>
      <sheetName val="BW Casing Pipes"/>
      <sheetName val="Electrical Essentials"/>
      <sheetName val="GI on Wall PRICE"/>
      <sheetName val="GI wo Trench"/>
      <sheetName val="GI With Trench PRICE"/>
      <sheetName val="GI Works"/>
      <sheetName val="Gravel for TWC"/>
      <sheetName val="Gutter&amp;Clamp"/>
      <sheetName val="HP Erection and Pullout"/>
      <sheetName val="HP Repair Labour"/>
      <sheetName val="HP Repair Spares"/>
      <sheetName val="Hydrants"/>
      <sheetName val="Iron Structure"/>
      <sheetName val="Lock"/>
      <sheetName val="Metallic PH"/>
      <sheetName val="Motor Starter GWD"/>
      <sheetName val="Motor Starter Monoblock"/>
      <sheetName val="Motor Starter PRICE"/>
      <sheetName val="Other Fittings PRICE"/>
      <sheetName val="Panel Board"/>
      <sheetName val="Pump Cover"/>
      <sheetName val="Pump Erection "/>
      <sheetName val="Pump Pullout"/>
      <sheetName val="PVC Fittings"/>
      <sheetName val="PVC Fittings PRICE"/>
      <sheetName val="PVC on Wall (Concealed) PRICE"/>
      <sheetName val="PVC on Wall PRICE"/>
      <sheetName val="PVC on Wall"/>
      <sheetName val="PVC wo Trench PRICE"/>
      <sheetName val="PVC wo Trench"/>
      <sheetName val="PVC With Trench PRICE"/>
      <sheetName val="PVC With Trench"/>
      <sheetName val="Scaffolding"/>
      <sheetName val="Services"/>
      <sheetName val="TW Casing Pipes"/>
      <sheetName val="UG Cable PRICE"/>
      <sheetName val="Water Meter"/>
      <sheetName val="Water Tank"/>
      <sheetName val="Well Protection"/>
      <sheetName val="WTP"/>
      <sheetName val="Derived"/>
      <sheetName val="LMR"/>
      <sheetName val="PAMR39"/>
      <sheetName val="ZCost 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61C55B3-8B85-4CEF-AEBA-523673E9BAA6}">
  <dimension ref="A1:H52"/>
  <sheetViews>
    <sheetView tabSelected="1" workbookViewId="0" topLeftCell="A1"/>
  </sheetViews>
  <sheetFormatPr defaultRowHeight="12.75"/>
  <sheetData>
    <row r="1" spans="1:8" ht="12.75">
      <c r="A1" s="1" t="s">
        <v>0</v>
      </c>
      <c r="B1" s="2"/>
      <c r="C1" s="2"/>
      <c r="D1" s="2"/>
      <c r="E1" s="2"/>
      <c r="F1" s="2"/>
      <c r="G1" s="3"/>
      <c r="H1" s="4" t="s">
        <v>1</v>
      </c>
    </row>
    <row r="2" spans="1:8" ht="12.75">
      <c r="A2" s="5">
        <v>1</v>
      </c>
      <c r="B2" s="6" t="s">
        <v>2</v>
      </c>
      <c r="C2" s="5">
        <v>110</v>
      </c>
      <c r="D2" s="5" t="s">
        <v>3</v>
      </c>
      <c r="E2" s="5">
        <v>170</v>
      </c>
      <c r="F2" s="5" t="s">
        <v>4</v>
      </c>
      <c r="G2" s="7">
        <f>C2*E2/100</f>
        <v>187</v>
      </c>
      <c r="H2" s="7"/>
    </row>
    <row r="3" spans="1:8" ht="12.75">
      <c r="A3" s="5">
        <v>2</v>
      </c>
      <c r="B3" s="6" t="s">
        <v>5</v>
      </c>
      <c r="C3" s="5">
        <v>150</v>
      </c>
      <c r="D3" s="5" t="s">
        <v>3</v>
      </c>
      <c r="E3" s="5">
        <v>65</v>
      </c>
      <c r="F3" s="5" t="s">
        <v>4</v>
      </c>
      <c r="G3" s="7">
        <f>C3*E3/100</f>
        <v>97.50</v>
      </c>
      <c r="H3" s="7"/>
    </row>
    <row r="4" spans="1:8" ht="12.75">
      <c r="A4" s="5">
        <v>3</v>
      </c>
      <c r="B4" s="6" t="s">
        <v>6</v>
      </c>
      <c r="C4" s="5">
        <v>1</v>
      </c>
      <c r="D4" s="5" t="s">
        <v>7</v>
      </c>
      <c r="E4" s="5">
        <f t="array" ref="E4">IFERROR(INDEX(LMRRates,MATCH(H4,LMRCodes,0),),)</f>
        <v>64</v>
      </c>
      <c r="F4" s="5" t="s">
        <v>8</v>
      </c>
      <c r="G4" s="7">
        <f>C4*E4</f>
        <v>64</v>
      </c>
      <c r="H4" s="7" t="s">
        <v>9</v>
      </c>
    </row>
    <row r="5" spans="1:8" ht="12.75">
      <c r="A5" s="5">
        <v>4</v>
      </c>
      <c r="B5" s="6" t="s">
        <v>10</v>
      </c>
      <c r="C5" s="5">
        <v>1</v>
      </c>
      <c r="D5" s="5" t="s">
        <v>7</v>
      </c>
      <c r="E5" s="5">
        <v>40</v>
      </c>
      <c r="F5" s="5" t="s">
        <v>8</v>
      </c>
      <c r="G5" s="7">
        <f>C5*E5</f>
        <v>40</v>
      </c>
      <c r="H5" s="7"/>
    </row>
    <row r="6" spans="1:8" ht="12.75">
      <c r="A6" s="5">
        <v>5</v>
      </c>
      <c r="B6" s="6" t="s">
        <v>11</v>
      </c>
      <c r="C6" s="5">
        <v>2</v>
      </c>
      <c r="D6" s="5" t="s">
        <v>7</v>
      </c>
      <c r="E6" s="5">
        <v>45</v>
      </c>
      <c r="F6" s="5" t="s">
        <v>8</v>
      </c>
      <c r="G6" s="7">
        <f>C6*E6</f>
        <v>90</v>
      </c>
      <c r="H6" s="7"/>
    </row>
    <row r="7" spans="1:8" ht="12.75">
      <c r="A7" s="5">
        <v>6</v>
      </c>
      <c r="B7" s="6" t="s">
        <v>12</v>
      </c>
      <c r="C7" s="5">
        <v>1</v>
      </c>
      <c r="D7" s="5" t="s">
        <v>7</v>
      </c>
      <c r="E7" s="5">
        <v>45</v>
      </c>
      <c r="F7" s="5" t="s">
        <v>8</v>
      </c>
      <c r="G7" s="7">
        <f>C7*E7</f>
        <v>45</v>
      </c>
      <c r="H7" s="7"/>
    </row>
    <row r="8" spans="1:8" ht="12.75">
      <c r="A8" s="5">
        <v>7</v>
      </c>
      <c r="B8" s="6" t="s">
        <v>13</v>
      </c>
      <c r="C8" s="5">
        <v>1</v>
      </c>
      <c r="D8" s="5" t="s">
        <v>7</v>
      </c>
      <c r="E8" s="5">
        <v>55</v>
      </c>
      <c r="F8" s="5" t="s">
        <v>8</v>
      </c>
      <c r="G8" s="7">
        <f>C8*E8</f>
        <v>55</v>
      </c>
      <c r="H8" s="7"/>
    </row>
    <row r="9" spans="1:8" ht="12.75">
      <c r="A9" s="5"/>
      <c r="B9" s="6" t="s">
        <v>14</v>
      </c>
      <c r="C9" s="5"/>
      <c r="D9" s="5"/>
      <c r="E9" s="5"/>
      <c r="F9" s="5"/>
      <c r="G9" s="7">
        <f>SUM(G2:G8)</f>
        <v>578.50</v>
      </c>
      <c r="H9" s="7"/>
    </row>
    <row r="10" spans="1:8" ht="12.75">
      <c r="A10" s="5"/>
      <c r="B10" s="6" t="s">
        <v>15</v>
      </c>
      <c r="C10" s="5"/>
      <c r="D10" s="5"/>
      <c r="E10" s="5"/>
      <c r="F10" s="5"/>
      <c r="G10" s="7">
        <f>G9*0.01</f>
        <v>5.785</v>
      </c>
      <c r="H10" s="7"/>
    </row>
    <row r="11" spans="1:8" ht="12.75">
      <c r="A11" s="5"/>
      <c r="B11" s="6" t="s">
        <v>16</v>
      </c>
      <c r="C11" s="5"/>
      <c r="D11" s="5"/>
      <c r="E11" s="5"/>
      <c r="F11" s="5"/>
      <c r="G11" s="7">
        <f>SUM(G9:G10)</f>
        <v>584.285</v>
      </c>
      <c r="H11" s="7"/>
    </row>
    <row r="12" spans="1:8" ht="12.75">
      <c r="A12" s="5"/>
      <c r="B12" s="6" t="s">
        <v>17</v>
      </c>
      <c r="C12" s="5"/>
      <c r="D12" s="5"/>
      <c r="E12" s="5"/>
      <c r="F12" s="5"/>
      <c r="G12" s="7">
        <f>G11*15%</f>
        <v>87.642750000000007</v>
      </c>
      <c r="H12" s="7"/>
    </row>
    <row r="13" spans="1:8" ht="12.75">
      <c r="A13" s="5"/>
      <c r="B13" s="6" t="s">
        <v>18</v>
      </c>
      <c r="C13" s="5"/>
      <c r="D13" s="5"/>
      <c r="E13" s="5"/>
      <c r="F13" s="5"/>
      <c r="G13" s="8">
        <f>ROUND(SUM(G11:G12),2)</f>
        <v>671.93</v>
      </c>
      <c r="H13" s="8"/>
    </row>
    <row r="14" spans="1:8" ht="12.75">
      <c r="A14" s="5">
        <v>8</v>
      </c>
      <c r="B14" s="6" t="s">
        <v>19</v>
      </c>
      <c r="C14" s="5">
        <v>0.10</v>
      </c>
      <c r="D14" s="5" t="s">
        <v>20</v>
      </c>
      <c r="E14" s="5">
        <v>249.03</v>
      </c>
      <c r="F14" s="5" t="s">
        <v>21</v>
      </c>
      <c r="G14" s="7">
        <f>C14*E14</f>
        <v>24.902999999999999</v>
      </c>
      <c r="H14" s="7"/>
    </row>
    <row r="15" spans="1:8" ht="12.75">
      <c r="A15" s="5">
        <v>9</v>
      </c>
      <c r="B15" s="6" t="s">
        <v>22</v>
      </c>
      <c r="C15" s="5">
        <v>0.14599999999999999</v>
      </c>
      <c r="D15" s="5" t="s">
        <v>20</v>
      </c>
      <c r="E15" s="9">
        <v>6393.89</v>
      </c>
      <c r="F15" s="5" t="s">
        <v>21</v>
      </c>
      <c r="G15" s="7">
        <f>C15*E15</f>
        <v>933.50793999999996</v>
      </c>
      <c r="H15" s="7"/>
    </row>
    <row r="16" spans="1:8" ht="12.75">
      <c r="A16" s="5">
        <v>10</v>
      </c>
      <c r="B16" s="6" t="s">
        <v>23</v>
      </c>
      <c r="C16" s="5">
        <f>2*(0.8+0.5)*0.1</f>
        <v>0.26</v>
      </c>
      <c r="D16" s="5" t="s">
        <v>24</v>
      </c>
      <c r="E16" s="5">
        <v>267.33</v>
      </c>
      <c r="F16" s="5" t="s">
        <v>25</v>
      </c>
      <c r="G16" s="7">
        <f>C16*E16</f>
        <v>69.505799999999994</v>
      </c>
      <c r="H16" s="7"/>
    </row>
    <row r="17" spans="1:8" ht="12.75">
      <c r="A17" s="5">
        <v>11</v>
      </c>
      <c r="B17" s="6" t="s">
        <v>26</v>
      </c>
      <c r="C17" s="5">
        <f>0.8*0.5+C16</f>
        <v>0.66</v>
      </c>
      <c r="D17" s="5" t="s">
        <v>24</v>
      </c>
      <c r="E17" s="5">
        <v>255.98</v>
      </c>
      <c r="F17" s="5" t="s">
        <v>25</v>
      </c>
      <c r="G17" s="7">
        <f>C17*E17</f>
        <v>168.9468</v>
      </c>
      <c r="H17" s="7"/>
    </row>
    <row r="18" spans="1:8" ht="12.75">
      <c r="A18" s="10">
        <v>12</v>
      </c>
      <c r="B18" s="6" t="s">
        <v>27</v>
      </c>
      <c r="C18" s="5">
        <v>0.22</v>
      </c>
      <c r="D18" s="5" t="s">
        <v>28</v>
      </c>
      <c r="E18" s="5">
        <v>784</v>
      </c>
      <c r="F18" s="5" t="s">
        <v>29</v>
      </c>
      <c r="G18" s="7">
        <f>C18*E18</f>
        <v>172.48</v>
      </c>
      <c r="H18" s="7"/>
    </row>
    <row r="19" spans="1:8" ht="12.75">
      <c r="A19" s="11"/>
      <c r="B19" s="6" t="s">
        <v>30</v>
      </c>
      <c r="C19" s="5">
        <v>0.22</v>
      </c>
      <c r="D19" s="5" t="s">
        <v>28</v>
      </c>
      <c r="E19" s="5">
        <v>645</v>
      </c>
      <c r="F19" s="5" t="s">
        <v>29</v>
      </c>
      <c r="G19" s="7">
        <f>C19*E19</f>
        <v>141.90</v>
      </c>
      <c r="H19" s="7"/>
    </row>
    <row r="20" spans="1:8" ht="12.75">
      <c r="A20" s="5"/>
      <c r="B20" s="6" t="s">
        <v>31</v>
      </c>
      <c r="C20" s="5"/>
      <c r="D20" s="5"/>
      <c r="E20" s="5"/>
      <c r="F20" s="5"/>
      <c r="G20" s="7">
        <f>SUM(G18:G19)</f>
        <v>314.38</v>
      </c>
      <c r="H20" s="7"/>
    </row>
    <row r="21" spans="1:8" ht="12.75">
      <c r="A21" s="5"/>
      <c r="B21" s="6" t="s">
        <v>15</v>
      </c>
      <c r="C21" s="5"/>
      <c r="D21" s="5"/>
      <c r="E21" s="5"/>
      <c r="F21" s="5"/>
      <c r="G21" s="7">
        <f>G20*0.01</f>
        <v>3.1438000000000001</v>
      </c>
      <c r="H21" s="7"/>
    </row>
    <row r="22" spans="1:8" ht="12.75">
      <c r="A22" s="5"/>
      <c r="B22" s="6" t="s">
        <v>16</v>
      </c>
      <c r="C22" s="5"/>
      <c r="D22" s="5"/>
      <c r="E22" s="5"/>
      <c r="F22" s="5"/>
      <c r="G22" s="7">
        <f>SUM(G20:G21)</f>
        <v>317.52379999999999</v>
      </c>
      <c r="H22" s="7"/>
    </row>
    <row r="23" spans="1:8" ht="12.75">
      <c r="A23" s="5"/>
      <c r="B23" s="6" t="s">
        <v>17</v>
      </c>
      <c r="C23" s="5"/>
      <c r="D23" s="5"/>
      <c r="E23" s="5"/>
      <c r="F23" s="5"/>
      <c r="G23" s="7">
        <f>G22*15%</f>
        <v>47.628570000000003</v>
      </c>
      <c r="H23" s="7"/>
    </row>
    <row r="24" spans="1:8" ht="12.75">
      <c r="A24" s="5"/>
      <c r="B24" s="5" t="s">
        <v>32</v>
      </c>
      <c r="C24" s="5"/>
      <c r="D24" s="5"/>
      <c r="E24" s="5"/>
      <c r="F24" s="5"/>
      <c r="G24" s="7">
        <f>SUM(G22:G23)</f>
        <v>365.15237000000002</v>
      </c>
      <c r="H24" s="7"/>
    </row>
    <row r="25" spans="1:8" ht="12.75">
      <c r="A25" s="5"/>
      <c r="B25" s="4" t="s">
        <v>18</v>
      </c>
      <c r="C25" s="5"/>
      <c r="D25" s="5"/>
      <c r="E25" s="5"/>
      <c r="F25" s="5"/>
      <c r="G25" s="8">
        <f>ROUND(G14+G15+G16+G17+G24,2)</f>
        <v>1562.02</v>
      </c>
      <c r="H25" s="8"/>
    </row>
    <row r="26" spans="1:8" ht="12.75">
      <c r="A26" s="1" t="str">
        <f>CONCATENATE("Say ₹ ",G13," + ",G25," x Cost Index")</f>
        <v>Say ₹ 671.93 + 1562.02 x Cost Index</v>
      </c>
      <c r="B26" s="2"/>
      <c r="C26" s="2"/>
      <c r="D26" s="2"/>
      <c r="E26" s="2"/>
      <c r="F26" s="2"/>
      <c r="G26" s="3"/>
      <c r="H26" s="4"/>
    </row>
    <row r="27" spans="1:8" ht="12.75">
      <c r="A27" s="12" t="s">
        <v>33</v>
      </c>
      <c r="B27" s="2"/>
      <c r="C27" s="2"/>
      <c r="D27" s="2"/>
      <c r="E27" s="2"/>
      <c r="F27" s="2"/>
      <c r="G27" s="3"/>
      <c r="H27" s="13"/>
    </row>
    <row r="28" spans="1:8" ht="12.75">
      <c r="A28" s="14">
        <v>1</v>
      </c>
      <c r="B28" s="15" t="s">
        <v>2</v>
      </c>
      <c r="C28" s="14">
        <v>110</v>
      </c>
      <c r="D28" s="14" t="s">
        <v>3</v>
      </c>
      <c r="E28" s="14">
        <v>170</v>
      </c>
      <c r="F28" s="14" t="s">
        <v>4</v>
      </c>
      <c r="G28" s="16">
        <f>C28*E28/100</f>
        <v>187</v>
      </c>
      <c r="H28" s="16"/>
    </row>
    <row r="29" spans="1:8" ht="12.75">
      <c r="A29" s="14">
        <v>2</v>
      </c>
      <c r="B29" s="15" t="s">
        <v>5</v>
      </c>
      <c r="C29" s="14">
        <v>150</v>
      </c>
      <c r="D29" s="14" t="s">
        <v>3</v>
      </c>
      <c r="E29" s="14">
        <v>65</v>
      </c>
      <c r="F29" s="14" t="s">
        <v>4</v>
      </c>
      <c r="G29" s="16">
        <f>C29*E29/100</f>
        <v>97.50</v>
      </c>
      <c r="H29" s="16"/>
    </row>
    <row r="30" spans="1:8" ht="12.75">
      <c r="A30" s="14">
        <v>3</v>
      </c>
      <c r="B30" s="15" t="s">
        <v>6</v>
      </c>
      <c r="C30" s="14">
        <v>1</v>
      </c>
      <c r="D30" s="14" t="s">
        <v>7</v>
      </c>
      <c r="E30" s="14">
        <f t="array" ref="E30">IFERROR(INDEX(LMRRates,MATCH(H30,LMRCodes,0),),)</f>
        <v>64</v>
      </c>
      <c r="F30" s="14" t="s">
        <v>8</v>
      </c>
      <c r="G30" s="16">
        <f>C30*E30</f>
        <v>64</v>
      </c>
      <c r="H30" s="16" t="s">
        <v>9</v>
      </c>
    </row>
    <row r="31" spans="1:8" ht="12.75">
      <c r="A31" s="14">
        <v>4</v>
      </c>
      <c r="B31" s="15" t="s">
        <v>10</v>
      </c>
      <c r="C31" s="14">
        <v>1</v>
      </c>
      <c r="D31" s="14" t="s">
        <v>7</v>
      </c>
      <c r="E31" s="14">
        <v>40</v>
      </c>
      <c r="F31" s="14" t="s">
        <v>8</v>
      </c>
      <c r="G31" s="16">
        <f>C31*E31</f>
        <v>40</v>
      </c>
      <c r="H31" s="16"/>
    </row>
    <row r="32" spans="1:8" ht="12.75">
      <c r="A32" s="14">
        <v>5</v>
      </c>
      <c r="B32" s="15" t="s">
        <v>11</v>
      </c>
      <c r="C32" s="14">
        <v>2</v>
      </c>
      <c r="D32" s="14" t="s">
        <v>34</v>
      </c>
      <c r="E32" s="14">
        <v>45</v>
      </c>
      <c r="F32" s="14" t="s">
        <v>8</v>
      </c>
      <c r="G32" s="16">
        <f>C32*E32</f>
        <v>90</v>
      </c>
      <c r="H32" s="16"/>
    </row>
    <row r="33" spans="1:8" ht="12.75">
      <c r="A33" s="14">
        <v>6</v>
      </c>
      <c r="B33" s="15" t="s">
        <v>35</v>
      </c>
      <c r="C33" s="14">
        <v>1</v>
      </c>
      <c r="D33" s="14" t="s">
        <v>7</v>
      </c>
      <c r="E33" s="14">
        <v>45</v>
      </c>
      <c r="F33" s="14" t="s">
        <v>8</v>
      </c>
      <c r="G33" s="16">
        <f>C33*E33</f>
        <v>45</v>
      </c>
      <c r="H33" s="16"/>
    </row>
    <row r="34" spans="1:8" ht="12.75">
      <c r="A34" s="14">
        <v>7</v>
      </c>
      <c r="B34" s="15" t="s">
        <v>13</v>
      </c>
      <c r="C34" s="14">
        <v>1</v>
      </c>
      <c r="D34" s="14"/>
      <c r="E34" s="14">
        <v>55</v>
      </c>
      <c r="F34" s="14" t="s">
        <v>8</v>
      </c>
      <c r="G34" s="16">
        <f>C34*E34</f>
        <v>55</v>
      </c>
      <c r="H34" s="16"/>
    </row>
    <row r="35" spans="1:8" ht="12.75">
      <c r="A35" s="14"/>
      <c r="B35" s="15" t="s">
        <v>14</v>
      </c>
      <c r="C35" s="14"/>
      <c r="D35" s="14"/>
      <c r="E35" s="14"/>
      <c r="F35" s="14"/>
      <c r="G35" s="16">
        <f>SUM(G28:G34)</f>
        <v>578.50</v>
      </c>
      <c r="H35" s="16"/>
    </row>
    <row r="36" spans="1:8" ht="12.75">
      <c r="A36" s="14"/>
      <c r="B36" s="15" t="s">
        <v>15</v>
      </c>
      <c r="C36" s="14"/>
      <c r="D36" s="14"/>
      <c r="E36" s="14"/>
      <c r="F36" s="14"/>
      <c r="G36" s="16">
        <f>G35*0.01</f>
        <v>5.785</v>
      </c>
      <c r="H36" s="16"/>
    </row>
    <row r="37" spans="1:8" ht="12.75">
      <c r="A37" s="14"/>
      <c r="B37" s="15" t="s">
        <v>16</v>
      </c>
      <c r="C37" s="14"/>
      <c r="D37" s="14"/>
      <c r="E37" s="14"/>
      <c r="F37" s="14"/>
      <c r="G37" s="16">
        <f>SUM(G35:G36)</f>
        <v>584.285</v>
      </c>
      <c r="H37" s="16"/>
    </row>
    <row r="38" spans="1:8" ht="12.75">
      <c r="A38" s="14"/>
      <c r="B38" s="15" t="s">
        <v>17</v>
      </c>
      <c r="C38" s="14"/>
      <c r="D38" s="14"/>
      <c r="E38" s="14"/>
      <c r="F38" s="14"/>
      <c r="G38" s="16">
        <f>G37*15%</f>
        <v>87.642750000000007</v>
      </c>
      <c r="H38" s="16"/>
    </row>
    <row r="39" spans="1:8" ht="12.75">
      <c r="A39" s="14"/>
      <c r="B39" s="15" t="s">
        <v>18</v>
      </c>
      <c r="C39" s="14"/>
      <c r="D39" s="14"/>
      <c r="E39" s="14"/>
      <c r="F39" s="14"/>
      <c r="G39" s="17">
        <f>ROUND(SUM(G37:G38),2)</f>
        <v>671.93</v>
      </c>
      <c r="H39" s="17"/>
    </row>
    <row r="40" spans="1:8" ht="12.75">
      <c r="A40" s="14">
        <v>8</v>
      </c>
      <c r="B40" s="15" t="s">
        <v>19</v>
      </c>
      <c r="C40" s="14">
        <v>0.053999999999999999</v>
      </c>
      <c r="D40" s="14" t="s">
        <v>20</v>
      </c>
      <c r="E40" s="14">
        <v>249.03</v>
      </c>
      <c r="F40" s="14" t="s">
        <v>21</v>
      </c>
      <c r="G40" s="16">
        <f>C40*E40</f>
        <v>13.447620000000001</v>
      </c>
      <c r="H40" s="16"/>
    </row>
    <row r="41" spans="1:8" ht="12.75">
      <c r="A41" s="14">
        <v>9</v>
      </c>
      <c r="B41" s="15" t="s">
        <v>22</v>
      </c>
      <c r="C41" s="14">
        <v>0.08</v>
      </c>
      <c r="D41" s="14" t="s">
        <v>20</v>
      </c>
      <c r="E41" s="18">
        <v>6393.89</v>
      </c>
      <c r="F41" s="14" t="s">
        <v>21</v>
      </c>
      <c r="G41" s="16">
        <f>C41*E41</f>
        <v>511.51119999999997</v>
      </c>
      <c r="H41" s="16"/>
    </row>
    <row r="42" spans="1:8" ht="12.75">
      <c r="A42" s="14">
        <v>10</v>
      </c>
      <c r="B42" s="15" t="s">
        <v>23</v>
      </c>
      <c r="C42" s="14">
        <v>0.18</v>
      </c>
      <c r="D42" s="14" t="s">
        <v>24</v>
      </c>
      <c r="E42" s="14">
        <v>267.33</v>
      </c>
      <c r="F42" s="14" t="s">
        <v>25</v>
      </c>
      <c r="G42" s="16">
        <f>C42*E42</f>
        <v>48.119399999999999</v>
      </c>
      <c r="H42" s="16"/>
    </row>
    <row r="43" spans="1:8" ht="12.75">
      <c r="A43" s="14">
        <v>11</v>
      </c>
      <c r="B43" s="15" t="s">
        <v>26</v>
      </c>
      <c r="C43" s="14">
        <v>0.36</v>
      </c>
      <c r="D43" s="14" t="s">
        <v>24</v>
      </c>
      <c r="E43" s="14">
        <v>255.98</v>
      </c>
      <c r="F43" s="14" t="s">
        <v>25</v>
      </c>
      <c r="G43" s="19">
        <f>C43*E43</f>
        <v>92.152799999999999</v>
      </c>
      <c r="H43" s="19"/>
    </row>
    <row r="44" spans="1:8" ht="12.75">
      <c r="A44" s="20">
        <v>12</v>
      </c>
      <c r="B44" s="15" t="s">
        <v>27</v>
      </c>
      <c r="C44" s="14">
        <v>0.22</v>
      </c>
      <c r="D44" s="14" t="s">
        <v>34</v>
      </c>
      <c r="E44" s="14">
        <v>784</v>
      </c>
      <c r="F44" s="14" t="s">
        <v>8</v>
      </c>
      <c r="G44" s="16">
        <f>C44*E44</f>
        <v>172.48</v>
      </c>
      <c r="H44" s="16"/>
    </row>
    <row r="45" spans="1:8" ht="12.75">
      <c r="A45" s="11"/>
      <c r="B45" s="15" t="s">
        <v>30</v>
      </c>
      <c r="C45" s="14">
        <v>0.22</v>
      </c>
      <c r="D45" s="14" t="s">
        <v>34</v>
      </c>
      <c r="E45" s="14">
        <v>645</v>
      </c>
      <c r="F45" s="14" t="s">
        <v>8</v>
      </c>
      <c r="G45" s="16">
        <f>C45*E45</f>
        <v>141.90</v>
      </c>
      <c r="H45" s="16"/>
    </row>
    <row r="46" spans="1:8" ht="12.75">
      <c r="A46" s="14"/>
      <c r="B46" s="15" t="s">
        <v>31</v>
      </c>
      <c r="C46" s="14"/>
      <c r="D46" s="14"/>
      <c r="E46" s="14"/>
      <c r="F46" s="14"/>
      <c r="G46" s="16">
        <f>SUM(G44:G45)</f>
        <v>314.38</v>
      </c>
      <c r="H46" s="16"/>
    </row>
    <row r="47" spans="1:8" ht="12.75">
      <c r="A47" s="14"/>
      <c r="B47" s="15" t="s">
        <v>15</v>
      </c>
      <c r="C47" s="14"/>
      <c r="D47" s="14"/>
      <c r="E47" s="14"/>
      <c r="F47" s="14"/>
      <c r="G47" s="16">
        <f>G46*0.01</f>
        <v>3.1438000000000001</v>
      </c>
      <c r="H47" s="16"/>
    </row>
    <row r="48" spans="1:8" ht="12.75">
      <c r="A48" s="14"/>
      <c r="B48" s="15" t="s">
        <v>16</v>
      </c>
      <c r="C48" s="14"/>
      <c r="D48" s="14"/>
      <c r="E48" s="14"/>
      <c r="F48" s="14"/>
      <c r="G48" s="16">
        <f>SUM(G46:G47)</f>
        <v>317.52379999999999</v>
      </c>
      <c r="H48" s="16"/>
    </row>
    <row r="49" spans="1:8" ht="12.75">
      <c r="A49" s="14"/>
      <c r="B49" s="15" t="s">
        <v>17</v>
      </c>
      <c r="C49" s="14"/>
      <c r="D49" s="14"/>
      <c r="E49" s="14"/>
      <c r="F49" s="14"/>
      <c r="G49" s="16">
        <f>G48*15%</f>
        <v>47.628570000000003</v>
      </c>
      <c r="H49" s="16"/>
    </row>
    <row r="50" spans="1:8" ht="12.75">
      <c r="A50" s="14"/>
      <c r="B50" s="14" t="s">
        <v>36</v>
      </c>
      <c r="C50" s="14"/>
      <c r="D50" s="14"/>
      <c r="E50" s="14"/>
      <c r="F50" s="14"/>
      <c r="G50" s="16">
        <f>SUM(G48:G49)</f>
        <v>365.15237000000002</v>
      </c>
      <c r="H50" s="16"/>
    </row>
    <row r="51" spans="1:8" ht="12.75">
      <c r="A51" s="14"/>
      <c r="B51" s="13" t="s">
        <v>18</v>
      </c>
      <c r="C51" s="14"/>
      <c r="D51" s="14"/>
      <c r="E51" s="14"/>
      <c r="F51" s="14"/>
      <c r="G51" s="17">
        <f>ROUND(G40+G41+G42+G43+G50,2)</f>
        <v>1030.38</v>
      </c>
      <c r="H51" s="17"/>
    </row>
    <row r="52" spans="1:8" ht="12.75">
      <c r="A52" s="12" t="str">
        <f>CONCATENATE("Say ₹ ",G39," + ",G51," x Cost Index")</f>
        <v>Say ₹ 671.93 + 1030.38 x Cost Index</v>
      </c>
      <c r="B52" s="2"/>
      <c r="C52" s="2"/>
      <c r="D52" s="2"/>
      <c r="E52" s="2"/>
      <c r="F52" s="2"/>
      <c r="G52" s="3"/>
      <c r="H52" s="13"/>
    </row>
  </sheetData>
  <mergeCells count="6">
    <mergeCell ref="A1:G1"/>
    <mergeCell ref="A18:A19"/>
    <mergeCell ref="A26:G26"/>
    <mergeCell ref="A27:G27"/>
    <mergeCell ref="A44:A45"/>
    <mergeCell ref="A52:G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