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<sst xmlns="http://schemas.openxmlformats.org/spreadsheetml/2006/main" count="56" uniqueCount="48">
  <si>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</si>
  <si>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</si>
  <si>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</si>
  <si>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</si>
  <si>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</si>
  <si>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</si>
  <si>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</si>
  <si>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</si>
  <si>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</si>
  <si>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GI work in single section, fixed with or without connecting plate, including cutting, hoisting, fixing in position and applying a priming coat of approved steel primer all complete.</t>
  </si>
  <si>
    <t>Header Unit</t>
  </si>
  <si>
    <t>kilogram</t>
  </si>
  <si>
    <t>Header Quantity</t>
  </si>
  <si>
    <t>Header Details</t>
  </si>
  <si>
    <t>Details of cost for one quintal</t>
  </si>
  <si>
    <t>Material</t>
  </si>
  <si>
    <t>M</t>
  </si>
  <si>
    <t>GI sheet: 1.00q Add wastage @ 5% = 0.05q Total+ 1.05q
GI sheet 0.8 mm thick confirming to IS 277:1992</t>
  </si>
  <si>
    <t>q</t>
  </si>
  <si>
    <t>M1</t>
  </si>
  <si>
    <t>Carriage</t>
  </si>
  <si>
    <t>C</t>
  </si>
  <si>
    <t>Carriage of Steel</t>
  </si>
  <si>
    <t>tonne</t>
  </si>
  <si>
    <t>C1</t>
  </si>
  <si>
    <t>Labour</t>
  </si>
  <si>
    <t>L</t>
  </si>
  <si>
    <t>Fitter(grade1)</t>
  </si>
  <si>
    <t>Day</t>
  </si>
  <si>
    <t>L1</t>
  </si>
  <si>
    <t>Blacksmith 1st class</t>
  </si>
  <si>
    <t>L2</t>
  </si>
  <si>
    <t>Blacksmith 2nd class</t>
  </si>
  <si>
    <t>1214/1215</t>
  </si>
  <si>
    <t>Welding by electric/gas plant</t>
  </si>
  <si>
    <t>cm</t>
  </si>
  <si>
    <t>L3</t>
  </si>
  <si>
    <t>Subdata</t>
  </si>
  <si>
    <t>13.50.3</t>
  </si>
  <si>
    <t>Finishing : With ready mixed red oxide zinc chromate primer of approved brand and manufacture on steel galvanised iron /steel works</t>
  </si>
  <si>
    <t>sqm</t>
  </si>
  <si>
    <t>S1</t>
  </si>
  <si>
    <t>TOTAL</t>
  </si>
  <si>
    <t>UNIT TOTAL</t>
  </si>
  <si>
    <t>Water Charge@ 1.00 %</t>
  </si>
  <si>
    <t>Contractors Profit &amp; Overhead@ 15.00 %</t>
  </si>
  <si>
    <t>Grand Total</t>
  </si>
  <si>
    <t>/kg</t>
  </si>
</sst>
</file>

<file path=xl/styles.xml><?xml version="1.0" encoding="utf-8"?>
<styleSheet xmlns="http://schemas.openxmlformats.org/spreadsheetml/2006/main">
  <numFmts count="1">
    <numFmt numFmtId="177" formatCode="#,##0.000"/>
  </numFmts>
  <fonts count="7">
    <font>
      <sz val="10"/>
      <color theme="1"/>
      <name val="Arial"/>
      <family val="2"/>
    </font>
    <font>
      <sz val="13"/>
      <color rgb="FF212529"/>
      <name val="Cambria"/>
      <family val="2"/>
    </font>
    <font>
      <b/>
      <sz val="13"/>
      <color rgb="FF000000"/>
      <name val="Cambria"/>
      <family val="2"/>
    </font>
    <font>
      <b/>
      <sz val="13"/>
      <color rgb="FF212529"/>
      <name val="Cambria"/>
      <family val="2"/>
    </font>
    <font>
      <sz val="13"/>
      <color theme="1"/>
      <name val="Cambria"/>
      <family val="2"/>
    </font>
    <font>
      <b/>
      <sz val="13"/>
      <color rgb="FFFFFFFF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5" fillId="2" borderId="1" xfId="0" applyFont="1" applyBorder="1" applyAlignment="1">
      <alignment vertical="center" wrapText="1"/>
    </xf>
    <xf numFmtId="0" fontId="5" fillId="2" borderId="2" xfId="0" applyFont="1" applyBorder="1" applyAlignment="1">
      <alignment vertical="center" wrapText="1"/>
    </xf>
    <xf numFmtId="0" fontId="6" fillId="0" borderId="3" xfId="0" applyFont="1" applyBorder="1">
      <alignment/>
    </xf>
    <xf numFmtId="0" fontId="6" fillId="0" borderId="4" xfId="0" applyFont="1" applyBorder="1">
      <alignment/>
    </xf>
    <xf numFmtId="4" fontId="5" fillId="2" borderId="2" xfId="0" applyNumberFormat="1" applyFont="1" applyBorder="1" applyAlignment="1">
      <alignment vertical="center" wrapText="1"/>
    </xf>
    <xf numFmtId="0" fontId="6" fillId="0" borderId="5" xfId="0" applyFont="1" applyBorder="1">
      <alignment/>
    </xf>
    <xf numFmtId="0" fontId="5" fillId="2" borderId="6" xfId="0" applyFont="1" applyBorder="1" applyAlignment="1">
      <alignment vertical="center" wrapText="1"/>
    </xf>
    <xf numFmtId="4" fontId="5" fillId="2" borderId="6" xfId="0" applyNumberFormat="1" applyFont="1" applyBorder="1" applyAlignment="1">
      <alignment vertical="center" wrapText="1"/>
    </xf>
    <xf numFmtId="0" fontId="3" fillId="3" borderId="2" xfId="0" applyFont="1" applyBorder="1" applyAlignment="1">
      <alignment vertical="center" wrapText="1"/>
    </xf>
    <xf numFmtId="0" fontId="1" fillId="3" borderId="6" xfId="0" applyFont="1" applyBorder="1" applyAlignment="1">
      <alignment horizontal="center" vertical="center" wrapText="1"/>
    </xf>
    <xf numFmtId="0" fontId="1" fillId="3" borderId="6" xfId="0" applyFont="1" applyBorder="1" applyAlignment="1">
      <alignment horizontal="right" vertical="center" wrapText="1"/>
    </xf>
    <xf numFmtId="4" fontId="1" fillId="3" borderId="2" xfId="0" applyNumberFormat="1" applyFont="1" applyBorder="1" applyAlignment="1">
      <alignment horizontal="left" vertical="center" wrapText="1"/>
    </xf>
    <xf numFmtId="0" fontId="1" fillId="3" borderId="2" xfId="0" applyFont="1" applyBorder="1" applyAlignment="1">
      <alignment horizontal="left" vertical="center" wrapText="1"/>
    </xf>
    <xf numFmtId="0" fontId="1" fillId="4" borderId="2" xfId="0" applyFont="1" applyBorder="1" applyAlignment="1">
      <alignment horizontal="left" vertical="center" wrapText="1"/>
    </xf>
    <xf numFmtId="0" fontId="1" fillId="4" borderId="6" xfId="0" applyFont="1" applyBorder="1" applyAlignment="1">
      <alignment horizontal="center" vertical="center" wrapText="1"/>
    </xf>
    <xf numFmtId="0" fontId="1" fillId="3" borderId="1" xfId="0" applyFont="1" applyBorder="1" applyAlignment="1">
      <alignment horizontal="center" vertical="center" wrapText="1"/>
    </xf>
    <xf numFmtId="4" fontId="1" fillId="3" borderId="6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2" xfId="0" applyFont="1" applyBorder="1" applyAlignment="1">
      <alignment horizontal="center" vertical="center" wrapText="1"/>
    </xf>
    <xf numFmtId="0" fontId="1" fillId="3" borderId="6" xfId="0" applyFont="1" applyBorder="1" applyAlignment="1">
      <alignment horizontal="left" vertical="center" wrapText="1"/>
    </xf>
    <xf numFmtId="177" fontId="1" fillId="3" borderId="6" xfId="0" applyNumberFormat="1" applyFont="1" applyBorder="1" applyAlignment="1">
      <alignment horizontal="right" vertical="center" wrapText="1"/>
    </xf>
    <xf numFmtId="0" fontId="1" fillId="3" borderId="2" xfId="0" applyFont="1" applyBorder="1" applyAlignment="1">
      <alignment horizontal="center" vertical="center" wrapText="1"/>
    </xf>
    <xf numFmtId="0" fontId="1" fillId="4" borderId="2" xfId="0" applyFont="1" applyBorder="1" applyAlignment="1">
      <alignment horizontal="center" vertical="center" wrapText="1"/>
    </xf>
    <xf numFmtId="0" fontId="1" fillId="4" borderId="6" xfId="0" applyFont="1" applyBorder="1" applyAlignment="1">
      <alignment horizontal="left" vertical="center" wrapText="1"/>
    </xf>
    <xf numFmtId="2" fontId="2" fillId="4" borderId="6" xfId="0" applyNumberFormat="1" applyFont="1" applyBorder="1" applyAlignment="1">
      <alignment horizontal="right" vertical="top" wrapText="1"/>
    </xf>
    <xf numFmtId="0" fontId="1" fillId="4" borderId="6" xfId="0" applyFont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133FDD-422B-4301-85C8-1B629C65B9A7}">
  <dimension ref="A1:G30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5" t="s">
        <v>3</v>
      </c>
      <c r="G1" s="4"/>
    </row>
    <row r="2" spans="1:7" ht="12.75">
      <c r="A2" s="6"/>
      <c r="B2" s="6"/>
      <c r="C2" s="7" t="s">
        <v>4</v>
      </c>
      <c r="D2" s="7" t="s">
        <v>5</v>
      </c>
      <c r="E2" s="7" t="s">
        <v>6</v>
      </c>
      <c r="F2" s="8" t="s">
        <v>7</v>
      </c>
      <c r="G2" s="7" t="s">
        <v>8</v>
      </c>
    </row>
    <row r="3" spans="1:7" ht="12.75">
      <c r="A3" s="9" t="s">
        <v>9</v>
      </c>
      <c r="B3" s="3"/>
      <c r="C3" s="3"/>
      <c r="D3" s="3"/>
      <c r="E3" s="3"/>
      <c r="F3" s="3"/>
      <c r="G3" s="4"/>
    </row>
    <row r="4" spans="1:7" ht="12.75">
      <c r="A4" s="10"/>
      <c r="B4" s="10" t="s">
        <v>10</v>
      </c>
      <c r="C4" s="10" t="s">
        <v>11</v>
      </c>
      <c r="D4" s="10" t="s">
        <v>12</v>
      </c>
      <c r="E4" s="11">
        <v>100</v>
      </c>
      <c r="F4" s="12"/>
      <c r="G4" s="4"/>
    </row>
    <row r="5" spans="1:7" ht="12.75">
      <c r="A5" s="10" t="s">
        <v>13</v>
      </c>
      <c r="B5" s="13" t="s">
        <v>14</v>
      </c>
      <c r="C5" s="3"/>
      <c r="D5" s="3"/>
      <c r="E5" s="3"/>
      <c r="F5" s="3"/>
      <c r="G5" s="4"/>
    </row>
    <row r="6" spans="1:7" ht="12.75">
      <c r="A6" s="14" t="s">
        <v>15</v>
      </c>
      <c r="B6" s="3"/>
      <c r="C6" s="3"/>
      <c r="D6" s="3"/>
      <c r="E6" s="3"/>
      <c r="F6" s="4"/>
      <c r="G6" s="15" t="s">
        <v>16</v>
      </c>
    </row>
    <row r="7" spans="1:7" ht="12.75">
      <c r="A7" s="16">
        <v>8019</v>
      </c>
      <c r="B7" s="16"/>
      <c r="C7" s="13" t="s">
        <v>17</v>
      </c>
      <c r="D7" s="3"/>
      <c r="E7" s="4"/>
      <c r="F7" s="12"/>
      <c r="G7" s="4"/>
    </row>
    <row r="8" spans="1:7" ht="12.75">
      <c r="A8" s="6"/>
      <c r="B8" s="6"/>
      <c r="C8" s="10" t="s">
        <v>18</v>
      </c>
      <c r="D8" s="11">
        <v>1.05</v>
      </c>
      <c r="E8" s="11">
        <v>9000</v>
      </c>
      <c r="F8" s="17">
        <f>D8*E8</f>
        <v>9450</v>
      </c>
      <c r="G8" s="10" t="s">
        <v>19</v>
      </c>
    </row>
    <row r="9" spans="1:7" ht="12.75">
      <c r="A9" s="14" t="s">
        <v>20</v>
      </c>
      <c r="B9" s="3"/>
      <c r="C9" s="3"/>
      <c r="D9" s="3"/>
      <c r="E9" s="3"/>
      <c r="F9" s="4"/>
      <c r="G9" s="15" t="s">
        <v>21</v>
      </c>
    </row>
    <row r="10" spans="1:7" ht="12.75">
      <c r="A10" s="16">
        <v>2205</v>
      </c>
      <c r="B10" s="16"/>
      <c r="C10" s="13" t="s">
        <v>22</v>
      </c>
      <c r="D10" s="3"/>
      <c r="E10" s="4"/>
      <c r="F10" s="12"/>
      <c r="G10" s="4"/>
    </row>
    <row r="11" spans="1:7" ht="12.75">
      <c r="A11" s="6"/>
      <c r="B11" s="6"/>
      <c r="C11" s="10" t="s">
        <v>23</v>
      </c>
      <c r="D11" s="11">
        <v>0.105</v>
      </c>
      <c r="E11" s="11">
        <v>145.72</v>
      </c>
      <c r="F11" s="17">
        <f>D11*E11</f>
        <v>15.300599999999999</v>
      </c>
      <c r="G11" s="10" t="s">
        <v>24</v>
      </c>
    </row>
    <row r="12" spans="1:7" ht="12.75">
      <c r="A12" s="14" t="s">
        <v>25</v>
      </c>
      <c r="B12" s="3"/>
      <c r="C12" s="3"/>
      <c r="D12" s="3"/>
      <c r="E12" s="3"/>
      <c r="F12" s="4"/>
      <c r="G12" s="15" t="s">
        <v>26</v>
      </c>
    </row>
    <row r="13" spans="1:7" ht="12.75">
      <c r="A13" s="16">
        <v>116</v>
      </c>
      <c r="B13" s="16"/>
      <c r="C13" s="13" t="s">
        <v>27</v>
      </c>
      <c r="D13" s="3"/>
      <c r="E13" s="4"/>
      <c r="F13" s="12"/>
      <c r="G13" s="4"/>
    </row>
    <row r="14" spans="1:7" ht="12.75">
      <c r="A14" s="6"/>
      <c r="B14" s="6"/>
      <c r="C14" s="10" t="s">
        <v>28</v>
      </c>
      <c r="D14" s="11">
        <v>0.50</v>
      </c>
      <c r="E14" s="11">
        <v>784</v>
      </c>
      <c r="F14" s="17">
        <f>E14*D14</f>
        <v>392</v>
      </c>
      <c r="G14" s="10" t="s">
        <v>29</v>
      </c>
    </row>
    <row r="15" spans="1:7" ht="12.75">
      <c r="A15" s="16">
        <v>102</v>
      </c>
      <c r="B15" s="16"/>
      <c r="C15" s="13" t="s">
        <v>30</v>
      </c>
      <c r="D15" s="3"/>
      <c r="E15" s="4"/>
      <c r="F15" s="12"/>
      <c r="G15" s="4"/>
    </row>
    <row r="16" spans="1:7" ht="12.75">
      <c r="A16" s="6"/>
      <c r="B16" s="6"/>
      <c r="C16" s="10" t="s">
        <v>28</v>
      </c>
      <c r="D16" s="11">
        <v>0.75</v>
      </c>
      <c r="E16" s="11">
        <v>784</v>
      </c>
      <c r="F16" s="17">
        <f>E16*D16</f>
        <v>588</v>
      </c>
      <c r="G16" s="10" t="s">
        <v>31</v>
      </c>
    </row>
    <row r="17" spans="1:7" ht="12.75">
      <c r="A17" s="16">
        <v>103</v>
      </c>
      <c r="B17" s="16"/>
      <c r="C17" s="13" t="s">
        <v>32</v>
      </c>
      <c r="D17" s="3"/>
      <c r="E17" s="4"/>
      <c r="F17" s="12"/>
      <c r="G17" s="4"/>
    </row>
    <row r="18" spans="1:7" ht="12.75">
      <c r="A18" s="6"/>
      <c r="B18" s="6"/>
      <c r="C18" s="10" t="s">
        <v>28</v>
      </c>
      <c r="D18" s="11">
        <v>1</v>
      </c>
      <c r="E18" s="11">
        <v>714</v>
      </c>
      <c r="F18" s="17">
        <f>E18*D18</f>
        <v>714</v>
      </c>
      <c r="G18" s="10" t="s">
        <v>31</v>
      </c>
    </row>
    <row r="19" spans="1:7" ht="12.75">
      <c r="A19" s="16" t="s">
        <v>33</v>
      </c>
      <c r="B19" s="16"/>
      <c r="C19" s="13" t="s">
        <v>34</v>
      </c>
      <c r="D19" s="3"/>
      <c r="E19" s="4"/>
      <c r="F19" s="12"/>
      <c r="G19" s="4"/>
    </row>
    <row r="20" spans="1:7" ht="12.75">
      <c r="A20" s="6"/>
      <c r="B20" s="6"/>
      <c r="C20" s="10" t="s">
        <v>35</v>
      </c>
      <c r="D20" s="11">
        <v>850</v>
      </c>
      <c r="E20" s="11">
        <v>2</v>
      </c>
      <c r="F20" s="17">
        <f>D20*E20</f>
        <v>1700</v>
      </c>
      <c r="G20" s="10" t="s">
        <v>36</v>
      </c>
    </row>
    <row r="21" spans="1:7" ht="12.75">
      <c r="A21" s="14" t="s">
        <v>37</v>
      </c>
      <c r="B21" s="3"/>
      <c r="C21" s="3"/>
      <c r="D21" s="3"/>
      <c r="E21" s="3"/>
      <c r="F21" s="4"/>
      <c r="G21" s="15" t="s">
        <v>26</v>
      </c>
    </row>
    <row r="22" spans="1:7" ht="12.75">
      <c r="A22" s="18" t="s">
        <v>38</v>
      </c>
      <c r="B22" s="16"/>
      <c r="C22" s="13" t="s">
        <v>39</v>
      </c>
      <c r="D22" s="3"/>
      <c r="E22" s="4"/>
      <c r="F22" s="12"/>
      <c r="G22" s="4"/>
    </row>
    <row r="23" spans="1:7" ht="12.75">
      <c r="A23" s="6"/>
      <c r="B23" s="6"/>
      <c r="C23" s="10" t="s">
        <v>40</v>
      </c>
      <c r="D23" s="11">
        <v>3</v>
      </c>
      <c r="E23" s="11">
        <v>48.19</v>
      </c>
      <c r="F23" s="17">
        <f>D23*E23</f>
        <v>144.57</v>
      </c>
      <c r="G23" s="10" t="s">
        <v>41</v>
      </c>
    </row>
    <row r="24" spans="1:7" ht="12.75">
      <c r="A24" s="19" t="s">
        <v>42</v>
      </c>
      <c r="B24" s="3"/>
      <c r="C24" s="4"/>
      <c r="D24" s="11">
        <v>100</v>
      </c>
      <c r="E24" s="20" t="s">
        <v>11</v>
      </c>
      <c r="F24" s="21">
        <f>SUM(F8,F11,F14,F16,F18,F20+F23)</f>
        <v>13003.8706</v>
      </c>
      <c r="G24" s="20"/>
    </row>
    <row r="25" spans="1:7" ht="12.75">
      <c r="A25" s="19" t="s">
        <v>43</v>
      </c>
      <c r="B25" s="3"/>
      <c r="C25" s="4"/>
      <c r="D25" s="11">
        <v>1</v>
      </c>
      <c r="E25" s="20" t="s">
        <v>11</v>
      </c>
      <c r="F25" s="21">
        <f>F24/100</f>
        <v>130.03870599999999</v>
      </c>
      <c r="G25" s="20"/>
    </row>
    <row r="26" spans="1:7" ht="12.75">
      <c r="A26" s="22" t="s">
        <v>44</v>
      </c>
      <c r="B26" s="3"/>
      <c r="C26" s="3"/>
      <c r="D26" s="4"/>
      <c r="E26" s="21">
        <f>F25</f>
        <v>130.03870599999999</v>
      </c>
      <c r="F26" s="21">
        <f>E26/100</f>
        <v>1.30038706</v>
      </c>
      <c r="G26" s="20"/>
    </row>
    <row r="27" spans="1:7" ht="12.75">
      <c r="A27" s="22" t="s">
        <v>42</v>
      </c>
      <c r="B27" s="3"/>
      <c r="C27" s="3"/>
      <c r="D27" s="4"/>
      <c r="E27" s="20"/>
      <c r="F27" s="21">
        <f>F25+F26</f>
        <v>131.33909310000001</v>
      </c>
      <c r="G27" s="20"/>
    </row>
    <row r="28" spans="1:7" ht="12.75">
      <c r="A28" s="22" t="s">
        <v>45</v>
      </c>
      <c r="B28" s="3"/>
      <c r="C28" s="3"/>
      <c r="D28" s="4"/>
      <c r="E28" s="21">
        <f>F27</f>
        <v>131.33909310000001</v>
      </c>
      <c r="F28" s="21">
        <f>E28*0.15</f>
        <v>19.70086396</v>
      </c>
      <c r="G28" s="20"/>
    </row>
    <row r="29" spans="1:7" ht="12.75">
      <c r="A29" s="22" t="s">
        <v>42</v>
      </c>
      <c r="B29" s="3"/>
      <c r="C29" s="3"/>
      <c r="D29" s="4"/>
      <c r="E29" s="20"/>
      <c r="F29" s="21">
        <f>F27+F28</f>
        <v>151.03995699999999</v>
      </c>
      <c r="G29" s="20"/>
    </row>
    <row r="30" spans="1:7" ht="12.75">
      <c r="A30" s="23" t="s">
        <v>46</v>
      </c>
      <c r="B30" s="3"/>
      <c r="C30" s="3"/>
      <c r="D30" s="4"/>
      <c r="E30" s="24"/>
      <c r="F30" s="25">
        <f>ROUND(F29,2)</f>
        <v>151.04</v>
      </c>
      <c r="G30" s="26" t="s">
        <v>47</v>
      </c>
    </row>
  </sheetData>
  <mergeCells count="46">
    <mergeCell ref="C7:E7"/>
    <mergeCell ref="F7:G7"/>
    <mergeCell ref="A9:F9"/>
    <mergeCell ref="C10:E10"/>
    <mergeCell ref="F10:G10"/>
    <mergeCell ref="A12:F12"/>
    <mergeCell ref="C13:E13"/>
    <mergeCell ref="F13:G13"/>
    <mergeCell ref="B1:B2"/>
    <mergeCell ref="C1:E1"/>
    <mergeCell ref="F1:G1"/>
    <mergeCell ref="A3:G3"/>
    <mergeCell ref="F4:G4"/>
    <mergeCell ref="B5:G5"/>
    <mergeCell ref="A6:F6"/>
    <mergeCell ref="A15:A16"/>
    <mergeCell ref="B15:B16"/>
    <mergeCell ref="C15:E15"/>
    <mergeCell ref="F15:G15"/>
    <mergeCell ref="A17:A18"/>
    <mergeCell ref="B17:B18"/>
    <mergeCell ref="C17:E17"/>
    <mergeCell ref="F17:G17"/>
    <mergeCell ref="A1:A2"/>
    <mergeCell ref="A7:A8"/>
    <mergeCell ref="B7:B8"/>
    <mergeCell ref="A10:A11"/>
    <mergeCell ref="B10:B11"/>
    <mergeCell ref="A13:A14"/>
    <mergeCell ref="B13:B14"/>
    <mergeCell ref="C22:E22"/>
    <mergeCell ref="F22:G22"/>
    <mergeCell ref="A24:C24"/>
    <mergeCell ref="A25:C25"/>
    <mergeCell ref="A26:D26"/>
    <mergeCell ref="A27:D27"/>
    <mergeCell ref="A28:D28"/>
    <mergeCell ref="A29:D29"/>
    <mergeCell ref="A30:D30"/>
    <mergeCell ref="A19:A20"/>
    <mergeCell ref="B19:B20"/>
    <mergeCell ref="C19:E19"/>
    <mergeCell ref="F19:G19"/>
    <mergeCell ref="A21:F21"/>
    <mergeCell ref="A22:A23"/>
    <mergeCell ref="B22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