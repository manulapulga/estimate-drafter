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[1]LMR!$C:$C</definedName>
    <definedName name="LMRCodes">[1]LMR!$A:$A</definedName>
  </definedNames>
  <calcPr fullCalcOnLoad="1"/>
</workbook>
</file>

<file path=xl/calcChain.xml><?xml version="1.0" encoding="utf-8"?>
<calcChain xmlns="http://schemas.openxmlformats.org/spreadsheetml/2006/main">
  <c r="E6" i="1" l="1" a="1"/>
</calcChain>
</file>

<file path=xl/sharedStrings.xml><?xml version="1.0" encoding="utf-8"?>
<sst xmlns="http://schemas.openxmlformats.org/spreadsheetml/2006/main" count="141" uniqueCount="34">
  <si>
    <t>PVC Pipe With Trenching</t>
  </si>
  <si>
    <t>Providing and fixing PVC pipes includes jointing of pipes with one step PVC solvent cement, trenching, refilling &amp; testing of joints complete as per direction of Engineer in Charge. 140 mm dia 6 KGF/cm2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</si>
  <si>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</si>
  <si>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</si>
  <si>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</si>
  <si>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</si>
  <si>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</si>
  <si>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</si>
  <si>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</si>
  <si>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MATERIALS:</t>
  </si>
  <si>
    <t>MR10215</t>
  </si>
  <si>
    <t>PVC Pipe, 6kg/cm2, 140mm Dia</t>
  </si>
  <si>
    <t>metre</t>
  </si>
  <si>
    <t>Add 15% for fittings and wastage etc. on (A)</t>
  </si>
  <si>
    <t>Add Water Charges @ 1%</t>
  </si>
  <si>
    <t>TOTAL</t>
  </si>
  <si>
    <t>Add CPOH @ 15%</t>
  </si>
  <si>
    <t>Cost of 10.0 metre</t>
  </si>
  <si>
    <t>Cost per metre</t>
  </si>
  <si>
    <t>Fitter(grade1)</t>
  </si>
  <si>
    <t>Day</t>
  </si>
  <si>
    <t>Beldar</t>
  </si>
  <si>
    <t>Trenching and refilling etc.</t>
  </si>
  <si>
    <t>Coolie</t>
  </si>
  <si>
    <t>TOTAL  </t>
  </si>
  <si>
    <t>Providing and fixing PVC pipes includes jointing of pipes with one step PVC solvent cement, trenching, refilling &amp; testing of joints complete as per direction of Engineer in Charge. 63 mm dia 10 KGF/cm2</t>
  </si>
  <si>
    <t>MR10234</t>
  </si>
  <si>
    <t>PVC Pipe, 10kg/cm2, 63mm Dia.</t>
  </si>
  <si>
    <t>Providing and fixing PVC pipes includes jointing of pipes with one step PVC solvent cement, trenching, refilling &amp; testing of joints complete as per direction of Engineer in Charge. 90 mm dia 10 KGF/cm2</t>
  </si>
  <si>
    <t>MR10236</t>
  </si>
  <si>
    <t>PVC Pipe, 10kg/cm2, 90mm Dia</t>
  </si>
  <si>
    <t>Providing and fixing PVC pipes includes jointing of pipes with one step PVC solvent cement, trenching, refilling &amp; testing of joints complete as per direction of Engineer in Charge. 90 mm dia 6 KGF/cm2</t>
  </si>
  <si>
    <t>MR10213</t>
  </si>
  <si>
    <t>PVC Pipe, 6kg/cm2, 90mm Dia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</si>
</sst>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 style="thin">
        <color rgb="FF3D3D3D"/>
      </right>
      <top style="thin">
        <color rgb="FF3D3D3D"/>
      </top>
      <bottom/>
    </border>
    <border>
      <left style="thin">
        <color rgb="FF3D3D3D"/>
      </left>
      <right style="thin">
        <color rgb="FF3D3D3D"/>
      </right>
      <top/>
      <bottom style="thin">
        <color rgb="FF3D3D3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1" fillId="3" borderId="4" xfId="0" applyFont="1" applyFill="1" applyBorder="1" applyAlignment="1">
      <alignment horizontal="center" vertical="center" wrapText="1"/>
    </xf>
    <xf numFmtId="0" fontId="2" fillId="3" borderId="5" xfId="0" applyFont="1" applyBorder="1" applyAlignment="1">
      <alignment vertical="center" wrapText="1"/>
    </xf>
    <xf numFmtId="0" fontId="3" fillId="0" borderId="6" xfId="0" applyFont="1" applyBorder="1">
      <alignment/>
    </xf>
    <xf numFmtId="0" fontId="3" fillId="0" borderId="7" xfId="0" applyFont="1" applyBorder="1">
      <alignment/>
    </xf>
    <xf numFmtId="0" fontId="2" fillId="3" borderId="8" xfId="0" applyFont="1" applyBorder="1" applyAlignment="1">
      <alignment vertical="center" wrapText="1"/>
    </xf>
    <xf numFmtId="0" fontId="2" fillId="3" borderId="4" xfId="0" applyFont="1" applyBorder="1" applyAlignment="1">
      <alignment vertical="center" wrapText="1"/>
    </xf>
    <xf numFmtId="0" fontId="3" fillId="0" borderId="9" xfId="0" applyFont="1" applyBorder="1">
      <alignment/>
    </xf>
    <xf numFmtId="0" fontId="2" fillId="3" borderId="8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right" vertical="center" wrapText="1"/>
    </xf>
    <xf numFmtId="0" fontId="2" fillId="3" borderId="4" xfId="0" applyFont="1" applyBorder="1" applyAlignment="1">
      <alignment horizontal="center" vertical="center" wrapText="1"/>
    </xf>
    <xf numFmtId="0" fontId="2" fillId="3" borderId="5" xfId="0" applyFont="1" applyBorder="1" applyAlignment="1">
      <alignment horizontal="right" vertical="center" wrapText="1"/>
    </xf>
    <xf numFmtId="177" fontId="2" fillId="3" borderId="4" xfId="0" applyNumberFormat="1" applyFont="1" applyBorder="1" applyAlignment="1">
      <alignment horizontal="right" vertical="center" wrapText="1"/>
    </xf>
    <xf numFmtId="2" fontId="2" fillId="3" borderId="10" xfId="0" applyNumberFormat="1" applyFont="1" applyBorder="1" applyAlignment="1">
      <alignment horizontal="right" vertical="center" wrapText="1"/>
    </xf>
    <xf numFmtId="177" fontId="2" fillId="3" borderId="8" xfId="0" applyNumberFormat="1" applyFont="1" applyBorder="1" applyAlignment="1">
      <alignment horizontal="right" vertical="center" wrapText="1"/>
    </xf>
    <xf numFmtId="0" fontId="2" fillId="3" borderId="10" xfId="0" applyFont="1" applyBorder="1" applyAlignment="1">
      <alignment horizontal="center" vertical="center" wrapText="1"/>
    </xf>
    <xf numFmtId="0" fontId="2" fillId="3" borderId="10" xfId="0" applyFont="1" applyBorder="1" applyAlignment="1">
      <alignment vertical="center" wrapText="1"/>
    </xf>
    <xf numFmtId="177" fontId="2" fillId="3" borderId="10" xfId="0" applyNumberFormat="1" applyFont="1" applyBorder="1" applyAlignment="1">
      <alignment horizontal="right" vertical="center" wrapText="1"/>
    </xf>
    <xf numFmtId="0" fontId="2" fillId="3" borderId="1" xfId="0" applyFont="1" applyBorder="1" applyAlignment="1">
      <alignment horizontal="right" vertical="center" wrapText="1"/>
    </xf>
    <xf numFmtId="0" fontId="1" fillId="3" borderId="1" xfId="0" applyFont="1" applyBorder="1" applyAlignment="1">
      <alignment horizontal="center" vertical="center" wrapText="1"/>
    </xf>
    <xf numFmtId="0" fontId="1" fillId="4" borderId="4" xfId="0" applyFont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2" fillId="4" borderId="8" xfId="0" applyFont="1" applyBorder="1" applyAlignment="1">
      <alignment vertical="center" wrapText="1"/>
    </xf>
    <xf numFmtId="0" fontId="2" fillId="4" borderId="4" xfId="0" applyFont="1" applyBorder="1" applyAlignment="1">
      <alignment vertical="center" wrapText="1"/>
    </xf>
    <xf numFmtId="0" fontId="2" fillId="4" borderId="8" xfId="0" applyFont="1" applyBorder="1" applyAlignment="1">
      <alignment horizontal="center" vertical="center" wrapText="1"/>
    </xf>
    <xf numFmtId="0" fontId="2" fillId="4" borderId="8" xfId="0" applyFont="1" applyBorder="1" applyAlignment="1">
      <alignment horizontal="right" vertical="center" wrapText="1"/>
    </xf>
    <xf numFmtId="0" fontId="2" fillId="4" borderId="4" xfId="0" applyFont="1" applyBorder="1" applyAlignment="1">
      <alignment horizontal="center" vertical="center" wrapText="1"/>
    </xf>
    <xf numFmtId="0" fontId="2" fillId="4" borderId="5" xfId="0" applyFont="1" applyBorder="1" applyAlignment="1">
      <alignment horizontal="right" vertical="center" wrapText="1"/>
    </xf>
    <xf numFmtId="177" fontId="2" fillId="4" borderId="4" xfId="0" applyNumberFormat="1" applyFont="1" applyBorder="1" applyAlignment="1">
      <alignment horizontal="right" vertical="center" wrapText="1"/>
    </xf>
    <xf numFmtId="2" fontId="2" fillId="4" borderId="10" xfId="0" applyNumberFormat="1" applyFont="1" applyBorder="1" applyAlignment="1">
      <alignment horizontal="right" vertical="center" wrapText="1"/>
    </xf>
    <xf numFmtId="177" fontId="2" fillId="4" borderId="8" xfId="0" applyNumberFormat="1" applyFont="1" applyBorder="1" applyAlignment="1">
      <alignment horizontal="right" vertical="center" wrapText="1"/>
    </xf>
    <xf numFmtId="0" fontId="2" fillId="4" borderId="10" xfId="0" applyFont="1" applyBorder="1" applyAlignment="1">
      <alignment horizontal="center" vertical="center" wrapText="1"/>
    </xf>
    <xf numFmtId="0" fontId="2" fillId="4" borderId="10" xfId="0" applyFont="1" applyBorder="1" applyAlignment="1">
      <alignment vertical="center" wrapText="1"/>
    </xf>
    <xf numFmtId="177" fontId="2" fillId="4" borderId="10" xfId="0" applyNumberFormat="1" applyFont="1" applyBorder="1" applyAlignment="1">
      <alignment horizontal="right" vertical="center" wrapText="1"/>
    </xf>
    <xf numFmtId="0" fontId="2" fillId="4" borderId="1" xfId="0" applyFont="1" applyBorder="1" applyAlignment="1">
      <alignment horizontal="right" vertical="center" wrapText="1"/>
    </xf>
    <xf numFmtId="0" fontId="1" fillId="4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6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externalLink" Target="externalLinks/externalLink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Derived"/>
      <sheetName val="LMR"/>
      <sheetName val="PAMR39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07F162-605C-461B-9B56-E333CA44BAA6}">
  <dimension ref="A1:F101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6"/>
      <c r="D2" s="6"/>
      <c r="E2" s="6"/>
      <c r="F2" s="7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2.75">
      <c r="A4" s="8"/>
      <c r="B4" s="9" t="s">
        <v>8</v>
      </c>
      <c r="C4" s="8"/>
      <c r="D4" s="8"/>
      <c r="E4" s="8"/>
      <c r="F4" s="8"/>
    </row>
    <row r="5" spans="1:6" ht="12.75">
      <c r="A5" s="10"/>
      <c r="B5" s="9" t="s">
        <v>9</v>
      </c>
      <c r="C5" s="10"/>
      <c r="D5" s="10"/>
      <c r="E5" s="10"/>
      <c r="F5" s="10"/>
    </row>
    <row r="6" spans="1:6" ht="12.75">
      <c r="A6" s="11" t="s">
        <v>10</v>
      </c>
      <c r="B6" s="9" t="s">
        <v>11</v>
      </c>
      <c r="C6" s="11" t="s">
        <v>12</v>
      </c>
      <c r="D6" s="11">
        <v>11.50</v>
      </c>
      <c r="E6" s="11">
        <f t="array" ref="E6">IFERROR(INDEX(LMRRates,MATCH(A6,LMRCodes,0),),)</f>
        <v>284</v>
      </c>
      <c r="F6" s="12">
        <f>D6*E6</f>
        <v>3266</v>
      </c>
    </row>
    <row r="7" spans="1:6" ht="12.75">
      <c r="A7" s="10"/>
      <c r="B7" s="9" t="s">
        <v>13</v>
      </c>
      <c r="C7" s="10"/>
      <c r="D7" s="10"/>
      <c r="E7" s="10"/>
      <c r="F7" s="10"/>
    </row>
    <row r="8" spans="1:6" ht="12.75">
      <c r="A8" s="13"/>
      <c r="B8" s="14" t="s">
        <v>14</v>
      </c>
      <c r="C8" s="6"/>
      <c r="D8" s="6"/>
      <c r="E8" s="7"/>
      <c r="F8" s="15">
        <f>F6*0.01</f>
        <v>32.66</v>
      </c>
    </row>
    <row r="9" spans="1:6" ht="12.75">
      <c r="A9" s="13"/>
      <c r="B9" s="14" t="s">
        <v>15</v>
      </c>
      <c r="C9" s="6"/>
      <c r="D9" s="6"/>
      <c r="E9" s="7"/>
      <c r="F9" s="15">
        <f>SUM(F6:F8)</f>
        <v>3298.66</v>
      </c>
    </row>
    <row r="10" spans="1:6" ht="12.75">
      <c r="A10" s="13"/>
      <c r="B10" s="14" t="s">
        <v>16</v>
      </c>
      <c r="C10" s="6"/>
      <c r="D10" s="6"/>
      <c r="E10" s="7"/>
      <c r="F10" s="15">
        <f>F9*0.15</f>
        <v>494.79899999999998</v>
      </c>
    </row>
    <row r="11" spans="1:6" ht="12.75">
      <c r="A11" s="13"/>
      <c r="B11" s="14" t="s">
        <v>15</v>
      </c>
      <c r="C11" s="6"/>
      <c r="D11" s="6"/>
      <c r="E11" s="7"/>
      <c r="F11" s="15">
        <f>SUM(F9:F10)</f>
        <v>3793.4589999999998</v>
      </c>
    </row>
    <row r="12" spans="1:6" ht="12.75">
      <c r="A12" s="13"/>
      <c r="B12" s="14" t="s">
        <v>17</v>
      </c>
      <c r="C12" s="6"/>
      <c r="D12" s="6"/>
      <c r="E12" s="7"/>
      <c r="F12" s="15">
        <f>F11</f>
        <v>3793.4589999999998</v>
      </c>
    </row>
    <row r="13" spans="1:6" ht="12.75">
      <c r="A13" s="13"/>
      <c r="B13" s="14" t="s">
        <v>18</v>
      </c>
      <c r="C13" s="6"/>
      <c r="D13" s="6"/>
      <c r="E13" s="7"/>
      <c r="F13" s="16">
        <f>ROUND(F12/10,2)</f>
        <v>379.35</v>
      </c>
    </row>
    <row r="14" spans="1:6" ht="12.75">
      <c r="A14" s="13">
        <v>116</v>
      </c>
      <c r="B14" s="9" t="s">
        <v>19</v>
      </c>
      <c r="C14" s="13" t="s">
        <v>20</v>
      </c>
      <c r="D14" s="13">
        <v>0.12</v>
      </c>
      <c r="E14" s="13">
        <v>784</v>
      </c>
      <c r="F14" s="15">
        <f>D14*E14</f>
        <v>94.08</v>
      </c>
    </row>
    <row r="15" spans="1:6" ht="12.75">
      <c r="A15" s="11">
        <v>114</v>
      </c>
      <c r="B15" s="9" t="s">
        <v>21</v>
      </c>
      <c r="C15" s="11" t="s">
        <v>20</v>
      </c>
      <c r="D15" s="11">
        <v>0.25</v>
      </c>
      <c r="E15" s="11">
        <v>645</v>
      </c>
      <c r="F15" s="17">
        <f>D15*E15</f>
        <v>161.25</v>
      </c>
    </row>
    <row r="16" spans="1:6" ht="12.75">
      <c r="A16" s="10"/>
      <c r="B16" s="9" t="s">
        <v>22</v>
      </c>
      <c r="C16" s="10"/>
      <c r="D16" s="10"/>
      <c r="E16" s="10"/>
      <c r="F16" s="10"/>
    </row>
    <row r="17" spans="1:6" ht="12.75">
      <c r="A17" s="11">
        <v>114</v>
      </c>
      <c r="B17" s="8" t="s">
        <v>21</v>
      </c>
      <c r="C17" s="11" t="s">
        <v>20</v>
      </c>
      <c r="D17" s="11">
        <v>0.66</v>
      </c>
      <c r="E17" s="11">
        <v>645</v>
      </c>
      <c r="F17" s="17">
        <f>D17*E17</f>
        <v>425.70</v>
      </c>
    </row>
    <row r="18" spans="1:6" ht="12.75">
      <c r="A18" s="18">
        <v>115</v>
      </c>
      <c r="B18" s="19" t="s">
        <v>23</v>
      </c>
      <c r="C18" s="18" t="s">
        <v>20</v>
      </c>
      <c r="D18" s="18">
        <v>0.66</v>
      </c>
      <c r="E18" s="18">
        <v>645</v>
      </c>
      <c r="F18" s="20">
        <f>D18*E18</f>
        <v>425.70</v>
      </c>
    </row>
    <row r="19" spans="1:6" ht="12.75">
      <c r="A19" s="19"/>
      <c r="B19" s="21" t="s">
        <v>24</v>
      </c>
      <c r="C19" s="2"/>
      <c r="D19" s="2"/>
      <c r="E19" s="3"/>
      <c r="F19" s="20">
        <f>SUM(F14:F18)</f>
        <v>1106.73</v>
      </c>
    </row>
    <row r="20" spans="1:6" ht="12.75">
      <c r="A20" s="19"/>
      <c r="B20" s="21" t="s">
        <v>14</v>
      </c>
      <c r="C20" s="2"/>
      <c r="D20" s="2"/>
      <c r="E20" s="3"/>
      <c r="F20" s="20">
        <f>F19*0.01</f>
        <v>11.067299999999999</v>
      </c>
    </row>
    <row r="21" spans="1:6" ht="12.75">
      <c r="A21" s="19"/>
      <c r="B21" s="21" t="s">
        <v>15</v>
      </c>
      <c r="C21" s="2"/>
      <c r="D21" s="2"/>
      <c r="E21" s="3"/>
      <c r="F21" s="20">
        <f>SUM(F19:F20)</f>
        <v>1117.7973</v>
      </c>
    </row>
    <row r="22" spans="1:6" ht="12.75">
      <c r="A22" s="19"/>
      <c r="B22" s="21" t="s">
        <v>16</v>
      </c>
      <c r="C22" s="2"/>
      <c r="D22" s="2"/>
      <c r="E22" s="3"/>
      <c r="F22" s="20">
        <f>F21*0.15</f>
        <v>167.66959499999999</v>
      </c>
    </row>
    <row r="23" spans="1:6" ht="12.75">
      <c r="A23" s="19"/>
      <c r="B23" s="21" t="s">
        <v>15</v>
      </c>
      <c r="C23" s="2"/>
      <c r="D23" s="2"/>
      <c r="E23" s="3"/>
      <c r="F23" s="20">
        <f>SUM(F21:F22)</f>
        <v>1285.466895</v>
      </c>
    </row>
    <row r="24" spans="1:6" ht="12.75">
      <c r="A24" s="19"/>
      <c r="B24" s="21" t="s">
        <v>17</v>
      </c>
      <c r="C24" s="2"/>
      <c r="D24" s="2"/>
      <c r="E24" s="3"/>
      <c r="F24" s="20">
        <f>F23</f>
        <v>1285.466895</v>
      </c>
    </row>
    <row r="25" spans="1:6" ht="12.75">
      <c r="A25" s="19"/>
      <c r="B25" s="21" t="s">
        <v>18</v>
      </c>
      <c r="C25" s="2"/>
      <c r="D25" s="2"/>
      <c r="E25" s="3"/>
      <c r="F25" s="16">
        <f>ROUND(F24/10,2)</f>
        <v>128.55</v>
      </c>
    </row>
    <row r="26" spans="1:6" ht="12.75">
      <c r="A26" s="22" t="str">
        <f>CONCATENATE("Say ₹ ",F13," + ",F25," x Cost Index")</f>
        <v>Say ₹ 379.35 + 128.55 x Cost Index</v>
      </c>
      <c r="B26" s="2"/>
      <c r="C26" s="2"/>
      <c r="D26" s="2"/>
      <c r="E26" s="2"/>
      <c r="F26" s="3"/>
    </row>
    <row r="27" spans="1:6" ht="12.75">
      <c r="A27" s="23">
        <v>0</v>
      </c>
      <c r="B27" s="24" t="s">
        <v>25</v>
      </c>
      <c r="C27" s="6"/>
      <c r="D27" s="6"/>
      <c r="E27" s="6"/>
      <c r="F27" s="7"/>
    </row>
    <row r="28" spans="1:6" ht="12.75">
      <c r="A28" s="23" t="s">
        <v>2</v>
      </c>
      <c r="B28" s="23" t="s">
        <v>3</v>
      </c>
      <c r="C28" s="23" t="s">
        <v>4</v>
      </c>
      <c r="D28" s="23" t="s">
        <v>5</v>
      </c>
      <c r="E28" s="23" t="s">
        <v>6</v>
      </c>
      <c r="F28" s="23" t="s">
        <v>7</v>
      </c>
    </row>
    <row r="29" spans="1:6" ht="12.75">
      <c r="A29" s="25"/>
      <c r="B29" s="26" t="s">
        <v>8</v>
      </c>
      <c r="C29" s="25"/>
      <c r="D29" s="25"/>
      <c r="E29" s="25"/>
      <c r="F29" s="25"/>
    </row>
    <row r="30" spans="1:6" ht="12.75">
      <c r="A30" s="10"/>
      <c r="B30" s="26" t="s">
        <v>9</v>
      </c>
      <c r="C30" s="10"/>
      <c r="D30" s="10"/>
      <c r="E30" s="10"/>
      <c r="F30" s="10"/>
    </row>
    <row r="31" spans="1:6" ht="12.75">
      <c r="A31" s="27" t="s">
        <v>26</v>
      </c>
      <c r="B31" s="26" t="s">
        <v>27</v>
      </c>
      <c r="C31" s="27" t="s">
        <v>12</v>
      </c>
      <c r="D31" s="27">
        <v>11.50</v>
      </c>
      <c r="E31" s="27">
        <f t="array" ref="E31">IFERROR(INDEX(LMRRates,MATCH(A31,LMRCodes,0),),)</f>
        <v>95</v>
      </c>
      <c r="F31" s="28">
        <f>D31*E31</f>
        <v>1092.50</v>
      </c>
    </row>
    <row r="32" spans="1:6" ht="12.75">
      <c r="A32" s="10"/>
      <c r="B32" s="26" t="s">
        <v>13</v>
      </c>
      <c r="C32" s="10"/>
      <c r="D32" s="10"/>
      <c r="E32" s="10"/>
      <c r="F32" s="10"/>
    </row>
    <row r="33" spans="1:6" ht="12.75">
      <c r="A33" s="29"/>
      <c r="B33" s="30" t="s">
        <v>14</v>
      </c>
      <c r="C33" s="6"/>
      <c r="D33" s="6"/>
      <c r="E33" s="7"/>
      <c r="F33" s="31">
        <f>F31*0.01</f>
        <v>10.925</v>
      </c>
    </row>
    <row r="34" spans="1:6" ht="12.75">
      <c r="A34" s="29"/>
      <c r="B34" s="30" t="s">
        <v>15</v>
      </c>
      <c r="C34" s="6"/>
      <c r="D34" s="6"/>
      <c r="E34" s="7"/>
      <c r="F34" s="31">
        <f>SUM(F31:F33)</f>
        <v>1103.425</v>
      </c>
    </row>
    <row r="35" spans="1:6" ht="12.75">
      <c r="A35" s="29"/>
      <c r="B35" s="30" t="s">
        <v>16</v>
      </c>
      <c r="C35" s="6"/>
      <c r="D35" s="6"/>
      <c r="E35" s="7"/>
      <c r="F35" s="31">
        <f>F34*0.15</f>
        <v>165.51375</v>
      </c>
    </row>
    <row r="36" spans="1:6" ht="12.75">
      <c r="A36" s="29"/>
      <c r="B36" s="30" t="s">
        <v>15</v>
      </c>
      <c r="C36" s="6"/>
      <c r="D36" s="6"/>
      <c r="E36" s="7"/>
      <c r="F36" s="31">
        <f>SUM(F34:F35)</f>
        <v>1268.93875</v>
      </c>
    </row>
    <row r="37" spans="1:6" ht="12.75">
      <c r="A37" s="29"/>
      <c r="B37" s="30" t="s">
        <v>17</v>
      </c>
      <c r="C37" s="6"/>
      <c r="D37" s="6"/>
      <c r="E37" s="7"/>
      <c r="F37" s="31">
        <f>F36</f>
        <v>1268.93875</v>
      </c>
    </row>
    <row r="38" spans="1:6" ht="12.75">
      <c r="A38" s="29"/>
      <c r="B38" s="30" t="s">
        <v>18</v>
      </c>
      <c r="C38" s="6"/>
      <c r="D38" s="6"/>
      <c r="E38" s="7"/>
      <c r="F38" s="32">
        <f>ROUND(F37/10,2)</f>
        <v>126.89</v>
      </c>
    </row>
    <row r="39" spans="1:6" ht="12.75">
      <c r="A39" s="29">
        <v>116</v>
      </c>
      <c r="B39" s="26" t="s">
        <v>19</v>
      </c>
      <c r="C39" s="29" t="s">
        <v>20</v>
      </c>
      <c r="D39" s="29">
        <v>0.12</v>
      </c>
      <c r="E39" s="29">
        <v>784</v>
      </c>
      <c r="F39" s="31">
        <f>D39*E39</f>
        <v>94.08</v>
      </c>
    </row>
    <row r="40" spans="1:6" ht="12.75">
      <c r="A40" s="27">
        <v>114</v>
      </c>
      <c r="B40" s="26" t="s">
        <v>21</v>
      </c>
      <c r="C40" s="27" t="s">
        <v>20</v>
      </c>
      <c r="D40" s="27">
        <v>0.25</v>
      </c>
      <c r="E40" s="27">
        <v>645</v>
      </c>
      <c r="F40" s="33">
        <f>D40*E40</f>
        <v>161.25</v>
      </c>
    </row>
    <row r="41" spans="1:6" ht="12.75">
      <c r="A41" s="10"/>
      <c r="B41" s="26" t="s">
        <v>22</v>
      </c>
      <c r="C41" s="10"/>
      <c r="D41" s="10"/>
      <c r="E41" s="10"/>
      <c r="F41" s="10"/>
    </row>
    <row r="42" spans="1:6" ht="12.75">
      <c r="A42" s="27">
        <v>114</v>
      </c>
      <c r="B42" s="25" t="s">
        <v>21</v>
      </c>
      <c r="C42" s="27" t="s">
        <v>20</v>
      </c>
      <c r="D42" s="27">
        <v>0.66</v>
      </c>
      <c r="E42" s="27">
        <v>645</v>
      </c>
      <c r="F42" s="33">
        <f>D42*E42</f>
        <v>425.70</v>
      </c>
    </row>
    <row r="43" spans="1:6" ht="12.75">
      <c r="A43" s="34">
        <v>115</v>
      </c>
      <c r="B43" s="35" t="s">
        <v>23</v>
      </c>
      <c r="C43" s="34" t="s">
        <v>20</v>
      </c>
      <c r="D43" s="34">
        <v>0.66</v>
      </c>
      <c r="E43" s="34">
        <v>645</v>
      </c>
      <c r="F43" s="36">
        <f>D43*E43</f>
        <v>425.70</v>
      </c>
    </row>
    <row r="44" spans="1:6" ht="12.75">
      <c r="A44" s="35"/>
      <c r="B44" s="37" t="s">
        <v>24</v>
      </c>
      <c r="C44" s="2"/>
      <c r="D44" s="2"/>
      <c r="E44" s="3"/>
      <c r="F44" s="36">
        <f>SUM(F39:F43)</f>
        <v>1106.73</v>
      </c>
    </row>
    <row r="45" spans="1:6" ht="12.75">
      <c r="A45" s="35"/>
      <c r="B45" s="37" t="s">
        <v>14</v>
      </c>
      <c r="C45" s="2"/>
      <c r="D45" s="2"/>
      <c r="E45" s="3"/>
      <c r="F45" s="36">
        <f>F44*0.01</f>
        <v>11.067299999999999</v>
      </c>
    </row>
    <row r="46" spans="1:6" ht="12.75">
      <c r="A46" s="35"/>
      <c r="B46" s="37" t="s">
        <v>15</v>
      </c>
      <c r="C46" s="2"/>
      <c r="D46" s="2"/>
      <c r="E46" s="3"/>
      <c r="F46" s="36">
        <f>SUM(F44:F45)</f>
        <v>1117.7973</v>
      </c>
    </row>
    <row r="47" spans="1:6" ht="12.75">
      <c r="A47" s="35"/>
      <c r="B47" s="37" t="s">
        <v>16</v>
      </c>
      <c r="C47" s="2"/>
      <c r="D47" s="2"/>
      <c r="E47" s="3"/>
      <c r="F47" s="36">
        <f>F46*0.15</f>
        <v>167.66959499999999</v>
      </c>
    </row>
    <row r="48" spans="1:6" ht="12.75">
      <c r="A48" s="35"/>
      <c r="B48" s="37" t="s">
        <v>15</v>
      </c>
      <c r="C48" s="2"/>
      <c r="D48" s="2"/>
      <c r="E48" s="3"/>
      <c r="F48" s="36">
        <f>SUM(F46:F47)</f>
        <v>1285.466895</v>
      </c>
    </row>
    <row r="49" spans="1:6" ht="12.75">
      <c r="A49" s="35"/>
      <c r="B49" s="37" t="s">
        <v>17</v>
      </c>
      <c r="C49" s="2"/>
      <c r="D49" s="2"/>
      <c r="E49" s="3"/>
      <c r="F49" s="36">
        <f>F48</f>
        <v>1285.466895</v>
      </c>
    </row>
    <row r="50" spans="1:6" ht="12.75">
      <c r="A50" s="35"/>
      <c r="B50" s="37" t="s">
        <v>18</v>
      </c>
      <c r="C50" s="2"/>
      <c r="D50" s="2"/>
      <c r="E50" s="3"/>
      <c r="F50" s="32">
        <f>ROUND(F49/10,2)</f>
        <v>128.55</v>
      </c>
    </row>
    <row r="51" spans="1:6" ht="12.75">
      <c r="A51" s="38" t="str">
        <f>CONCATENATE("Say ₹ ",F38," + ",F50," x Cost Index")</f>
        <v>Say ₹ 126.89 + 128.55 x Cost Index</v>
      </c>
      <c r="B51" s="2"/>
      <c r="C51" s="2"/>
      <c r="D51" s="2"/>
      <c r="E51" s="2"/>
      <c r="F51" s="3"/>
    </row>
    <row r="52" spans="1:6" ht="12.75">
      <c r="A52" s="4">
        <v>0</v>
      </c>
      <c r="B52" s="5" t="s">
        <v>28</v>
      </c>
      <c r="C52" s="6"/>
      <c r="D52" s="6"/>
      <c r="E52" s="6"/>
      <c r="F52" s="7"/>
    </row>
    <row r="53" spans="1:6" ht="12.75">
      <c r="A53" s="4" t="s">
        <v>2</v>
      </c>
      <c r="B53" s="4" t="s">
        <v>3</v>
      </c>
      <c r="C53" s="4" t="s">
        <v>4</v>
      </c>
      <c r="D53" s="4" t="s">
        <v>5</v>
      </c>
      <c r="E53" s="4" t="s">
        <v>6</v>
      </c>
      <c r="F53" s="4" t="s">
        <v>7</v>
      </c>
    </row>
    <row r="54" spans="1:6" ht="12.75">
      <c r="A54" s="8"/>
      <c r="B54" s="9" t="s">
        <v>8</v>
      </c>
      <c r="C54" s="8"/>
      <c r="D54" s="8"/>
      <c r="E54" s="8"/>
      <c r="F54" s="8"/>
    </row>
    <row r="55" spans="1:6" ht="12.75">
      <c r="A55" s="10"/>
      <c r="B55" s="9" t="s">
        <v>9</v>
      </c>
      <c r="C55" s="10"/>
      <c r="D55" s="10"/>
      <c r="E55" s="10"/>
      <c r="F55" s="10"/>
    </row>
    <row r="56" spans="1:6" ht="12.75">
      <c r="A56" s="11" t="s">
        <v>29</v>
      </c>
      <c r="B56" s="9" t="s">
        <v>30</v>
      </c>
      <c r="C56" s="11" t="s">
        <v>12</v>
      </c>
      <c r="D56" s="11">
        <v>11.50</v>
      </c>
      <c r="E56" s="11">
        <f t="array" ref="E56">IFERROR(INDEX(LMRRates,MATCH(A56,LMRCodes,0),),)</f>
        <v>118</v>
      </c>
      <c r="F56" s="12">
        <f>D56*E56</f>
        <v>1357</v>
      </c>
    </row>
    <row r="57" spans="1:6" ht="12.75">
      <c r="A57" s="10"/>
      <c r="B57" s="9" t="s">
        <v>13</v>
      </c>
      <c r="C57" s="10"/>
      <c r="D57" s="10"/>
      <c r="E57" s="10"/>
      <c r="F57" s="10"/>
    </row>
    <row r="58" spans="1:6" ht="12.75">
      <c r="A58" s="13"/>
      <c r="B58" s="14" t="s">
        <v>14</v>
      </c>
      <c r="C58" s="6"/>
      <c r="D58" s="6"/>
      <c r="E58" s="7"/>
      <c r="F58" s="15">
        <f>F56*0.01</f>
        <v>13.57</v>
      </c>
    </row>
    <row r="59" spans="1:6" ht="12.75">
      <c r="A59" s="13"/>
      <c r="B59" s="14" t="s">
        <v>15</v>
      </c>
      <c r="C59" s="6"/>
      <c r="D59" s="6"/>
      <c r="E59" s="7"/>
      <c r="F59" s="15">
        <f>SUM(F56:F58)</f>
        <v>1370.57</v>
      </c>
    </row>
    <row r="60" spans="1:6" ht="12.75">
      <c r="A60" s="13"/>
      <c r="B60" s="14" t="s">
        <v>16</v>
      </c>
      <c r="C60" s="6"/>
      <c r="D60" s="6"/>
      <c r="E60" s="7"/>
      <c r="F60" s="15">
        <f>F59*0.15</f>
        <v>205.5855</v>
      </c>
    </row>
    <row r="61" spans="1:6" ht="12.75">
      <c r="A61" s="13"/>
      <c r="B61" s="14" t="s">
        <v>15</v>
      </c>
      <c r="C61" s="6"/>
      <c r="D61" s="6"/>
      <c r="E61" s="7"/>
      <c r="F61" s="15">
        <f>SUM(F59:F60)</f>
        <v>1576.1555000000001</v>
      </c>
    </row>
    <row r="62" spans="1:6" ht="12.75">
      <c r="A62" s="13"/>
      <c r="B62" s="14" t="s">
        <v>17</v>
      </c>
      <c r="C62" s="6"/>
      <c r="D62" s="6"/>
      <c r="E62" s="7"/>
      <c r="F62" s="15">
        <f>F61</f>
        <v>1576.1555000000001</v>
      </c>
    </row>
    <row r="63" spans="1:6" ht="12.75">
      <c r="A63" s="13"/>
      <c r="B63" s="14" t="s">
        <v>18</v>
      </c>
      <c r="C63" s="6"/>
      <c r="D63" s="6"/>
      <c r="E63" s="7"/>
      <c r="F63" s="16">
        <f>ROUND(F62/10,2)</f>
        <v>157.62</v>
      </c>
    </row>
    <row r="64" spans="1:6" ht="12.75">
      <c r="A64" s="13">
        <v>116</v>
      </c>
      <c r="B64" s="9" t="s">
        <v>19</v>
      </c>
      <c r="C64" s="13" t="s">
        <v>20</v>
      </c>
      <c r="D64" s="13">
        <v>0.12</v>
      </c>
      <c r="E64" s="13">
        <v>784</v>
      </c>
      <c r="F64" s="15">
        <f>D64*E64</f>
        <v>94.08</v>
      </c>
    </row>
    <row r="65" spans="1:6" ht="12.75">
      <c r="A65" s="11">
        <v>114</v>
      </c>
      <c r="B65" s="9" t="s">
        <v>21</v>
      </c>
      <c r="C65" s="11" t="s">
        <v>20</v>
      </c>
      <c r="D65" s="11">
        <v>0.25</v>
      </c>
      <c r="E65" s="11">
        <v>645</v>
      </c>
      <c r="F65" s="17">
        <f>D65*E65</f>
        <v>161.25</v>
      </c>
    </row>
    <row r="66" spans="1:6" ht="12.75">
      <c r="A66" s="10"/>
      <c r="B66" s="9" t="s">
        <v>22</v>
      </c>
      <c r="C66" s="10"/>
      <c r="D66" s="10"/>
      <c r="E66" s="10"/>
      <c r="F66" s="10"/>
    </row>
    <row r="67" spans="1:6" ht="12.75">
      <c r="A67" s="11">
        <v>114</v>
      </c>
      <c r="B67" s="8" t="s">
        <v>21</v>
      </c>
      <c r="C67" s="11" t="s">
        <v>20</v>
      </c>
      <c r="D67" s="11">
        <v>0.66</v>
      </c>
      <c r="E67" s="11">
        <v>645</v>
      </c>
      <c r="F67" s="17">
        <f>D67*E67</f>
        <v>425.70</v>
      </c>
    </row>
    <row r="68" spans="1:6" ht="12.75">
      <c r="A68" s="18">
        <v>115</v>
      </c>
      <c r="B68" s="19" t="s">
        <v>23</v>
      </c>
      <c r="C68" s="18" t="s">
        <v>20</v>
      </c>
      <c r="D68" s="18">
        <v>0.66</v>
      </c>
      <c r="E68" s="18">
        <v>645</v>
      </c>
      <c r="F68" s="20">
        <f>D68*E68</f>
        <v>425.70</v>
      </c>
    </row>
    <row r="69" spans="1:6" ht="12.75">
      <c r="A69" s="19"/>
      <c r="B69" s="21" t="s">
        <v>24</v>
      </c>
      <c r="C69" s="2"/>
      <c r="D69" s="2"/>
      <c r="E69" s="3"/>
      <c r="F69" s="20">
        <f>SUM(F64:F68)</f>
        <v>1106.73</v>
      </c>
    </row>
    <row r="70" spans="1:6" ht="12.75">
      <c r="A70" s="19"/>
      <c r="B70" s="21" t="s">
        <v>14</v>
      </c>
      <c r="C70" s="2"/>
      <c r="D70" s="2"/>
      <c r="E70" s="3"/>
      <c r="F70" s="20">
        <f>F69*0.01</f>
        <v>11.067299999999999</v>
      </c>
    </row>
    <row r="71" spans="1:6" ht="12.75">
      <c r="A71" s="19"/>
      <c r="B71" s="21" t="s">
        <v>15</v>
      </c>
      <c r="C71" s="2"/>
      <c r="D71" s="2"/>
      <c r="E71" s="3"/>
      <c r="F71" s="20">
        <f>SUM(F69:F70)</f>
        <v>1117.7973</v>
      </c>
    </row>
    <row r="72" spans="1:6" ht="12.75">
      <c r="A72" s="19"/>
      <c r="B72" s="21" t="s">
        <v>16</v>
      </c>
      <c r="C72" s="2"/>
      <c r="D72" s="2"/>
      <c r="E72" s="3"/>
      <c r="F72" s="20">
        <f>F71*0.15</f>
        <v>167.66959499999999</v>
      </c>
    </row>
    <row r="73" spans="1:6" ht="12.75">
      <c r="A73" s="19"/>
      <c r="B73" s="21" t="s">
        <v>15</v>
      </c>
      <c r="C73" s="2"/>
      <c r="D73" s="2"/>
      <c r="E73" s="3"/>
      <c r="F73" s="20">
        <f>SUM(F71:F72)</f>
        <v>1285.466895</v>
      </c>
    </row>
    <row r="74" spans="1:6" ht="12.75">
      <c r="A74" s="19"/>
      <c r="B74" s="21" t="s">
        <v>17</v>
      </c>
      <c r="C74" s="2"/>
      <c r="D74" s="2"/>
      <c r="E74" s="3"/>
      <c r="F74" s="20">
        <f>F73</f>
        <v>1285.466895</v>
      </c>
    </row>
    <row r="75" spans="1:6" ht="12.75">
      <c r="A75" s="19"/>
      <c r="B75" s="21" t="s">
        <v>18</v>
      </c>
      <c r="C75" s="2"/>
      <c r="D75" s="2"/>
      <c r="E75" s="3"/>
      <c r="F75" s="16">
        <f>ROUND(F74/10,2)</f>
        <v>128.55</v>
      </c>
    </row>
    <row r="76" spans="1:6" ht="12.75">
      <c r="A76" s="22" t="str">
        <f>CONCATENATE("Say ₹ ",F63," + ",F75," x Cost Index")</f>
        <v>Say ₹ 157.62 + 128.55 x Cost Index</v>
      </c>
      <c r="B76" s="2"/>
      <c r="C76" s="2"/>
      <c r="D76" s="2"/>
      <c r="E76" s="2"/>
      <c r="F76" s="3"/>
    </row>
    <row r="77" spans="1:6" ht="12.75">
      <c r="A77" s="23">
        <v>0</v>
      </c>
      <c r="B77" s="24" t="s">
        <v>31</v>
      </c>
      <c r="C77" s="6"/>
      <c r="D77" s="6"/>
      <c r="E77" s="6"/>
      <c r="F77" s="7"/>
    </row>
    <row r="78" spans="1:6" ht="12.75">
      <c r="A78" s="23" t="s">
        <v>2</v>
      </c>
      <c r="B78" s="23" t="s">
        <v>3</v>
      </c>
      <c r="C78" s="23" t="s">
        <v>4</v>
      </c>
      <c r="D78" s="23" t="s">
        <v>5</v>
      </c>
      <c r="E78" s="23" t="s">
        <v>6</v>
      </c>
      <c r="F78" s="23" t="s">
        <v>7</v>
      </c>
    </row>
    <row r="79" spans="1:6" ht="12.75">
      <c r="A79" s="25"/>
      <c r="B79" s="26" t="s">
        <v>8</v>
      </c>
      <c r="C79" s="25"/>
      <c r="D79" s="25"/>
      <c r="E79" s="25"/>
      <c r="F79" s="25"/>
    </row>
    <row r="80" spans="1:6" ht="12.75">
      <c r="A80" s="10"/>
      <c r="B80" s="26" t="s">
        <v>9</v>
      </c>
      <c r="C80" s="10"/>
      <c r="D80" s="10"/>
      <c r="E80" s="10"/>
      <c r="F80" s="10"/>
    </row>
    <row r="81" spans="1:6" ht="12.75">
      <c r="A81" s="27" t="s">
        <v>32</v>
      </c>
      <c r="B81" s="26" t="s">
        <v>33</v>
      </c>
      <c r="C81" s="27" t="s">
        <v>12</v>
      </c>
      <c r="D81" s="27">
        <v>11.50</v>
      </c>
      <c r="E81" s="27">
        <f t="array" ref="E81">IFERROR(INDEX(LMRRates,MATCH(A81,LMRCodes,0),),)</f>
        <v>123</v>
      </c>
      <c r="F81" s="28">
        <f>D81*E81</f>
        <v>1414.50</v>
      </c>
    </row>
    <row r="82" spans="1:6" ht="12.75">
      <c r="A82" s="10"/>
      <c r="B82" s="26" t="s">
        <v>13</v>
      </c>
      <c r="C82" s="10"/>
      <c r="D82" s="10"/>
      <c r="E82" s="10"/>
      <c r="F82" s="10"/>
    </row>
    <row r="83" spans="1:6" ht="12.75">
      <c r="A83" s="29"/>
      <c r="B83" s="30" t="s">
        <v>14</v>
      </c>
      <c r="C83" s="6"/>
      <c r="D83" s="6"/>
      <c r="E83" s="7"/>
      <c r="F83" s="31">
        <f>F81*0.01</f>
        <v>14.145</v>
      </c>
    </row>
    <row r="84" spans="1:6" ht="12.75">
      <c r="A84" s="29"/>
      <c r="B84" s="30" t="s">
        <v>15</v>
      </c>
      <c r="C84" s="6"/>
      <c r="D84" s="6"/>
      <c r="E84" s="7"/>
      <c r="F84" s="31">
        <f>SUM(F81:F83)</f>
        <v>1428.645</v>
      </c>
    </row>
    <row r="85" spans="1:6" ht="12.75">
      <c r="A85" s="29"/>
      <c r="B85" s="30" t="s">
        <v>16</v>
      </c>
      <c r="C85" s="6"/>
      <c r="D85" s="6"/>
      <c r="E85" s="7"/>
      <c r="F85" s="31">
        <f>F84*0.15</f>
        <v>214.29675</v>
      </c>
    </row>
    <row r="86" spans="1:6" ht="12.75">
      <c r="A86" s="29"/>
      <c r="B86" s="30" t="s">
        <v>15</v>
      </c>
      <c r="C86" s="6"/>
      <c r="D86" s="6"/>
      <c r="E86" s="7"/>
      <c r="F86" s="31">
        <f>SUM(F84:F85)</f>
        <v>1642.94175</v>
      </c>
    </row>
    <row r="87" spans="1:6" ht="12.75">
      <c r="A87" s="29"/>
      <c r="B87" s="30" t="s">
        <v>17</v>
      </c>
      <c r="C87" s="6"/>
      <c r="D87" s="6"/>
      <c r="E87" s="7"/>
      <c r="F87" s="31">
        <f>F86</f>
        <v>1642.94175</v>
      </c>
    </row>
    <row r="88" spans="1:6" ht="12.75">
      <c r="A88" s="29"/>
      <c r="B88" s="30" t="s">
        <v>18</v>
      </c>
      <c r="C88" s="6"/>
      <c r="D88" s="6"/>
      <c r="E88" s="7"/>
      <c r="F88" s="32">
        <f>ROUND(F87/10,2)</f>
        <v>164.29</v>
      </c>
    </row>
    <row r="89" spans="1:6" ht="12.75">
      <c r="A89" s="29">
        <v>116</v>
      </c>
      <c r="B89" s="26" t="s">
        <v>19</v>
      </c>
      <c r="C89" s="29" t="s">
        <v>20</v>
      </c>
      <c r="D89" s="29">
        <v>0.12</v>
      </c>
      <c r="E89" s="29">
        <v>784</v>
      </c>
      <c r="F89" s="31">
        <f>D89*E89</f>
        <v>94.08</v>
      </c>
    </row>
    <row r="90" spans="1:6" ht="12.75">
      <c r="A90" s="27">
        <v>114</v>
      </c>
      <c r="B90" s="26" t="s">
        <v>21</v>
      </c>
      <c r="C90" s="27" t="s">
        <v>20</v>
      </c>
      <c r="D90" s="27">
        <v>0.25</v>
      </c>
      <c r="E90" s="27">
        <v>645</v>
      </c>
      <c r="F90" s="33">
        <f>D90*E90</f>
        <v>161.25</v>
      </c>
    </row>
    <row r="91" spans="1:6" ht="12.75">
      <c r="A91" s="10"/>
      <c r="B91" s="26" t="s">
        <v>22</v>
      </c>
      <c r="C91" s="10"/>
      <c r="D91" s="10"/>
      <c r="E91" s="10"/>
      <c r="F91" s="10"/>
    </row>
    <row r="92" spans="1:6" ht="12.75">
      <c r="A92" s="27">
        <v>114</v>
      </c>
      <c r="B92" s="25" t="s">
        <v>21</v>
      </c>
      <c r="C92" s="27" t="s">
        <v>20</v>
      </c>
      <c r="D92" s="27">
        <v>0.66</v>
      </c>
      <c r="E92" s="27">
        <v>645</v>
      </c>
      <c r="F92" s="33">
        <f>D92*E92</f>
        <v>425.70</v>
      </c>
    </row>
    <row r="93" spans="1:6" ht="12.75">
      <c r="A93" s="34">
        <v>115</v>
      </c>
      <c r="B93" s="35" t="s">
        <v>23</v>
      </c>
      <c r="C93" s="34" t="s">
        <v>20</v>
      </c>
      <c r="D93" s="34">
        <v>0.66</v>
      </c>
      <c r="E93" s="34">
        <v>645</v>
      </c>
      <c r="F93" s="36">
        <f>D93*E93</f>
        <v>425.70</v>
      </c>
    </row>
    <row r="94" spans="1:6" ht="12.75">
      <c r="A94" s="35"/>
      <c r="B94" s="37" t="s">
        <v>24</v>
      </c>
      <c r="C94" s="2"/>
      <c r="D94" s="2"/>
      <c r="E94" s="3"/>
      <c r="F94" s="36">
        <f>SUM(F89:F93)</f>
        <v>1106.73</v>
      </c>
    </row>
    <row r="95" spans="1:6" ht="12.75">
      <c r="A95" s="35"/>
      <c r="B95" s="37" t="s">
        <v>14</v>
      </c>
      <c r="C95" s="2"/>
      <c r="D95" s="2"/>
      <c r="E95" s="3"/>
      <c r="F95" s="36">
        <f>F94*0.01</f>
        <v>11.067299999999999</v>
      </c>
    </row>
    <row r="96" spans="1:6" ht="12.75">
      <c r="A96" s="35"/>
      <c r="B96" s="37" t="s">
        <v>15</v>
      </c>
      <c r="C96" s="2"/>
      <c r="D96" s="2"/>
      <c r="E96" s="3"/>
      <c r="F96" s="36">
        <f>SUM(F94:F95)</f>
        <v>1117.7973</v>
      </c>
    </row>
    <row r="97" spans="1:6" ht="12.75">
      <c r="A97" s="35"/>
      <c r="B97" s="37" t="s">
        <v>16</v>
      </c>
      <c r="C97" s="2"/>
      <c r="D97" s="2"/>
      <c r="E97" s="3"/>
      <c r="F97" s="36">
        <f>F96*0.15</f>
        <v>167.66959499999999</v>
      </c>
    </row>
    <row r="98" spans="1:6" ht="12.75">
      <c r="A98" s="35"/>
      <c r="B98" s="37" t="s">
        <v>15</v>
      </c>
      <c r="C98" s="2"/>
      <c r="D98" s="2"/>
      <c r="E98" s="3"/>
      <c r="F98" s="36">
        <f>SUM(F96:F97)</f>
        <v>1285.466895</v>
      </c>
    </row>
    <row r="99" spans="1:6" ht="12.75">
      <c r="A99" s="35"/>
      <c r="B99" s="37" t="s">
        <v>17</v>
      </c>
      <c r="C99" s="2"/>
      <c r="D99" s="2"/>
      <c r="E99" s="3"/>
      <c r="F99" s="36">
        <f>F98</f>
        <v>1285.466895</v>
      </c>
    </row>
    <row r="100" spans="1:6" ht="12.75">
      <c r="A100" s="35"/>
      <c r="B100" s="37" t="s">
        <v>18</v>
      </c>
      <c r="C100" s="2"/>
      <c r="D100" s="2"/>
      <c r="E100" s="3"/>
      <c r="F100" s="32">
        <f>ROUND(F99/10,2)</f>
        <v>128.55</v>
      </c>
    </row>
    <row r="101" spans="1:6" ht="12.75">
      <c r="A101" s="38" t="str">
        <f>CONCATENATE("Say ₹ ",F88," + ",F100," x Cost Index")</f>
        <v>Say ₹ 164.29 + 128.55 x Cost Index</v>
      </c>
      <c r="B101" s="2"/>
      <c r="C101" s="2"/>
      <c r="D101" s="2"/>
      <c r="E101" s="2"/>
      <c r="F101" s="3"/>
    </row>
  </sheetData>
  <mergeCells count="121">
    <mergeCell ref="C4:C5"/>
    <mergeCell ref="C6:C7"/>
    <mergeCell ref="D6:D7"/>
    <mergeCell ref="E6:E7"/>
    <mergeCell ref="A1:F1"/>
    <mergeCell ref="B2:F2"/>
    <mergeCell ref="A4:A5"/>
    <mergeCell ref="D4:D5"/>
    <mergeCell ref="E4:E5"/>
    <mergeCell ref="F4:F5"/>
    <mergeCell ref="A6:A7"/>
    <mergeCell ref="F6:F7"/>
    <mergeCell ref="B8:E8"/>
    <mergeCell ref="B9:E9"/>
    <mergeCell ref="B10:E10"/>
    <mergeCell ref="B11:E11"/>
    <mergeCell ref="B12:E12"/>
    <mergeCell ref="B13:E13"/>
    <mergeCell ref="A15:A16"/>
    <mergeCell ref="C15:C16"/>
    <mergeCell ref="D15:D16"/>
    <mergeCell ref="E15:E16"/>
    <mergeCell ref="F15:F16"/>
    <mergeCell ref="B19:E19"/>
    <mergeCell ref="B20:E20"/>
    <mergeCell ref="B21:E21"/>
    <mergeCell ref="B22:E22"/>
    <mergeCell ref="B23:E23"/>
    <mergeCell ref="B24:E24"/>
    <mergeCell ref="B25:E25"/>
    <mergeCell ref="A26:F26"/>
    <mergeCell ref="B27:F27"/>
    <mergeCell ref="D31:D32"/>
    <mergeCell ref="E31:E32"/>
    <mergeCell ref="A65:A66"/>
    <mergeCell ref="C65:C66"/>
    <mergeCell ref="D65:D66"/>
    <mergeCell ref="E65:E66"/>
    <mergeCell ref="F65:F66"/>
    <mergeCell ref="B69:E69"/>
    <mergeCell ref="B70:E70"/>
    <mergeCell ref="B71:E71"/>
    <mergeCell ref="B72:E72"/>
    <mergeCell ref="B73:E73"/>
    <mergeCell ref="B74:E74"/>
    <mergeCell ref="B75:E75"/>
    <mergeCell ref="A76:F76"/>
    <mergeCell ref="B77:F77"/>
    <mergeCell ref="D81:D82"/>
    <mergeCell ref="E81:E82"/>
    <mergeCell ref="A79:A80"/>
    <mergeCell ref="C79:C80"/>
    <mergeCell ref="D79:D80"/>
    <mergeCell ref="E79:E80"/>
    <mergeCell ref="F79:F80"/>
    <mergeCell ref="A81:A82"/>
    <mergeCell ref="F81:F82"/>
    <mergeCell ref="C81:C82"/>
    <mergeCell ref="B83:E83"/>
    <mergeCell ref="B84:E84"/>
    <mergeCell ref="B85:E85"/>
    <mergeCell ref="B86:E86"/>
    <mergeCell ref="B87:E87"/>
    <mergeCell ref="B88:E88"/>
    <mergeCell ref="B96:E96"/>
    <mergeCell ref="B97:E97"/>
    <mergeCell ref="B98:E98"/>
    <mergeCell ref="B99:E99"/>
    <mergeCell ref="B100:E100"/>
    <mergeCell ref="A101:F101"/>
    <mergeCell ref="A90:A91"/>
    <mergeCell ref="C90:C91"/>
    <mergeCell ref="D90:D91"/>
    <mergeCell ref="E90:E91"/>
    <mergeCell ref="F90:F91"/>
    <mergeCell ref="B94:E94"/>
    <mergeCell ref="B95:E95"/>
    <mergeCell ref="A29:A30"/>
    <mergeCell ref="C29:C30"/>
    <mergeCell ref="D29:D30"/>
    <mergeCell ref="E29:E30"/>
    <mergeCell ref="F29:F30"/>
    <mergeCell ref="A31:A32"/>
    <mergeCell ref="F31:F32"/>
    <mergeCell ref="C31:C32"/>
    <mergeCell ref="B33:E33"/>
    <mergeCell ref="B34:E34"/>
    <mergeCell ref="B35:E35"/>
    <mergeCell ref="B36:E36"/>
    <mergeCell ref="B37:E37"/>
    <mergeCell ref="B38:E38"/>
    <mergeCell ref="A40:A41"/>
    <mergeCell ref="C40:C41"/>
    <mergeCell ref="D40:D41"/>
    <mergeCell ref="E40:E41"/>
    <mergeCell ref="F40:F41"/>
    <mergeCell ref="B44:E44"/>
    <mergeCell ref="B45:E45"/>
    <mergeCell ref="B46:E46"/>
    <mergeCell ref="B47:E47"/>
    <mergeCell ref="B48:E48"/>
    <mergeCell ref="B49:E49"/>
    <mergeCell ref="B50:E50"/>
    <mergeCell ref="A51:F51"/>
    <mergeCell ref="B52:F52"/>
    <mergeCell ref="D56:D57"/>
    <mergeCell ref="E56:E57"/>
    <mergeCell ref="A54:A55"/>
    <mergeCell ref="C54:C55"/>
    <mergeCell ref="D54:D55"/>
    <mergeCell ref="E54:E55"/>
    <mergeCell ref="F54:F55"/>
    <mergeCell ref="A56:A57"/>
    <mergeCell ref="F56:F57"/>
    <mergeCell ref="C56:C57"/>
    <mergeCell ref="B58:E58"/>
    <mergeCell ref="B59:E59"/>
    <mergeCell ref="B60:E60"/>
    <mergeCell ref="B61:E61"/>
    <mergeCell ref="B62:E62"/>
    <mergeCell ref="B63:E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